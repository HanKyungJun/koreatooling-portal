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안내" sheetId="1" state="visible" r:id="rId3"/>
    <sheet name="1_런아웃" sheetId="2" state="visible" r:id="rId4"/>
    <sheet name="2_재연삭횟수" sheetId="3" state="visible" r:id="rId5"/>
    <sheet name="3_예열치수" sheetId="4" state="visible" r:id="rId6"/>
    <sheet name="4_LD비" sheetId="5" state="visible" r:id="rId7"/>
    <sheet name="5_6061결정립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<sst xmlns="http://schemas.openxmlformats.org/spreadsheetml/2006/main" count="198" uniqueCount="177">
  <si>
    <r>
      <rPr>
        <b val="true"/>
        <sz val="22"/>
        <rFont val="Noto Sans CJK SC"/>
        <family val="2"/>
      </rPr>
      <t xml:space="preserve">현장 확인 입력표 — 출처 미확보 수치 </t>
    </r>
    <r>
      <rPr>
        <b val="true"/>
        <sz val="22"/>
        <rFont val="맑은 고딕"/>
        <family val="0"/>
        <charset val="1"/>
      </rPr>
      <t xml:space="preserve">5</t>
    </r>
    <r>
      <rPr>
        <b val="true"/>
        <sz val="22"/>
        <rFont val="Noto Sans CJK SC"/>
        <family val="2"/>
      </rPr>
      <t xml:space="preserve">건 </t>
    </r>
    <r>
      <rPr>
        <b val="true"/>
        <sz val="22"/>
        <rFont val="맑은 고딕"/>
        <family val="0"/>
        <charset val="1"/>
      </rPr>
      <t xml:space="preserve">(2026-10-12)</t>
    </r>
  </si>
  <si>
    <r>
      <rPr>
        <sz val="13"/>
        <rFont val="Noto Sans CJK SC"/>
        <family val="2"/>
      </rPr>
      <t xml:space="preserve">목적</t>
    </r>
    <r>
      <rPr>
        <sz val="13"/>
        <rFont val="맑은 고딕"/>
        <family val="0"/>
        <charset val="1"/>
      </rPr>
      <t xml:space="preserve">: 2026-10-12 </t>
    </r>
    <r>
      <rPr>
        <sz val="13"/>
        <rFont val="Noto Sans CJK SC"/>
        <family val="2"/>
      </rPr>
      <t xml:space="preserve">위키 검수에서 출처를 찾지 못한 수치 </t>
    </r>
    <r>
      <rPr>
        <sz val="13"/>
        <rFont val="맑은 고딕"/>
        <family val="0"/>
        <charset val="1"/>
      </rPr>
      <t xml:space="preserve">5</t>
    </r>
    <r>
      <rPr>
        <sz val="13"/>
        <rFont val="Noto Sans CJK SC"/>
        <family val="2"/>
      </rPr>
      <t xml:space="preserve">건을 현장 기준</t>
    </r>
    <r>
      <rPr>
        <sz val="13"/>
        <rFont val="맑은 고딕"/>
        <family val="0"/>
        <charset val="1"/>
      </rPr>
      <t xml:space="preserve">·</t>
    </r>
    <r>
      <rPr>
        <sz val="13"/>
        <rFont val="Noto Sans CJK SC"/>
        <family val="2"/>
      </rPr>
      <t xml:space="preserve">실측으로 채운다</t>
    </r>
    <r>
      <rPr>
        <sz val="13"/>
        <rFont val="맑은 고딕"/>
        <family val="0"/>
        <charset val="1"/>
      </rPr>
      <t xml:space="preserve">. </t>
    </r>
    <r>
      <rPr>
        <sz val="13"/>
        <rFont val="Noto Sans CJK SC"/>
        <family val="2"/>
      </rPr>
      <t xml:space="preserve">채워진 값은 </t>
    </r>
    <r>
      <rPr>
        <sz val="13"/>
        <rFont val="맑은 고딕"/>
        <family val="0"/>
        <charset val="1"/>
      </rPr>
      <t xml:space="preserve">Cowork </t>
    </r>
    <r>
      <rPr>
        <sz val="13"/>
        <rFont val="Noto Sans CJK SC"/>
        <family val="2"/>
      </rPr>
      <t xml:space="preserve">가 위키에 「사내 경험값」 또는 「실측 검증」으로 반영한다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기존 값은 지우지 않고 병기 — </t>
    </r>
    <r>
      <rPr>
        <sz val="13"/>
        <rFont val="맑은 고딕"/>
        <family val="0"/>
        <charset val="1"/>
      </rPr>
      <t xml:space="preserve">CLAUDE.md §2 #8).</t>
    </r>
  </si>
  <si>
    <t xml:space="preserve">작성 방법</t>
  </si>
  <si>
    <t xml:space="preserve">■</t>
  </si>
  <si>
    <t xml:space="preserve">노란 칸</t>
  </si>
  <si>
    <r>
      <rPr>
        <sz val="13"/>
        <rFont val="Noto Sans CJK SC"/>
        <family val="2"/>
      </rPr>
      <t xml:space="preserve">직접 입력하는 칸입니다</t>
    </r>
    <r>
      <rPr>
        <sz val="13"/>
        <rFont val="맑은 고딕"/>
        <family val="0"/>
        <charset val="1"/>
      </rPr>
      <t xml:space="preserve">. </t>
    </r>
    <r>
      <rPr>
        <sz val="13"/>
        <rFont val="Noto Sans CJK SC"/>
        <family val="2"/>
      </rPr>
      <t xml:space="preserve">드롭다운</t>
    </r>
    <r>
      <rPr>
        <sz val="13"/>
        <rFont val="맑은 고딕"/>
        <family val="0"/>
        <charset val="1"/>
      </rPr>
      <t xml:space="preserve">(▼)</t>
    </r>
    <r>
      <rPr>
        <sz val="13"/>
        <rFont val="Noto Sans CJK SC"/>
        <family val="2"/>
      </rPr>
      <t xml:space="preserve">이 있는 칸은 목록에서 고릅니다</t>
    </r>
    <r>
      <rPr>
        <sz val="13"/>
        <rFont val="맑은 고딕"/>
        <family val="0"/>
        <charset val="1"/>
      </rPr>
      <t xml:space="preserve">.</t>
    </r>
  </si>
  <si>
    <r>
      <rPr>
        <b val="true"/>
        <sz val="13"/>
        <rFont val="Noto Sans CJK SC"/>
        <family val="2"/>
      </rPr>
      <t xml:space="preserve">회색 칸 </t>
    </r>
    <r>
      <rPr>
        <b val="true"/>
        <sz val="13"/>
        <rFont val="맑은 고딕"/>
        <family val="0"/>
        <charset val="1"/>
      </rPr>
      <t xml:space="preserve">(</t>
    </r>
    <r>
      <rPr>
        <b val="true"/>
        <sz val="13"/>
        <rFont val="Noto Sans CJK SC"/>
        <family val="2"/>
      </rPr>
      <t xml:space="preserve">예시</t>
    </r>
    <r>
      <rPr>
        <b val="true"/>
        <sz val="13"/>
        <rFont val="맑은 고딕"/>
        <family val="0"/>
        <charset val="1"/>
      </rPr>
      <t xml:space="preserve">)</t>
    </r>
  </si>
  <si>
    <r>
      <rPr>
        <sz val="13"/>
        <rFont val="Noto Sans CJK SC"/>
        <family val="2"/>
      </rPr>
      <t xml:space="preserve">입력 형식을 보여 주는 예시 행입니다</t>
    </r>
    <r>
      <rPr>
        <sz val="13"/>
        <rFont val="맑은 고딕"/>
        <family val="0"/>
        <charset val="1"/>
      </rPr>
      <t xml:space="preserve">. </t>
    </r>
    <r>
      <rPr>
        <sz val="13"/>
        <rFont val="Noto Sans CJK SC"/>
        <family val="2"/>
      </rPr>
      <t xml:space="preserve">실제 값이 아니니 그 아래 노란 줄에 적어 주세요</t>
    </r>
    <r>
      <rPr>
        <sz val="13"/>
        <rFont val="맑은 고딕"/>
        <family val="0"/>
        <charset val="1"/>
      </rPr>
      <t xml:space="preserve">.</t>
    </r>
  </si>
  <si>
    <t xml:space="preserve">흰 칸</t>
  </si>
  <si>
    <r>
      <rPr>
        <sz val="13"/>
        <rFont val="Noto Sans CJK SC"/>
        <family val="2"/>
      </rPr>
      <t xml:space="preserve">수식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자동 계산</t>
    </r>
    <r>
      <rPr>
        <sz val="13"/>
        <rFont val="맑은 고딕"/>
        <family val="0"/>
        <charset val="1"/>
      </rPr>
      <t xml:space="preserve">)</t>
    </r>
    <r>
      <rPr>
        <sz val="13"/>
        <rFont val="Noto Sans CJK SC"/>
        <family val="2"/>
      </rPr>
      <t xml:space="preserve">이나 설명입니다</t>
    </r>
    <r>
      <rPr>
        <sz val="13"/>
        <rFont val="맑은 고딕"/>
        <family val="0"/>
        <charset val="1"/>
      </rPr>
      <t xml:space="preserve">. </t>
    </r>
    <r>
      <rPr>
        <sz val="13"/>
        <rFont val="Noto Sans CJK SC"/>
        <family val="2"/>
      </rPr>
      <t xml:space="preserve">고치지 않아도 됩니다</t>
    </r>
    <r>
      <rPr>
        <sz val="13"/>
        <rFont val="맑은 고딕"/>
        <family val="0"/>
        <charset val="1"/>
      </rPr>
      <t xml:space="preserve">.</t>
    </r>
  </si>
  <si>
    <t xml:space="preserve">신뢰도</t>
  </si>
  <si>
    <r>
      <rPr>
        <sz val="13"/>
        <rFont val="Noto Sans CJK SC"/>
        <family val="2"/>
      </rPr>
      <t xml:space="preserve">제조사 기준 </t>
    </r>
    <r>
      <rPr>
        <sz val="13"/>
        <rFont val="맑은 고딕"/>
        <family val="0"/>
        <charset val="1"/>
      </rPr>
      <t xml:space="preserve">/ </t>
    </r>
    <r>
      <rPr>
        <sz val="13"/>
        <rFont val="Noto Sans CJK SC"/>
        <family val="2"/>
      </rPr>
      <t xml:space="preserve">실측 검증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잰 값</t>
    </r>
    <r>
      <rPr>
        <sz val="13"/>
        <rFont val="맑은 고딕"/>
        <family val="0"/>
        <charset val="1"/>
      </rPr>
      <t xml:space="preserve">) / </t>
    </r>
    <r>
      <rPr>
        <sz val="13"/>
        <rFont val="Noto Sans CJK SC"/>
        <family val="2"/>
      </rPr>
      <t xml:space="preserve">사내 경험값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반복 경험</t>
    </r>
    <r>
      <rPr>
        <sz val="13"/>
        <rFont val="맑은 고딕"/>
        <family val="0"/>
        <charset val="1"/>
      </rPr>
      <t xml:space="preserve">, </t>
    </r>
    <r>
      <rPr>
        <sz val="13"/>
        <rFont val="Noto Sans CJK SC"/>
        <family val="2"/>
      </rPr>
      <t xml:space="preserve">체계적 측정 없음</t>
    </r>
    <r>
      <rPr>
        <sz val="13"/>
        <rFont val="맑은 고딕"/>
        <family val="0"/>
        <charset val="1"/>
      </rPr>
      <t xml:space="preserve">) / </t>
    </r>
    <r>
      <rPr>
        <sz val="13"/>
        <rFont val="Noto Sans CJK SC"/>
        <family val="2"/>
      </rPr>
      <t xml:space="preserve">추정값 — </t>
    </r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개 중 하나</t>
    </r>
  </si>
  <si>
    <t xml:space="preserve">다 못 채워도 됨</t>
  </si>
  <si>
    <r>
      <rPr>
        <sz val="13"/>
        <rFont val="Noto Sans CJK SC"/>
        <family val="2"/>
      </rPr>
      <t xml:space="preserve">아는 것만 적고 모르는 칸은 비워 두세요</t>
    </r>
    <r>
      <rPr>
        <sz val="13"/>
        <rFont val="맑은 고딕"/>
        <family val="0"/>
        <charset val="1"/>
      </rPr>
      <t xml:space="preserve">. </t>
    </r>
    <r>
      <rPr>
        <sz val="13"/>
        <rFont val="Noto Sans CJK SC"/>
        <family val="2"/>
      </rPr>
      <t xml:space="preserve">「모름」도 정보입니다 — 비고에 적어 주시면 그 항목은 추정값으로 유지합니다</t>
    </r>
    <r>
      <rPr>
        <sz val="13"/>
        <rFont val="맑은 고딕"/>
        <family val="0"/>
        <charset val="1"/>
      </rPr>
      <t xml:space="preserve">.</t>
    </r>
  </si>
  <si>
    <r>
      <rPr>
        <b val="true"/>
        <sz val="15"/>
        <rFont val="맑은 고딕"/>
        <family val="0"/>
        <charset val="1"/>
      </rPr>
      <t xml:space="preserve">5</t>
    </r>
    <r>
      <rPr>
        <b val="true"/>
        <sz val="15"/>
        <rFont val="Noto Sans CJK SC"/>
        <family val="2"/>
      </rPr>
      <t xml:space="preserve">건 한눈에 보기 — 상태만 골라 주세요</t>
    </r>
  </si>
  <si>
    <t xml:space="preserve">#</t>
  </si>
  <si>
    <t xml:space="preserve">항목</t>
  </si>
  <si>
    <r>
      <rPr>
        <b val="true"/>
        <sz val="13"/>
        <rFont val="Noto Sans CJK SC"/>
        <family val="2"/>
      </rPr>
      <t xml:space="preserve">위키 현재 값 </t>
    </r>
    <r>
      <rPr>
        <b val="true"/>
        <sz val="13"/>
        <rFont val="맑은 고딕"/>
        <family val="0"/>
        <charset val="1"/>
      </rPr>
      <t xml:space="preserve">(</t>
    </r>
    <r>
      <rPr>
        <b val="true"/>
        <sz val="13"/>
        <rFont val="Noto Sans CJK SC"/>
        <family val="2"/>
      </rPr>
      <t xml:space="preserve">위치</t>
    </r>
    <r>
      <rPr>
        <b val="true"/>
        <sz val="13"/>
        <rFont val="맑은 고딕"/>
        <family val="0"/>
        <charset val="1"/>
      </rPr>
      <t xml:space="preserve">)</t>
    </r>
  </si>
  <si>
    <r>
      <rPr>
        <b val="true"/>
        <sz val="13"/>
        <rFont val="Noto Sans CJK SC"/>
        <family val="2"/>
      </rPr>
      <t xml:space="preserve">외부 근거 </t>
    </r>
    <r>
      <rPr>
        <b val="true"/>
        <sz val="13"/>
        <rFont val="맑은 고딕"/>
        <family val="0"/>
        <charset val="1"/>
      </rPr>
      <t xml:space="preserve">(2026-10-12 </t>
    </r>
    <r>
      <rPr>
        <b val="true"/>
        <sz val="13"/>
        <rFont val="Noto Sans CJK SC"/>
        <family val="2"/>
      </rPr>
      <t xml:space="preserve">조사</t>
    </r>
    <r>
      <rPr>
        <b val="true"/>
        <sz val="13"/>
        <rFont val="맑은 고딕"/>
        <family val="0"/>
        <charset val="1"/>
      </rPr>
      <t xml:space="preserve">)</t>
    </r>
  </si>
  <si>
    <t xml:space="preserve">상태 ▼</t>
  </si>
  <si>
    <t xml:space="preserve">시트</t>
  </si>
  <si>
    <t xml:space="preserve">①</t>
  </si>
  <si>
    <t xml:space="preserve">런아웃 — 연삭 세팅 점검 기준</t>
  </si>
  <si>
    <r>
      <rPr>
        <sz val="13"/>
        <rFont val="맑은 고딕"/>
        <family val="0"/>
        <charset val="1"/>
      </rPr>
      <t xml:space="preserve">&lt; 0.010 mm  (troubleshoot/</t>
    </r>
    <r>
      <rPr>
        <sz val="13"/>
        <rFont val="Noto Sans CJK SC"/>
        <family val="2"/>
      </rPr>
      <t xml:space="preserve">치수불량 </t>
    </r>
    <r>
      <rPr>
        <sz val="13"/>
        <rFont val="맑은 고딕"/>
        <family val="0"/>
        <charset val="1"/>
      </rPr>
      <t xml:space="preserve">§</t>
    </r>
    <r>
      <rPr>
        <sz val="13"/>
        <rFont val="Noto Sans CJK SC"/>
        <family val="2"/>
      </rPr>
      <t xml:space="preserve">세팅 체크리스트</t>
    </r>
    <r>
      <rPr>
        <sz val="13"/>
        <rFont val="맑은 고딕"/>
        <family val="0"/>
        <charset val="1"/>
      </rPr>
      <t xml:space="preserve">)</t>
    </r>
  </si>
  <si>
    <r>
      <rPr>
        <sz val="13"/>
        <rFont val="맑은 고딕"/>
        <family val="0"/>
        <charset val="1"/>
      </rPr>
      <t xml:space="preserve">ANCA Premierplus </t>
    </r>
    <r>
      <rPr>
        <sz val="13"/>
        <rFont val="Noto Sans CJK SC"/>
        <family val="2"/>
      </rPr>
      <t xml:space="preserve">콜릿 정상 </t>
    </r>
    <r>
      <rPr>
        <sz val="13"/>
        <rFont val="맑은 고딕"/>
        <family val="0"/>
        <charset val="1"/>
      </rPr>
      <t xml:space="preserve">&lt; 5 μm [</t>
    </r>
    <r>
      <rPr>
        <sz val="13"/>
        <rFont val="Noto Sans CJK SC"/>
        <family val="2"/>
      </rPr>
      <t xml:space="preserve">제조사 기준</t>
    </r>
    <r>
      <rPr>
        <sz val="13"/>
        <rFont val="맑은 고딕"/>
        <family val="0"/>
        <charset val="1"/>
      </rPr>
      <t xml:space="preserve">]. </t>
    </r>
    <r>
      <rPr>
        <sz val="13"/>
        <rFont val="Noto Sans CJK SC"/>
        <family val="2"/>
      </rPr>
      <t xml:space="preserve">사내 게이지 최소 눈금 </t>
    </r>
    <r>
      <rPr>
        <sz val="13"/>
        <rFont val="맑은 고딕"/>
        <family val="0"/>
        <charset val="1"/>
      </rPr>
      <t xml:space="preserve">10 μm</t>
    </r>
    <r>
      <rPr>
        <sz val="13"/>
        <rFont val="Noto Sans CJK SC"/>
        <family val="2"/>
      </rPr>
      <t xml:space="preserve">라 </t>
    </r>
    <r>
      <rPr>
        <sz val="13"/>
        <rFont val="맑은 고딕"/>
        <family val="0"/>
        <charset val="1"/>
      </rPr>
      <t xml:space="preserve">5 μm </t>
    </r>
    <r>
      <rPr>
        <sz val="13"/>
        <rFont val="Noto Sans CJK SC"/>
        <family val="2"/>
      </rPr>
      <t xml:space="preserve">판정 불가</t>
    </r>
  </si>
  <si>
    <r>
      <rPr>
        <sz val="13"/>
        <rFont val="맑은 고딕"/>
        <family val="0"/>
        <charset val="1"/>
      </rPr>
      <t xml:space="preserve">1_</t>
    </r>
    <r>
      <rPr>
        <sz val="13"/>
        <rFont val="Noto Sans CJK SC"/>
        <family val="2"/>
      </rPr>
      <t xml:space="preserve">런아웃</t>
    </r>
  </si>
  <si>
    <t xml:space="preserve">②</t>
  </si>
  <si>
    <t xml:space="preserve">재연삭 가능 횟수</t>
  </si>
  <si>
    <r>
      <rPr>
        <sz val="13"/>
        <rFont val="Noto Sans CJK SC"/>
        <family val="2"/>
      </rPr>
      <t xml:space="preserve">보통 </t>
    </r>
    <r>
      <rPr>
        <sz val="13"/>
        <rFont val="맑은 고딕"/>
        <family val="0"/>
        <charset val="1"/>
      </rPr>
      <t xml:space="preserve">5~15</t>
    </r>
    <r>
      <rPr>
        <sz val="13"/>
        <rFont val="Noto Sans CJK SC"/>
        <family val="2"/>
      </rPr>
      <t xml:space="preserve">회  </t>
    </r>
    <r>
      <rPr>
        <sz val="13"/>
        <rFont val="맑은 고딕"/>
        <family val="0"/>
        <charset val="1"/>
      </rPr>
      <t xml:space="preserve">(tools/</t>
    </r>
    <r>
      <rPr>
        <sz val="13"/>
        <rFont val="Noto Sans CJK SC"/>
        <family val="2"/>
      </rPr>
      <t xml:space="preserve">공구</t>
    </r>
    <r>
      <rPr>
        <sz val="13"/>
        <rFont val="맑은 고딕"/>
        <family val="0"/>
        <charset val="1"/>
      </rPr>
      <t xml:space="preserve">-</t>
    </r>
    <r>
      <rPr>
        <sz val="13"/>
        <rFont val="Noto Sans CJK SC"/>
        <family val="2"/>
      </rPr>
      <t xml:space="preserve">수명</t>
    </r>
    <r>
      <rPr>
        <sz val="13"/>
        <rFont val="맑은 고딕"/>
        <family val="0"/>
        <charset val="1"/>
      </rPr>
      <t xml:space="preserve">-</t>
    </r>
    <r>
      <rPr>
        <sz val="13"/>
        <rFont val="Noto Sans CJK SC"/>
        <family val="2"/>
      </rPr>
      <t xml:space="preserve">관리 </t>
    </r>
    <r>
      <rPr>
        <sz val="13"/>
        <rFont val="맑은 고딕"/>
        <family val="0"/>
        <charset val="1"/>
      </rPr>
      <t xml:space="preserve">§</t>
    </r>
    <r>
      <rPr>
        <sz val="13"/>
        <rFont val="Noto Sans CJK SC"/>
        <family val="2"/>
      </rPr>
      <t xml:space="preserve">재연삭</t>
    </r>
    <r>
      <rPr>
        <sz val="13"/>
        <rFont val="맑은 고딕"/>
        <family val="0"/>
        <charset val="1"/>
      </rPr>
      <t xml:space="preserve">)</t>
    </r>
  </si>
  <si>
    <r>
      <rPr>
        <sz val="13"/>
        <rFont val="Noto Sans CJK SC"/>
        <family val="2"/>
      </rPr>
      <t xml:space="preserve">제조사 블로그</t>
    </r>
    <r>
      <rPr>
        <sz val="13"/>
        <rFont val="맑은 고딕"/>
        <family val="0"/>
        <charset val="1"/>
      </rPr>
      <t xml:space="preserve">: </t>
    </r>
    <r>
      <rPr>
        <sz val="13"/>
        <rFont val="Noto Sans CJK SC"/>
        <family val="2"/>
      </rPr>
      <t xml:space="preserve">「많은 엔드밀은 최소 </t>
    </r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회」</t>
    </r>
    <r>
      <rPr>
        <sz val="13"/>
        <rFont val="맑은 고딕"/>
        <family val="0"/>
        <charset val="1"/>
      </rPr>
      <t xml:space="preserve">, </t>
    </r>
    <r>
      <rPr>
        <sz val="13"/>
        <rFont val="Noto Sans CJK SC"/>
        <family val="2"/>
      </rPr>
      <t xml:space="preserve">소경 </t>
    </r>
    <r>
      <rPr>
        <sz val="13"/>
        <rFont val="맑은 고딕"/>
        <family val="0"/>
        <charset val="1"/>
      </rPr>
      <t xml:space="preserve">5~6 mm </t>
    </r>
    <r>
      <rPr>
        <sz val="13"/>
        <rFont val="Noto Sans CJK SC"/>
        <family val="2"/>
      </rPr>
      <t xml:space="preserve">초경은 비권장</t>
    </r>
    <r>
      <rPr>
        <sz val="13"/>
        <rFont val="맑은 고딕"/>
        <family val="0"/>
        <charset val="1"/>
      </rPr>
      <t xml:space="preserve">. 5~15</t>
    </r>
    <r>
      <rPr>
        <sz val="13"/>
        <rFont val="Noto Sans CJK SC"/>
        <family val="2"/>
      </rPr>
      <t xml:space="preserve">회 근거 없음</t>
    </r>
  </si>
  <si>
    <r>
      <rPr>
        <sz val="13"/>
        <rFont val="맑은 고딕"/>
        <family val="0"/>
        <charset val="1"/>
      </rPr>
      <t xml:space="preserve">2_</t>
    </r>
    <r>
      <rPr>
        <sz val="13"/>
        <rFont val="Noto Sans CJK SC"/>
        <family val="2"/>
      </rPr>
      <t xml:space="preserve">재연삭횟수</t>
    </r>
  </si>
  <si>
    <t xml:space="preserve">③</t>
  </si>
  <si>
    <t xml:space="preserve">예열 전후 치수 차이 진단값</t>
  </si>
  <si>
    <r>
      <rPr>
        <sz val="13"/>
        <rFont val="맑은 고딕"/>
        <family val="0"/>
        <charset val="1"/>
      </rPr>
      <t xml:space="preserve">&gt; 5 μm  (troubleshoot/</t>
    </r>
    <r>
      <rPr>
        <sz val="13"/>
        <rFont val="Noto Sans CJK SC"/>
        <family val="2"/>
      </rPr>
      <t xml:space="preserve">치수불량 </t>
    </r>
    <r>
      <rPr>
        <sz val="13"/>
        <rFont val="맑은 고딕"/>
        <family val="0"/>
        <charset val="1"/>
      </rPr>
      <t xml:space="preserve">§</t>
    </r>
    <r>
      <rPr>
        <sz val="13"/>
        <rFont val="Noto Sans CJK SC"/>
        <family val="2"/>
      </rPr>
      <t xml:space="preserve">열변형</t>
    </r>
    <r>
      <rPr>
        <sz val="13"/>
        <rFont val="맑은 고딕"/>
        <family val="0"/>
        <charset val="1"/>
      </rPr>
      <t xml:space="preserve">)</t>
    </r>
  </si>
  <si>
    <t xml:space="preserve">출처 없음</t>
  </si>
  <si>
    <r>
      <rPr>
        <sz val="13"/>
        <rFont val="맑은 고딕"/>
        <family val="0"/>
        <charset val="1"/>
      </rPr>
      <t xml:space="preserve">3_</t>
    </r>
    <r>
      <rPr>
        <sz val="13"/>
        <rFont val="Noto Sans CJK SC"/>
        <family val="2"/>
      </rPr>
      <t xml:space="preserve">예열치수</t>
    </r>
  </si>
  <si>
    <t xml:space="preserve">④</t>
  </si>
  <si>
    <r>
      <rPr>
        <sz val="13"/>
        <rFont val="맑은 고딕"/>
        <family val="0"/>
        <charset val="1"/>
      </rPr>
      <t xml:space="preserve">L/D(</t>
    </r>
    <r>
      <rPr>
        <sz val="13"/>
        <rFont val="Noto Sans CJK SC"/>
        <family val="2"/>
      </rPr>
      <t xml:space="preserve">돌출비</t>
    </r>
    <r>
      <rPr>
        <sz val="13"/>
        <rFont val="맑은 고딕"/>
        <family val="0"/>
        <charset val="1"/>
      </rPr>
      <t xml:space="preserve">) </t>
    </r>
    <r>
      <rPr>
        <sz val="13"/>
        <rFont val="Noto Sans CJK SC"/>
        <family val="2"/>
      </rPr>
      <t xml:space="preserve">권장 상한</t>
    </r>
  </si>
  <si>
    <r>
      <rPr>
        <sz val="13"/>
        <rFont val="맑은 고딕"/>
        <family val="0"/>
        <charset val="1"/>
      </rPr>
      <t xml:space="preserve">&lt; 4  (troubleshoot/</t>
    </r>
    <r>
      <rPr>
        <sz val="13"/>
        <rFont val="Noto Sans CJK SC"/>
        <family val="2"/>
      </rPr>
      <t xml:space="preserve">치수불량 </t>
    </r>
    <r>
      <rPr>
        <sz val="13"/>
        <rFont val="맑은 고딕"/>
        <family val="0"/>
        <charset val="1"/>
      </rPr>
      <t xml:space="preserve">§</t>
    </r>
    <r>
      <rPr>
        <sz val="13"/>
        <rFont val="Noto Sans CJK SC"/>
        <family val="2"/>
      </rPr>
      <t xml:space="preserve">세팅 체크리스트</t>
    </r>
    <r>
      <rPr>
        <sz val="13"/>
        <rFont val="맑은 고딕"/>
        <family val="0"/>
        <charset val="1"/>
      </rPr>
      <t xml:space="preserve">)</t>
    </r>
  </si>
  <si>
    <r>
      <rPr>
        <sz val="13"/>
        <rFont val="맑은 고딕"/>
        <family val="0"/>
        <charset val="1"/>
      </rPr>
      <t xml:space="preserve">4_LD</t>
    </r>
    <r>
      <rPr>
        <sz val="13"/>
        <rFont val="Noto Sans CJK SC"/>
        <family val="2"/>
      </rPr>
      <t xml:space="preserve">비</t>
    </r>
  </si>
  <si>
    <t xml:space="preserve">⑤</t>
  </si>
  <si>
    <r>
      <rPr>
        <sz val="13"/>
        <rFont val="맑은 고딕"/>
        <family val="0"/>
        <charset val="1"/>
      </rPr>
      <t xml:space="preserve">6061-T6 </t>
    </r>
    <r>
      <rPr>
        <sz val="13"/>
        <rFont val="Noto Sans CJK SC"/>
        <family val="2"/>
      </rPr>
      <t xml:space="preserve">결정립 크기</t>
    </r>
  </si>
  <si>
    <r>
      <rPr>
        <sz val="13"/>
        <rFont val="맑은 고딕"/>
        <family val="0"/>
        <charset val="1"/>
      </rPr>
      <t xml:space="preserve">50~150 μm  (materials/</t>
    </r>
    <r>
      <rPr>
        <sz val="13"/>
        <rFont val="Noto Sans CJK SC"/>
        <family val="2"/>
      </rPr>
      <t xml:space="preserve">알루미늄 </t>
    </r>
    <r>
      <rPr>
        <sz val="13"/>
        <rFont val="맑은 고딕"/>
        <family val="0"/>
        <charset val="1"/>
      </rPr>
      <t xml:space="preserve">§4.1)</t>
    </r>
  </si>
  <si>
    <r>
      <rPr>
        <sz val="13"/>
        <rFont val="Noto Sans CJK SC"/>
        <family val="2"/>
      </rPr>
      <t xml:space="preserve">출처 없음</t>
    </r>
    <r>
      <rPr>
        <sz val="13"/>
        <rFont val="맑은 고딕"/>
        <family val="0"/>
        <charset val="1"/>
      </rPr>
      <t xml:space="preserve">. </t>
    </r>
    <r>
      <rPr>
        <sz val="13"/>
        <rFont val="Noto Sans CJK SC"/>
        <family val="2"/>
      </rPr>
      <t xml:space="preserve">제품 형태</t>
    </r>
    <r>
      <rPr>
        <sz val="13"/>
        <rFont val="맑은 고딕"/>
        <family val="0"/>
        <charset val="1"/>
      </rPr>
      <t xml:space="preserve">·</t>
    </r>
    <r>
      <rPr>
        <sz val="13"/>
        <rFont val="Noto Sans CJK SC"/>
        <family val="2"/>
      </rPr>
      <t xml:space="preserve">두께 위치에 따라 다름 — 현장 측정 불가</t>
    </r>
    <r>
      <rPr>
        <sz val="13"/>
        <rFont val="맑은 고딕"/>
        <family val="0"/>
        <charset val="1"/>
      </rPr>
      <t xml:space="preserve">, </t>
    </r>
    <r>
      <rPr>
        <sz val="13"/>
        <rFont val="Noto Sans CJK SC"/>
        <family val="2"/>
      </rPr>
      <t xml:space="preserve">성적서 확인 대상</t>
    </r>
  </si>
  <si>
    <r>
      <rPr>
        <sz val="13"/>
        <rFont val="맑은 고딕"/>
        <family val="0"/>
        <charset val="1"/>
      </rPr>
      <t xml:space="preserve">5_6061</t>
    </r>
    <r>
      <rPr>
        <sz val="13"/>
        <rFont val="Noto Sans CJK SC"/>
        <family val="2"/>
      </rPr>
      <t xml:space="preserve">결정립</t>
    </r>
  </si>
  <si>
    <t xml:space="preserve">우선순위 제안</t>
  </si>
  <si>
    <r>
      <rPr>
        <sz val="13"/>
        <rFont val="맑은 고딕"/>
        <family val="0"/>
        <charset val="1"/>
      </rPr>
      <t xml:space="preserve">①(</t>
    </r>
    <r>
      <rPr>
        <sz val="13"/>
        <rFont val="Noto Sans CJK SC"/>
        <family val="2"/>
      </rPr>
      <t xml:space="preserve">장비 품질과 직결 </t>
    </r>
    <r>
      <rPr>
        <sz val="13"/>
        <rFont val="맑은 고딕"/>
        <family val="0"/>
        <charset val="1"/>
      </rPr>
      <t xml:space="preserve">· </t>
    </r>
    <r>
      <rPr>
        <sz val="13"/>
        <rFont val="Noto Sans CJK SC"/>
        <family val="2"/>
      </rPr>
      <t xml:space="preserve">결정 필요</t>
    </r>
    <r>
      <rPr>
        <sz val="13"/>
        <rFont val="맑은 고딕"/>
        <family val="0"/>
        <charset val="1"/>
      </rPr>
      <t xml:space="preserve">) → ②(</t>
    </r>
    <r>
      <rPr>
        <sz val="13"/>
        <rFont val="Noto Sans CJK SC"/>
        <family val="2"/>
      </rPr>
      <t xml:space="preserve">재연마가 본업 — 경험값이 있으면 바로 채움</t>
    </r>
    <r>
      <rPr>
        <sz val="13"/>
        <rFont val="맑은 고딕"/>
        <family val="0"/>
        <charset val="1"/>
      </rPr>
      <t xml:space="preserve">) → ④ → ③(</t>
    </r>
    <r>
      <rPr>
        <sz val="13"/>
        <rFont val="Noto Sans CJK SC"/>
        <family val="2"/>
      </rPr>
      <t xml:space="preserve">측정 </t>
    </r>
    <r>
      <rPr>
        <sz val="13"/>
        <rFont val="맑은 고딕"/>
        <family val="0"/>
        <charset val="1"/>
      </rPr>
      <t xml:space="preserve">30</t>
    </r>
    <r>
      <rPr>
        <sz val="13"/>
        <rFont val="Noto Sans CJK SC"/>
        <family val="2"/>
      </rPr>
      <t xml:space="preserve">분 필요</t>
    </r>
    <r>
      <rPr>
        <sz val="13"/>
        <rFont val="맑은 고딕"/>
        <family val="0"/>
        <charset val="1"/>
      </rPr>
      <t xml:space="preserve">) → ⑤(</t>
    </r>
    <r>
      <rPr>
        <sz val="13"/>
        <rFont val="Noto Sans CJK SC"/>
        <family val="2"/>
      </rPr>
      <t xml:space="preserve">필요 낮음</t>
    </r>
    <r>
      <rPr>
        <sz val="13"/>
        <rFont val="맑은 고딕"/>
        <family val="0"/>
        <charset val="1"/>
      </rPr>
      <t xml:space="preserve">, </t>
    </r>
    <r>
      <rPr>
        <sz val="13"/>
        <rFont val="Noto Sans CJK SC"/>
        <family val="2"/>
      </rPr>
      <t xml:space="preserve">성적서 있을 때만</t>
    </r>
    <r>
      <rPr>
        <sz val="13"/>
        <rFont val="맑은 고딕"/>
        <family val="0"/>
        <charset val="1"/>
      </rPr>
      <t xml:space="preserve">)</t>
    </r>
  </si>
  <si>
    <r>
      <rPr>
        <sz val="13"/>
        <color rgb="FF595959"/>
        <rFont val="Noto Sans CJK SC"/>
        <family val="2"/>
      </rPr>
      <t xml:space="preserve">반영 절차</t>
    </r>
    <r>
      <rPr>
        <sz val="13"/>
        <color rgb="FF595959"/>
        <rFont val="맑은 고딕"/>
        <family val="0"/>
        <charset val="1"/>
      </rPr>
      <t xml:space="preserve">: </t>
    </r>
    <r>
      <rPr>
        <sz val="13"/>
        <color rgb="FF595959"/>
        <rFont val="Noto Sans CJK SC"/>
        <family val="2"/>
      </rPr>
      <t xml:space="preserve">이 파일을 저장해 두시면 </t>
    </r>
    <r>
      <rPr>
        <sz val="13"/>
        <color rgb="FF595959"/>
        <rFont val="맑은 고딕"/>
        <family val="0"/>
        <charset val="1"/>
      </rPr>
      <t xml:space="preserve">Cowork </t>
    </r>
    <r>
      <rPr>
        <sz val="13"/>
        <color rgb="FF595959"/>
        <rFont val="Noto Sans CJK SC"/>
        <family val="2"/>
      </rPr>
      <t xml:space="preserve">가 읽어 위키 해당 페이지</t>
    </r>
    <r>
      <rPr>
        <sz val="13"/>
        <color rgb="FF595959"/>
        <rFont val="맑은 고딕"/>
        <family val="0"/>
        <charset val="1"/>
      </rPr>
      <t xml:space="preserve">·decisions.md </t>
    </r>
    <r>
      <rPr>
        <sz val="13"/>
        <color rgb="FF595959"/>
        <rFont val="Noto Sans CJK SC"/>
        <family val="2"/>
      </rPr>
      <t xml:space="preserve">에 반영합니다</t>
    </r>
    <r>
      <rPr>
        <sz val="13"/>
        <color rgb="FF595959"/>
        <rFont val="맑은 고딕"/>
        <family val="0"/>
        <charset val="1"/>
      </rPr>
      <t xml:space="preserve">. </t>
    </r>
    <r>
      <rPr>
        <sz val="13"/>
        <color rgb="FF595959"/>
        <rFont val="Noto Sans CJK SC"/>
        <family val="2"/>
      </rPr>
      <t xml:space="preserve">근거</t>
    </r>
    <r>
      <rPr>
        <sz val="13"/>
        <color rgb="FF595959"/>
        <rFont val="맑은 고딕"/>
        <family val="0"/>
        <charset val="1"/>
      </rPr>
      <t xml:space="preserve">: decisions.md 2026-10-12 · log.md [2026-10-12] </t>
    </r>
    <r>
      <rPr>
        <sz val="13"/>
        <color rgb="FF595959"/>
        <rFont val="Noto Sans CJK SC"/>
        <family val="2"/>
      </rPr>
      <t xml:space="preserve">검수 후속</t>
    </r>
    <r>
      <rPr>
        <sz val="13"/>
        <color rgb="FF595959"/>
        <rFont val="맑은 고딕"/>
        <family val="0"/>
        <charset val="1"/>
      </rPr>
      <t xml:space="preserve">.</t>
    </r>
  </si>
  <si>
    <t xml:space="preserve">① 런아웃 — 연삭 세팅 점검 기준</t>
  </si>
  <si>
    <r>
      <rPr>
        <sz val="13"/>
        <rFont val="Noto Sans CJK SC"/>
        <family val="2"/>
      </rPr>
      <t xml:space="preserve">현재 위키 값 </t>
    </r>
    <r>
      <rPr>
        <sz val="13"/>
        <rFont val="맑은 고딕"/>
        <family val="0"/>
        <charset val="1"/>
      </rPr>
      <t xml:space="preserve">&lt; 0.010 mm </t>
    </r>
    <r>
      <rPr>
        <sz val="13"/>
        <rFont val="Noto Sans CJK SC"/>
        <family val="2"/>
      </rPr>
      <t xml:space="preserve">는 사내 게이지 최소 눈금</t>
    </r>
    <r>
      <rPr>
        <sz val="13"/>
        <rFont val="맑은 고딕"/>
        <family val="0"/>
        <charset val="1"/>
      </rPr>
      <t xml:space="preserve">(10 μm)·</t>
    </r>
    <r>
      <rPr>
        <sz val="13"/>
        <rFont val="Noto Sans CJK SC"/>
        <family val="2"/>
      </rPr>
      <t xml:space="preserve">「일반 재연마 출하 </t>
    </r>
    <r>
      <rPr>
        <sz val="13"/>
        <rFont val="맑은 고딕"/>
        <family val="0"/>
        <charset val="1"/>
      </rPr>
      <t xml:space="preserve">&lt; 10 μm(</t>
    </r>
    <r>
      <rPr>
        <sz val="13"/>
        <rFont val="Noto Sans CJK SC"/>
        <family val="2"/>
      </rPr>
      <t xml:space="preserve">사내 경험값</t>
    </r>
    <r>
      <rPr>
        <sz val="13"/>
        <rFont val="맑은 고딕"/>
        <family val="0"/>
        <charset val="1"/>
      </rPr>
      <t xml:space="preserve">·</t>
    </r>
    <r>
      <rPr>
        <sz val="13"/>
        <rFont val="Noto Sans CJK SC"/>
        <family val="2"/>
      </rPr>
      <t xml:space="preserve">추정</t>
    </r>
    <r>
      <rPr>
        <sz val="13"/>
        <rFont val="맑은 고딕"/>
        <family val="0"/>
        <charset val="1"/>
      </rPr>
      <t xml:space="preserve">)</t>
    </r>
    <r>
      <rPr>
        <sz val="13"/>
        <rFont val="Noto Sans CJK SC"/>
        <family val="2"/>
      </rPr>
      <t xml:space="preserve">」과 같은 값입니다</t>
    </r>
    <r>
      <rPr>
        <sz val="13"/>
        <rFont val="맑은 고딕"/>
        <family val="0"/>
        <charset val="1"/>
      </rPr>
      <t xml:space="preserve">. ANCA Premierplus </t>
    </r>
    <r>
      <rPr>
        <sz val="13"/>
        <rFont val="Noto Sans CJK SC"/>
        <family val="2"/>
      </rPr>
      <t xml:space="preserve">콜릿 정상 기준은 </t>
    </r>
    <r>
      <rPr>
        <sz val="13"/>
        <rFont val="맑은 고딕"/>
        <family val="0"/>
        <charset val="1"/>
      </rPr>
      <t xml:space="preserve">&lt; 5 μm [VEN-ANCA-ENDMILL-GUIDE] </t>
    </r>
    <r>
      <rPr>
        <sz val="13"/>
        <rFont val="Noto Sans CJK SC"/>
        <family val="2"/>
      </rPr>
      <t xml:space="preserve">이고</t>
    </r>
    <r>
      <rPr>
        <sz val="13"/>
        <rFont val="맑은 고딕"/>
        <family val="0"/>
        <charset val="1"/>
      </rPr>
      <t xml:space="preserve">, </t>
    </r>
    <r>
      <rPr>
        <sz val="13"/>
        <rFont val="Noto Sans CJK SC"/>
        <family val="2"/>
      </rPr>
      <t xml:space="preserve">홀더 제조사 자료로는 런아웃 </t>
    </r>
    <r>
      <rPr>
        <sz val="13"/>
        <rFont val="맑은 고딕"/>
        <family val="0"/>
        <charset val="1"/>
      </rPr>
      <t xml:space="preserve">12.7 μm </t>
    </r>
    <r>
      <rPr>
        <sz val="13"/>
        <rFont val="Noto Sans CJK SC"/>
        <family val="2"/>
      </rPr>
      <t xml:space="preserve">에서 초경 엔드밀 수명이 약 </t>
    </r>
    <r>
      <rPr>
        <sz val="13"/>
        <rFont val="맑은 고딕"/>
        <family val="0"/>
        <charset val="1"/>
      </rPr>
      <t xml:space="preserve">50% </t>
    </r>
    <r>
      <rPr>
        <sz val="13"/>
        <rFont val="Noto Sans CJK SC"/>
        <family val="2"/>
      </rPr>
      <t xml:space="preserve">줄어듭니다 </t>
    </r>
    <r>
      <rPr>
        <sz val="13"/>
        <rFont val="맑은 고딕"/>
        <family val="0"/>
        <charset val="1"/>
      </rPr>
      <t xml:space="preserve">[VEN-BIGDAISHOWA-RUNOUT-2026].</t>
    </r>
  </si>
  <si>
    <r>
      <rPr>
        <b val="true"/>
        <sz val="15"/>
        <rFont val="맑은 고딕"/>
        <family val="0"/>
        <charset val="1"/>
      </rPr>
      <t xml:space="preserve">A. </t>
    </r>
    <r>
      <rPr>
        <b val="true"/>
        <sz val="15"/>
        <rFont val="Noto Sans CJK SC"/>
        <family val="2"/>
      </rPr>
      <t xml:space="preserve">기준 결정 — 하나를 골라 주세요</t>
    </r>
  </si>
  <si>
    <t xml:space="preserve">안</t>
  </si>
  <si>
    <t xml:space="preserve">내용</t>
  </si>
  <si>
    <t xml:space="preserve">필요한 것</t>
  </si>
  <si>
    <r>
      <rPr>
        <b val="true"/>
        <sz val="13"/>
        <rFont val="맑은 고딕"/>
        <family val="0"/>
        <charset val="1"/>
      </rPr>
      <t xml:space="preserve">A</t>
    </r>
    <r>
      <rPr>
        <b val="true"/>
        <sz val="13"/>
        <rFont val="Noto Sans CJK SC"/>
        <family val="2"/>
      </rPr>
      <t xml:space="preserve">안</t>
    </r>
  </si>
  <si>
    <r>
      <rPr>
        <sz val="13"/>
        <rFont val="맑은 고딕"/>
        <family val="0"/>
        <charset val="1"/>
      </rPr>
      <t xml:space="preserve">ANCA </t>
    </r>
    <r>
      <rPr>
        <sz val="13"/>
        <rFont val="Noto Sans CJK SC"/>
        <family val="2"/>
      </rPr>
      <t xml:space="preserve">기준 그대로 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세팅 </t>
    </r>
    <r>
      <rPr>
        <sz val="13"/>
        <rFont val="맑은 고딕"/>
        <family val="0"/>
        <charset val="1"/>
      </rPr>
      <t xml:space="preserve">&lt; 5 μm)</t>
    </r>
  </si>
  <si>
    <r>
      <rPr>
        <sz val="13"/>
        <rFont val="맑은 고딕"/>
        <family val="0"/>
        <charset val="1"/>
      </rPr>
      <t xml:space="preserve">5 μm </t>
    </r>
    <r>
      <rPr>
        <sz val="13"/>
        <rFont val="Noto Sans CJK SC"/>
        <family val="2"/>
      </rPr>
      <t xml:space="preserve">이하를 읽을 수 있는 측정 장비 필요</t>
    </r>
    <r>
      <rPr>
        <sz val="13"/>
        <rFont val="맑은 고딕"/>
        <family val="0"/>
        <charset val="1"/>
      </rPr>
      <t xml:space="preserve">(1 μm </t>
    </r>
    <r>
      <rPr>
        <sz val="13"/>
        <rFont val="Noto Sans CJK SC"/>
        <family val="2"/>
      </rPr>
      <t xml:space="preserve">인디케이터 또는 </t>
    </r>
    <r>
      <rPr>
        <sz val="13"/>
        <rFont val="맑은 고딕"/>
        <family val="0"/>
        <charset val="1"/>
      </rPr>
      <t xml:space="preserve">ANCA LaserPlus </t>
    </r>
    <r>
      <rPr>
        <sz val="13"/>
        <rFont val="Noto Sans CJK SC"/>
        <family val="2"/>
      </rPr>
      <t xml:space="preserve">등</t>
    </r>
    <r>
      <rPr>
        <sz val="13"/>
        <rFont val="맑은 고딕"/>
        <family val="0"/>
        <charset val="1"/>
      </rPr>
      <t xml:space="preserve">) — B</t>
    </r>
    <r>
      <rPr>
        <sz val="13"/>
        <rFont val="Noto Sans CJK SC"/>
        <family val="2"/>
      </rPr>
      <t xml:space="preserve">표에서 보유 여부 확인</t>
    </r>
  </si>
  <si>
    <r>
      <rPr>
        <b val="true"/>
        <sz val="13"/>
        <rFont val="맑은 고딕"/>
        <family val="0"/>
        <charset val="1"/>
      </rPr>
      <t xml:space="preserve">B</t>
    </r>
    <r>
      <rPr>
        <b val="true"/>
        <sz val="13"/>
        <rFont val="Noto Sans CJK SC"/>
        <family val="2"/>
      </rPr>
      <t xml:space="preserve">안</t>
    </r>
  </si>
  <si>
    <r>
      <rPr>
        <sz val="13"/>
        <rFont val="Noto Sans CJK SC"/>
        <family val="2"/>
      </rPr>
      <t xml:space="preserve">현 게이지 기준 유지 </t>
    </r>
    <r>
      <rPr>
        <sz val="13"/>
        <rFont val="맑은 고딕"/>
        <family val="0"/>
        <charset val="1"/>
      </rPr>
      <t xml:space="preserve">(&lt; 10 μm)</t>
    </r>
  </si>
  <si>
    <r>
      <rPr>
        <sz val="13"/>
        <rFont val="Noto Sans CJK SC"/>
        <family val="2"/>
      </rPr>
      <t xml:space="preserve">지금 장비로 바로 가능</t>
    </r>
    <r>
      <rPr>
        <sz val="13"/>
        <rFont val="맑은 고딕"/>
        <family val="0"/>
        <charset val="1"/>
      </rPr>
      <t xml:space="preserve">. ANCA </t>
    </r>
    <r>
      <rPr>
        <sz val="13"/>
        <rFont val="Noto Sans CJK SC"/>
        <family val="2"/>
      </rPr>
      <t xml:space="preserve">기준</t>
    </r>
    <r>
      <rPr>
        <sz val="13"/>
        <rFont val="맑은 고딕"/>
        <family val="0"/>
        <charset val="1"/>
      </rPr>
      <t xml:space="preserve">(&lt; 5 μm)</t>
    </r>
    <r>
      <rPr>
        <sz val="13"/>
        <rFont val="Noto Sans CJK SC"/>
        <family val="2"/>
      </rPr>
      <t xml:space="preserve">은 「참고」로만 병기</t>
    </r>
  </si>
  <si>
    <r>
      <rPr>
        <b val="true"/>
        <sz val="13"/>
        <rFont val="맑은 고딕"/>
        <family val="0"/>
        <charset val="1"/>
      </rPr>
      <t xml:space="preserve">C</t>
    </r>
    <r>
      <rPr>
        <b val="true"/>
        <sz val="13"/>
        <rFont val="Noto Sans CJK SC"/>
        <family val="2"/>
      </rPr>
      <t xml:space="preserve">안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</si>
  <si>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단계 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세팅 </t>
    </r>
    <r>
      <rPr>
        <sz val="13"/>
        <rFont val="맑은 고딕"/>
        <family val="0"/>
        <charset val="1"/>
      </rPr>
      <t xml:space="preserve">&lt; 5 μm · </t>
    </r>
    <r>
      <rPr>
        <sz val="13"/>
        <rFont val="Noto Sans CJK SC"/>
        <family val="2"/>
      </rPr>
      <t xml:space="preserve">출하 </t>
    </r>
    <r>
      <rPr>
        <sz val="13"/>
        <rFont val="맑은 고딕"/>
        <family val="0"/>
        <charset val="1"/>
      </rPr>
      <t xml:space="preserve">&lt; 10 μm)</t>
    </r>
  </si>
  <si>
    <r>
      <rPr>
        <sz val="13"/>
        <rFont val="Noto Sans CJK SC"/>
        <family val="2"/>
      </rPr>
      <t xml:space="preserve">연삭기 세팅은 정밀 측정</t>
    </r>
    <r>
      <rPr>
        <sz val="13"/>
        <rFont val="맑은 고딕"/>
        <family val="0"/>
        <charset val="1"/>
      </rPr>
      <t xml:space="preserve">, </t>
    </r>
    <r>
      <rPr>
        <sz val="13"/>
        <rFont val="Noto Sans CJK SC"/>
        <family val="2"/>
      </rPr>
      <t xml:space="preserve">출하 검사는 현 게이지</t>
    </r>
    <r>
      <rPr>
        <sz val="13"/>
        <rFont val="맑은 고딕"/>
        <family val="0"/>
        <charset val="1"/>
      </rPr>
      <t xml:space="preserve">. </t>
    </r>
    <r>
      <rPr>
        <sz val="13"/>
        <rFont val="Noto Sans CJK SC"/>
        <family val="2"/>
      </rPr>
      <t xml:space="preserve">장비 보강 범위가 가장 작음</t>
    </r>
  </si>
  <si>
    <t xml:space="preserve">선택 ▼</t>
  </si>
  <si>
    <r>
      <rPr>
        <b val="true"/>
        <sz val="13"/>
        <rFont val="Noto Sans CJK SC"/>
        <family val="2"/>
      </rPr>
      <t xml:space="preserve">적용 기준값 </t>
    </r>
    <r>
      <rPr>
        <b val="true"/>
        <sz val="13"/>
        <rFont val="맑은 고딕"/>
        <family val="0"/>
        <charset val="1"/>
      </rPr>
      <t xml:space="preserve">(μm)</t>
    </r>
  </si>
  <si>
    <t xml:space="preserve">메모</t>
  </si>
  <si>
    <r>
      <rPr>
        <sz val="13"/>
        <color rgb="FF595959"/>
        <rFont val="Noto Sans CJK SC"/>
        <family val="2"/>
      </rPr>
      <t xml:space="preserve">※ 「적용 기준값」은 아래 </t>
    </r>
    <r>
      <rPr>
        <sz val="13"/>
        <color rgb="FF595959"/>
        <rFont val="맑은 고딕"/>
        <family val="0"/>
        <charset val="1"/>
      </rPr>
      <t xml:space="preserve">C</t>
    </r>
    <r>
      <rPr>
        <sz val="13"/>
        <color rgb="FF595959"/>
        <rFont val="Noto Sans CJK SC"/>
        <family val="2"/>
      </rPr>
      <t xml:space="preserve">표 판정에 자동으로 쓰입니다</t>
    </r>
    <r>
      <rPr>
        <sz val="13"/>
        <color rgb="FF595959"/>
        <rFont val="맑은 고딕"/>
        <family val="0"/>
        <charset val="1"/>
      </rPr>
      <t xml:space="preserve">(</t>
    </r>
    <r>
      <rPr>
        <sz val="13"/>
        <color rgb="FF595959"/>
        <rFont val="Noto Sans CJK SC"/>
        <family val="2"/>
      </rPr>
      <t xml:space="preserve">비워 두면 판정 안 함</t>
    </r>
    <r>
      <rPr>
        <sz val="13"/>
        <color rgb="FF595959"/>
        <rFont val="맑은 고딕"/>
        <family val="0"/>
        <charset val="1"/>
      </rPr>
      <t xml:space="preserve">).</t>
    </r>
  </si>
  <si>
    <r>
      <rPr>
        <b val="true"/>
        <sz val="15"/>
        <rFont val="맑은 고딕"/>
        <family val="0"/>
        <charset val="1"/>
      </rPr>
      <t xml:space="preserve">B. </t>
    </r>
    <r>
      <rPr>
        <b val="true"/>
        <sz val="15"/>
        <rFont val="Noto Sans CJK SC"/>
        <family val="2"/>
      </rPr>
      <t xml:space="preserve">보유 측정 장비 — 보유 여부만 표시</t>
    </r>
  </si>
  <si>
    <t xml:space="preserve">장비</t>
  </si>
  <si>
    <r>
      <rPr>
        <b val="true"/>
        <sz val="13"/>
        <rFont val="Noto Sans CJK SC"/>
        <family val="2"/>
      </rPr>
      <t xml:space="preserve">형번</t>
    </r>
    <r>
      <rPr>
        <b val="true"/>
        <sz val="13"/>
        <rFont val="맑은 고딕"/>
        <family val="0"/>
        <charset val="1"/>
      </rPr>
      <t xml:space="preserve">/</t>
    </r>
    <r>
      <rPr>
        <b val="true"/>
        <sz val="13"/>
        <rFont val="Noto Sans CJK SC"/>
        <family val="2"/>
      </rPr>
      <t xml:space="preserve">메이커</t>
    </r>
  </si>
  <si>
    <r>
      <rPr>
        <b val="true"/>
        <sz val="13"/>
        <rFont val="Noto Sans CJK SC"/>
        <family val="2"/>
      </rPr>
      <t xml:space="preserve">최소 눈금 </t>
    </r>
    <r>
      <rPr>
        <b val="true"/>
        <sz val="13"/>
        <rFont val="맑은 고딕"/>
        <family val="0"/>
        <charset val="1"/>
      </rPr>
      <t xml:space="preserve">(μm)</t>
    </r>
  </si>
  <si>
    <t xml:space="preserve">보유 ▼</t>
  </si>
  <si>
    <t xml:space="preserve">설치 위치</t>
  </si>
  <si>
    <t xml:space="preserve">교정 일자</t>
  </si>
  <si>
    <t xml:space="preserve">비고</t>
  </si>
  <si>
    <t xml:space="preserve">전자 다이얼 게이지</t>
  </si>
  <si>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확인 필요</t>
    </r>
    <r>
      <rPr>
        <sz val="13"/>
        <rFont val="맑은 고딕"/>
        <family val="0"/>
        <charset val="1"/>
      </rPr>
      <t xml:space="preserve">)</t>
    </r>
  </si>
  <si>
    <t xml:space="preserve">보유</t>
  </si>
  <si>
    <r>
      <rPr>
        <sz val="13"/>
        <rFont val="Noto Sans CJK SC"/>
        <family val="2"/>
      </rPr>
      <t xml:space="preserve">위키 기록</t>
    </r>
    <r>
      <rPr>
        <sz val="13"/>
        <rFont val="맑은 고딕"/>
        <family val="0"/>
        <charset val="1"/>
      </rPr>
      <t xml:space="preserve">: </t>
    </r>
    <r>
      <rPr>
        <sz val="13"/>
        <rFont val="Noto Sans CJK SC"/>
        <family val="2"/>
      </rPr>
      <t xml:space="preserve">최소 눈금 </t>
    </r>
    <r>
      <rPr>
        <sz val="13"/>
        <rFont val="맑은 고딕"/>
        <family val="0"/>
        <charset val="1"/>
      </rPr>
      <t xml:space="preserve">10 μm [</t>
    </r>
    <r>
      <rPr>
        <sz val="13"/>
        <rFont val="Noto Sans CJK SC"/>
        <family val="2"/>
      </rPr>
      <t xml:space="preserve">사내 확인 </t>
    </r>
    <r>
      <rPr>
        <sz val="13"/>
        <rFont val="맑은 고딕"/>
        <family val="0"/>
        <charset val="1"/>
      </rPr>
      <t xml:space="preserve">2026-06-15]</t>
    </r>
  </si>
  <si>
    <r>
      <rPr>
        <sz val="13"/>
        <rFont val="맑은 고딕"/>
        <family val="0"/>
        <charset val="1"/>
      </rPr>
      <t xml:space="preserve">1 μm </t>
    </r>
    <r>
      <rPr>
        <sz val="13"/>
        <rFont val="Noto Sans CJK SC"/>
        <family val="2"/>
      </rPr>
      <t xml:space="preserve">다이얼 인디케이터</t>
    </r>
  </si>
  <si>
    <t xml:space="preserve">1</t>
  </si>
  <si>
    <t xml:space="preserve">ANCA LaserPlus (FG/GX7)</t>
  </si>
  <si>
    <t xml:space="preserve">ANCA</t>
  </si>
  <si>
    <r>
      <rPr>
        <sz val="13"/>
        <rFont val="Noto Sans CJK SC"/>
        <family val="2"/>
      </rPr>
      <t xml:space="preserve">공정 중 외경</t>
    </r>
    <r>
      <rPr>
        <sz val="13"/>
        <rFont val="맑은 고딕"/>
        <family val="0"/>
        <charset val="1"/>
      </rPr>
      <t xml:space="preserve">·</t>
    </r>
    <r>
      <rPr>
        <sz val="13"/>
        <rFont val="Noto Sans CJK SC"/>
        <family val="2"/>
      </rPr>
      <t xml:space="preserve">런아웃 측정 옵션</t>
    </r>
  </si>
  <si>
    <r>
      <rPr>
        <sz val="13"/>
        <rFont val="Noto Sans CJK SC"/>
        <family val="2"/>
      </rPr>
      <t xml:space="preserve">공구 측정기 </t>
    </r>
    <r>
      <rPr>
        <sz val="13"/>
        <rFont val="맑은 고딕"/>
        <family val="0"/>
        <charset val="1"/>
      </rPr>
      <t xml:space="preserve">(Zoller </t>
    </r>
    <r>
      <rPr>
        <sz val="13"/>
        <rFont val="Noto Sans CJK SC"/>
        <family val="2"/>
      </rPr>
      <t xml:space="preserve">등</t>
    </r>
    <r>
      <rPr>
        <sz val="13"/>
        <rFont val="맑은 고딕"/>
        <family val="0"/>
        <charset val="1"/>
      </rPr>
      <t xml:space="preserve">)</t>
    </r>
  </si>
  <si>
    <t xml:space="preserve">기타</t>
  </si>
  <si>
    <r>
      <rPr>
        <b val="true"/>
        <sz val="15"/>
        <rFont val="맑은 고딕"/>
        <family val="0"/>
        <charset val="1"/>
      </rPr>
      <t xml:space="preserve">C. </t>
    </r>
    <r>
      <rPr>
        <b val="true"/>
        <sz val="15"/>
        <rFont val="Noto Sans CJK SC"/>
        <family val="2"/>
      </rPr>
      <t xml:space="preserve">실측 기록 — 세팅 시 </t>
    </r>
    <r>
      <rPr>
        <b val="true"/>
        <sz val="15"/>
        <rFont val="맑은 고딕"/>
        <family val="0"/>
        <charset val="1"/>
      </rPr>
      <t xml:space="preserve">TIR </t>
    </r>
    <r>
      <rPr>
        <b val="true"/>
        <sz val="15"/>
        <rFont val="Noto Sans CJK SC"/>
        <family val="2"/>
      </rPr>
      <t xml:space="preserve">몇 번만 재 보면 「사내 실측」 기준이 됩니다</t>
    </r>
  </si>
  <si>
    <t xml:space="preserve">날짜</t>
  </si>
  <si>
    <t xml:space="preserve">장비 ▼</t>
  </si>
  <si>
    <r>
      <rPr>
        <b val="true"/>
        <sz val="13"/>
        <rFont val="Noto Sans CJK SC"/>
        <family val="2"/>
      </rPr>
      <t xml:space="preserve">콜릿</t>
    </r>
    <r>
      <rPr>
        <b val="true"/>
        <sz val="13"/>
        <rFont val="맑은 고딕"/>
        <family val="0"/>
        <charset val="1"/>
      </rPr>
      <t xml:space="preserve">/</t>
    </r>
    <r>
      <rPr>
        <b val="true"/>
        <sz val="13"/>
        <rFont val="Noto Sans CJK SC"/>
        <family val="2"/>
      </rPr>
      <t xml:space="preserve">홀더</t>
    </r>
  </si>
  <si>
    <r>
      <rPr>
        <b val="true"/>
        <sz val="13"/>
        <rFont val="Noto Sans CJK SC"/>
        <family val="2"/>
      </rPr>
      <t xml:space="preserve">공구 직경 </t>
    </r>
    <r>
      <rPr>
        <b val="true"/>
        <sz val="13"/>
        <rFont val="맑은 고딕"/>
        <family val="0"/>
        <charset val="1"/>
      </rPr>
      <t xml:space="preserve">(mm)</t>
    </r>
  </si>
  <si>
    <r>
      <rPr>
        <b val="true"/>
        <sz val="13"/>
        <rFont val="Noto Sans CJK SC"/>
        <family val="2"/>
      </rPr>
      <t xml:space="preserve">측정 위치 </t>
    </r>
    <r>
      <rPr>
        <b val="true"/>
        <sz val="13"/>
        <rFont val="맑은 고딕"/>
        <family val="0"/>
        <charset val="1"/>
      </rPr>
      <t xml:space="preserve">(</t>
    </r>
    <r>
      <rPr>
        <b val="true"/>
        <sz val="13"/>
        <rFont val="Noto Sans CJK SC"/>
        <family val="2"/>
      </rPr>
      <t xml:space="preserve">날끝에서 </t>
    </r>
    <r>
      <rPr>
        <b val="true"/>
        <sz val="13"/>
        <rFont val="맑은 고딕"/>
        <family val="0"/>
        <charset val="1"/>
      </rPr>
      <t xml:space="preserve">mm)</t>
    </r>
  </si>
  <si>
    <t xml:space="preserve">측정 장비</t>
  </si>
  <si>
    <t xml:space="preserve">TIR (μm)</t>
  </si>
  <si>
    <t xml:space="preserve">판정</t>
  </si>
  <si>
    <t xml:space="preserve">2026-10-13</t>
  </si>
  <si>
    <t xml:space="preserve">GX7</t>
  </si>
  <si>
    <t xml:space="preserve">Premierplus Ø6</t>
  </si>
  <si>
    <t xml:space="preserve">예시</t>
  </si>
  <si>
    <t xml:space="preserve">예시 행</t>
  </si>
  <si>
    <r>
      <rPr>
        <sz val="13"/>
        <color rgb="FF595959"/>
        <rFont val="Noto Sans CJK SC"/>
        <family val="2"/>
      </rPr>
      <t xml:space="preserve">※ 측정 장비 최소 눈금보다 작은 </t>
    </r>
    <r>
      <rPr>
        <sz val="13"/>
        <color rgb="FF595959"/>
        <rFont val="맑은 고딕"/>
        <family val="0"/>
        <charset val="1"/>
      </rPr>
      <t xml:space="preserve">TIR </t>
    </r>
    <r>
      <rPr>
        <sz val="13"/>
        <color rgb="FF595959"/>
        <rFont val="Noto Sans CJK SC"/>
        <family val="2"/>
      </rPr>
      <t xml:space="preserve">은 「</t>
    </r>
    <r>
      <rPr>
        <sz val="13"/>
        <color rgb="FF595959"/>
        <rFont val="맑은 고딕"/>
        <family val="0"/>
        <charset val="1"/>
      </rPr>
      <t xml:space="preserve">&lt; </t>
    </r>
    <r>
      <rPr>
        <sz val="13"/>
        <color rgb="FF595959"/>
        <rFont val="Noto Sans CJK SC"/>
        <family val="2"/>
      </rPr>
      <t xml:space="preserve">눈금값」으로 적어 주세요</t>
    </r>
    <r>
      <rPr>
        <sz val="13"/>
        <color rgb="FF595959"/>
        <rFont val="맑은 고딕"/>
        <family val="0"/>
        <charset val="1"/>
      </rPr>
      <t xml:space="preserve">(</t>
    </r>
    <r>
      <rPr>
        <sz val="13"/>
        <color rgb="FF595959"/>
        <rFont val="Noto Sans CJK SC"/>
        <family val="2"/>
      </rPr>
      <t xml:space="preserve">예</t>
    </r>
    <r>
      <rPr>
        <sz val="13"/>
        <color rgb="FF595959"/>
        <rFont val="맑은 고딕"/>
        <family val="0"/>
        <charset val="1"/>
      </rPr>
      <t xml:space="preserve">: &lt; 10). </t>
    </r>
    <r>
      <rPr>
        <sz val="13"/>
        <color rgb="FF595959"/>
        <rFont val="Noto Sans CJK SC"/>
        <family val="2"/>
      </rPr>
      <t xml:space="preserve">판정은 숫자일 때만 합니다</t>
    </r>
    <r>
      <rPr>
        <sz val="13"/>
        <color rgb="FF595959"/>
        <rFont val="맑은 고딕"/>
        <family val="0"/>
        <charset val="1"/>
      </rPr>
      <t xml:space="preserve">.</t>
    </r>
  </si>
  <si>
    <t xml:space="preserve">② 재연삭 가능 횟수</t>
  </si>
  <si>
    <r>
      <rPr>
        <sz val="13"/>
        <rFont val="Noto Sans CJK SC"/>
        <family val="2"/>
      </rPr>
      <t xml:space="preserve">위키 값 「보통 </t>
    </r>
    <r>
      <rPr>
        <sz val="13"/>
        <rFont val="맑은 고딕"/>
        <family val="0"/>
        <charset val="1"/>
      </rPr>
      <t xml:space="preserve">5~15</t>
    </r>
    <r>
      <rPr>
        <sz val="13"/>
        <rFont val="Noto Sans CJK SC"/>
        <family val="2"/>
      </rPr>
      <t xml:space="preserve">회」는 출처가 없습니다</t>
    </r>
    <r>
      <rPr>
        <sz val="13"/>
        <rFont val="맑은 고딕"/>
        <family val="0"/>
        <charset val="1"/>
      </rPr>
      <t xml:space="preserve">. </t>
    </r>
    <r>
      <rPr>
        <sz val="13"/>
        <rFont val="Noto Sans CJK SC"/>
        <family val="2"/>
      </rPr>
      <t xml:space="preserve">제조사 자료는 「많은 엔드밀은 최소 </t>
    </r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회」 </t>
    </r>
    <r>
      <rPr>
        <sz val="13"/>
        <rFont val="맑은 고딕"/>
        <family val="0"/>
        <charset val="1"/>
      </rPr>
      <t xml:space="preserve">[VEN-UNITEDGRINDING-REGRIND-2021] </t>
    </r>
    <r>
      <rPr>
        <sz val="13"/>
        <rFont val="Noto Sans CJK SC"/>
        <family val="2"/>
      </rPr>
      <t xml:space="preserve">정도입니다</t>
    </r>
    <r>
      <rPr>
        <sz val="13"/>
        <rFont val="맑은 고딕"/>
        <family val="0"/>
        <charset val="1"/>
      </rPr>
      <t xml:space="preserve">. </t>
    </r>
    <r>
      <rPr>
        <sz val="13"/>
        <rFont val="Noto Sans CJK SC"/>
        <family val="2"/>
      </rPr>
      <t xml:space="preserve">재연마가 본업이라 현장 경험값이 가장 좋은 근거입니다</t>
    </r>
    <r>
      <rPr>
        <sz val="13"/>
        <rFont val="맑은 고딕"/>
        <family val="0"/>
        <charset val="1"/>
      </rPr>
      <t xml:space="preserve">.</t>
    </r>
  </si>
  <si>
    <r>
      <rPr>
        <b val="true"/>
        <sz val="15"/>
        <rFont val="맑은 고딕"/>
        <family val="0"/>
        <charset val="1"/>
      </rPr>
      <t xml:space="preserve">A. </t>
    </r>
    <r>
      <rPr>
        <b val="true"/>
        <sz val="15"/>
        <rFont val="Noto Sans CJK SC"/>
        <family val="2"/>
      </rPr>
      <t xml:space="preserve">현장 경험값 — 공구 구분별로 아는 만큼</t>
    </r>
  </si>
  <si>
    <t xml:space="preserve">공구 종류 ▼</t>
  </si>
  <si>
    <t xml:space="preserve">날수</t>
  </si>
  <si>
    <r>
      <rPr>
        <b val="true"/>
        <sz val="13"/>
        <rFont val="Noto Sans CJK SC"/>
        <family val="2"/>
      </rPr>
      <t xml:space="preserve">직경 구간 </t>
    </r>
    <r>
      <rPr>
        <b val="true"/>
        <sz val="13"/>
        <rFont val="맑은 고딕"/>
        <family val="0"/>
        <charset val="1"/>
      </rPr>
      <t xml:space="preserve">(mm)</t>
    </r>
  </si>
  <si>
    <r>
      <rPr>
        <b val="true"/>
        <sz val="13"/>
        <rFont val="Noto Sans CJK SC"/>
        <family val="2"/>
      </rPr>
      <t xml:space="preserve">보통 횟수 </t>
    </r>
    <r>
      <rPr>
        <b val="true"/>
        <sz val="13"/>
        <rFont val="맑은 고딕"/>
        <family val="0"/>
        <charset val="1"/>
      </rPr>
      <t xml:space="preserve">(</t>
    </r>
    <r>
      <rPr>
        <b val="true"/>
        <sz val="13"/>
        <rFont val="Noto Sans CJK SC"/>
        <family val="2"/>
      </rPr>
      <t xml:space="preserve">최소</t>
    </r>
    <r>
      <rPr>
        <b val="true"/>
        <sz val="13"/>
        <rFont val="맑은 고딕"/>
        <family val="0"/>
        <charset val="1"/>
      </rPr>
      <t xml:space="preserve">)</t>
    </r>
  </si>
  <si>
    <r>
      <rPr>
        <b val="true"/>
        <sz val="13"/>
        <rFont val="Noto Sans CJK SC"/>
        <family val="2"/>
      </rPr>
      <t xml:space="preserve">보통 횟수 </t>
    </r>
    <r>
      <rPr>
        <b val="true"/>
        <sz val="13"/>
        <rFont val="맑은 고딕"/>
        <family val="0"/>
        <charset val="1"/>
      </rPr>
      <t xml:space="preserve">(</t>
    </r>
    <r>
      <rPr>
        <b val="true"/>
        <sz val="13"/>
        <rFont val="Noto Sans CJK SC"/>
        <family val="2"/>
      </rPr>
      <t xml:space="preserve">최대</t>
    </r>
    <r>
      <rPr>
        <b val="true"/>
        <sz val="13"/>
        <rFont val="맑은 고딕"/>
        <family val="0"/>
        <charset val="1"/>
      </rPr>
      <t xml:space="preserve">)</t>
    </r>
  </si>
  <si>
    <t xml:space="preserve">폐기 주원인 ▼</t>
  </si>
  <si>
    <t xml:space="preserve">신뢰도 ▼</t>
  </si>
  <si>
    <t xml:space="preserve">평엔드밀</t>
  </si>
  <si>
    <t xml:space="preserve">6~10</t>
  </si>
  <si>
    <t xml:space="preserve">인선 길이 부족</t>
  </si>
  <si>
    <t xml:space="preserve">사내 경험값</t>
  </si>
  <si>
    <t xml:space="preserve">예시 — 실제 값 아님</t>
  </si>
  <si>
    <r>
      <rPr>
        <b val="true"/>
        <sz val="15"/>
        <rFont val="맑은 고딕"/>
        <family val="0"/>
        <charset val="1"/>
      </rPr>
      <t xml:space="preserve">B. </t>
    </r>
    <r>
      <rPr>
        <b val="true"/>
        <sz val="15"/>
        <rFont val="Noto Sans CJK SC"/>
        <family val="2"/>
      </rPr>
      <t xml:space="preserve">이론값과 비교 </t>
    </r>
    <r>
      <rPr>
        <b val="true"/>
        <sz val="15"/>
        <rFont val="맑은 고딕"/>
        <family val="0"/>
        <charset val="1"/>
      </rPr>
      <t xml:space="preserve">(</t>
    </r>
    <r>
      <rPr>
        <b val="true"/>
        <sz val="15"/>
        <rFont val="Noto Sans CJK SC"/>
        <family val="2"/>
      </rPr>
      <t xml:space="preserve">선택</t>
    </r>
    <r>
      <rPr>
        <b val="true"/>
        <sz val="15"/>
        <rFont val="맑은 고딕"/>
        <family val="0"/>
        <charset val="1"/>
      </rPr>
      <t xml:space="preserve">) — N = (L_total − L_safe) ÷ L_grind</t>
    </r>
  </si>
  <si>
    <t xml:space="preserve">공구</t>
  </si>
  <si>
    <r>
      <rPr>
        <b val="true"/>
        <sz val="13"/>
        <rFont val="맑은 고딕"/>
        <family val="0"/>
        <charset val="1"/>
      </rPr>
      <t xml:space="preserve">L_total </t>
    </r>
    <r>
      <rPr>
        <b val="true"/>
        <sz val="13"/>
        <rFont val="Noto Sans CJK SC"/>
        <family val="2"/>
      </rPr>
      <t xml:space="preserve">인선 길이 </t>
    </r>
    <r>
      <rPr>
        <b val="true"/>
        <sz val="13"/>
        <rFont val="맑은 고딕"/>
        <family val="0"/>
        <charset val="1"/>
      </rPr>
      <t xml:space="preserve">(mm)</t>
    </r>
  </si>
  <si>
    <r>
      <rPr>
        <b val="true"/>
        <sz val="13"/>
        <rFont val="맑은 고딕"/>
        <family val="0"/>
        <charset val="1"/>
      </rPr>
      <t xml:space="preserve">L_grind 1</t>
    </r>
    <r>
      <rPr>
        <b val="true"/>
        <sz val="13"/>
        <rFont val="Noto Sans CJK SC"/>
        <family val="2"/>
      </rPr>
      <t xml:space="preserve">회 제거 </t>
    </r>
    <r>
      <rPr>
        <b val="true"/>
        <sz val="13"/>
        <rFont val="맑은 고딕"/>
        <family val="0"/>
        <charset val="1"/>
      </rPr>
      <t xml:space="preserve">(mm)</t>
    </r>
  </si>
  <si>
    <r>
      <rPr>
        <b val="true"/>
        <sz val="13"/>
        <rFont val="맑은 고딕"/>
        <family val="0"/>
        <charset val="1"/>
      </rPr>
      <t xml:space="preserve">L_safe </t>
    </r>
    <r>
      <rPr>
        <b val="true"/>
        <sz val="13"/>
        <rFont val="Noto Sans CJK SC"/>
        <family val="2"/>
      </rPr>
      <t xml:space="preserve">최소 인선 </t>
    </r>
    <r>
      <rPr>
        <b val="true"/>
        <sz val="13"/>
        <rFont val="맑은 고딕"/>
        <family val="0"/>
        <charset val="1"/>
      </rPr>
      <t xml:space="preserve">(mm)</t>
    </r>
  </si>
  <si>
    <r>
      <rPr>
        <b val="true"/>
        <sz val="13"/>
        <rFont val="Noto Sans CJK SC"/>
        <family val="2"/>
      </rPr>
      <t xml:space="preserve">이론 횟수 </t>
    </r>
    <r>
      <rPr>
        <b val="true"/>
        <sz val="13"/>
        <rFont val="맑은 고딕"/>
        <family val="0"/>
        <charset val="1"/>
      </rPr>
      <t xml:space="preserve">N (</t>
    </r>
    <r>
      <rPr>
        <b val="true"/>
        <sz val="13"/>
        <rFont val="Noto Sans CJK SC"/>
        <family val="2"/>
      </rPr>
      <t xml:space="preserve">회</t>
    </r>
    <r>
      <rPr>
        <b val="true"/>
        <sz val="13"/>
        <rFont val="맑은 고딕"/>
        <family val="0"/>
        <charset val="1"/>
      </rPr>
      <t xml:space="preserve">)</t>
    </r>
  </si>
  <si>
    <r>
      <rPr>
        <b val="true"/>
        <sz val="13"/>
        <rFont val="Noto Sans CJK SC"/>
        <family val="2"/>
      </rPr>
      <t xml:space="preserve">실제 관찰 횟수 </t>
    </r>
    <r>
      <rPr>
        <b val="true"/>
        <sz val="13"/>
        <rFont val="맑은 고딕"/>
        <family val="0"/>
        <charset val="1"/>
      </rPr>
      <t xml:space="preserve">(</t>
    </r>
    <r>
      <rPr>
        <b val="true"/>
        <sz val="13"/>
        <rFont val="Noto Sans CJK SC"/>
        <family val="2"/>
      </rPr>
      <t xml:space="preserve">회</t>
    </r>
    <r>
      <rPr>
        <b val="true"/>
        <sz val="13"/>
        <rFont val="맑은 고딕"/>
        <family val="0"/>
        <charset val="1"/>
      </rPr>
      <t xml:space="preserve">)</t>
    </r>
  </si>
  <si>
    <r>
      <rPr>
        <b val="true"/>
        <sz val="13"/>
        <rFont val="Noto Sans CJK SC"/>
        <family val="2"/>
      </rPr>
      <t xml:space="preserve">실제 </t>
    </r>
    <r>
      <rPr>
        <b val="true"/>
        <sz val="13"/>
        <rFont val="맑은 고딕"/>
        <family val="0"/>
        <charset val="1"/>
      </rPr>
      <t xml:space="preserve">÷ </t>
    </r>
    <r>
      <rPr>
        <b val="true"/>
        <sz val="13"/>
        <rFont val="Noto Sans CJK SC"/>
        <family val="2"/>
      </rPr>
      <t xml:space="preserve">이론</t>
    </r>
  </si>
  <si>
    <r>
      <rPr>
        <i val="true"/>
        <sz val="13"/>
        <color rgb="FF808080"/>
        <rFont val="맑은 고딕"/>
        <family val="0"/>
        <charset val="1"/>
      </rPr>
      <t xml:space="preserve">D8 </t>
    </r>
    <r>
      <rPr>
        <i val="true"/>
        <sz val="13"/>
        <color rgb="FF808080"/>
        <rFont val="Noto Sans CJK SC"/>
        <family val="2"/>
      </rPr>
      <t xml:space="preserve">평 </t>
    </r>
    <r>
      <rPr>
        <i val="true"/>
        <sz val="13"/>
        <color rgb="FF808080"/>
        <rFont val="맑은 고딕"/>
        <family val="0"/>
        <charset val="1"/>
      </rPr>
      <t xml:space="preserve">4</t>
    </r>
    <r>
      <rPr>
        <i val="true"/>
        <sz val="13"/>
        <color rgb="FF808080"/>
        <rFont val="Noto Sans CJK SC"/>
        <family val="2"/>
      </rPr>
      <t xml:space="preserve">날</t>
    </r>
  </si>
  <si>
    <r>
      <rPr>
        <i val="true"/>
        <sz val="13"/>
        <color rgb="FF808080"/>
        <rFont val="Noto Sans CJK SC"/>
        <family val="2"/>
      </rPr>
      <t xml:space="preserve">위키 예시</t>
    </r>
    <r>
      <rPr>
        <i val="true"/>
        <sz val="13"/>
        <color rgb="FF808080"/>
        <rFont val="맑은 고딕"/>
        <family val="0"/>
        <charset val="1"/>
      </rPr>
      <t xml:space="preserve">(</t>
    </r>
    <r>
      <rPr>
        <i val="true"/>
        <sz val="13"/>
        <color rgb="FF808080"/>
        <rFont val="Noto Sans CJK SC"/>
        <family val="2"/>
      </rPr>
      <t xml:space="preserve">공구</t>
    </r>
    <r>
      <rPr>
        <i val="true"/>
        <sz val="13"/>
        <color rgb="FF808080"/>
        <rFont val="맑은 고딕"/>
        <family val="0"/>
        <charset val="1"/>
      </rPr>
      <t xml:space="preserve">-</t>
    </r>
    <r>
      <rPr>
        <i val="true"/>
        <sz val="13"/>
        <color rgb="FF808080"/>
        <rFont val="Noto Sans CJK SC"/>
        <family val="2"/>
      </rPr>
      <t xml:space="preserve">수명</t>
    </r>
    <r>
      <rPr>
        <i val="true"/>
        <sz val="13"/>
        <color rgb="FF808080"/>
        <rFont val="맑은 고딕"/>
        <family val="0"/>
        <charset val="1"/>
      </rPr>
      <t xml:space="preserve">-</t>
    </r>
    <r>
      <rPr>
        <i val="true"/>
        <sz val="13"/>
        <color rgb="FF808080"/>
        <rFont val="Noto Sans CJK SC"/>
        <family val="2"/>
      </rPr>
      <t xml:space="preserve">관리 </t>
    </r>
    <r>
      <rPr>
        <i val="true"/>
        <sz val="13"/>
        <color rgb="FF808080"/>
        <rFont val="맑은 고딕"/>
        <family val="0"/>
        <charset val="1"/>
      </rPr>
      <t xml:space="preserve">§</t>
    </r>
    <r>
      <rPr>
        <i val="true"/>
        <sz val="13"/>
        <color rgb="FF808080"/>
        <rFont val="Noto Sans CJK SC"/>
        <family val="2"/>
      </rPr>
      <t xml:space="preserve">재연삭</t>
    </r>
    <r>
      <rPr>
        <i val="true"/>
        <sz val="13"/>
        <color rgb="FF808080"/>
        <rFont val="맑은 고딕"/>
        <family val="0"/>
        <charset val="1"/>
      </rPr>
      <t xml:space="preserve">)</t>
    </r>
  </si>
  <si>
    <r>
      <rPr>
        <b val="true"/>
        <sz val="15"/>
        <rFont val="맑은 고딕"/>
        <family val="0"/>
        <charset val="1"/>
      </rPr>
      <t xml:space="preserve">C. </t>
    </r>
    <r>
      <rPr>
        <b val="true"/>
        <sz val="15"/>
        <rFont val="Noto Sans CJK SC"/>
        <family val="2"/>
      </rPr>
      <t xml:space="preserve">데이터로 뽑을 수 있는지 — 한 칸만</t>
    </r>
  </si>
  <si>
    <r>
      <rPr>
        <b val="true"/>
        <sz val="13"/>
        <rFont val="Noto Sans CJK SC"/>
        <family val="2"/>
      </rPr>
      <t xml:space="preserve">같은 공구 「개체」를 추적할 번호가 있나요</t>
    </r>
    <r>
      <rPr>
        <b val="true"/>
        <sz val="13"/>
        <rFont val="맑은 고딕"/>
        <family val="0"/>
        <charset val="1"/>
      </rPr>
      <t xml:space="preserve">? (</t>
    </r>
    <r>
      <rPr>
        <b val="true"/>
        <sz val="13"/>
        <rFont val="Noto Sans CJK SC"/>
        <family val="2"/>
      </rPr>
      <t xml:space="preserve">각인</t>
    </r>
    <r>
      <rPr>
        <b val="true"/>
        <sz val="13"/>
        <rFont val="맑은 고딕"/>
        <family val="0"/>
        <charset val="1"/>
      </rPr>
      <t xml:space="preserve">·</t>
    </r>
    <r>
      <rPr>
        <b val="true"/>
        <sz val="13"/>
        <rFont val="Noto Sans CJK SC"/>
        <family val="2"/>
      </rPr>
      <t xml:space="preserve">라벨</t>
    </r>
    <r>
      <rPr>
        <b val="true"/>
        <sz val="13"/>
        <rFont val="맑은 고딕"/>
        <family val="0"/>
        <charset val="1"/>
      </rPr>
      <t xml:space="preserve">·</t>
    </r>
    <r>
      <rPr>
        <b val="true"/>
        <sz val="13"/>
        <rFont val="Noto Sans CJK SC"/>
        <family val="2"/>
      </rPr>
      <t xml:space="preserve">거래처 관리번호 등</t>
    </r>
    <r>
      <rPr>
        <b val="true"/>
        <sz val="13"/>
        <rFont val="맑은 고딕"/>
        <family val="0"/>
        <charset val="1"/>
      </rPr>
      <t xml:space="preserve">) ▼</t>
    </r>
  </si>
  <si>
    <r>
      <rPr>
        <sz val="13"/>
        <color rgb="FF595959"/>
        <rFont val="Noto Sans CJK SC"/>
        <family val="2"/>
      </rPr>
      <t xml:space="preserve">※ 작업일지</t>
    </r>
    <r>
      <rPr>
        <sz val="13"/>
        <color rgb="FF595959"/>
        <rFont val="맑은 고딕"/>
        <family val="0"/>
        <charset val="1"/>
      </rPr>
      <t xml:space="preserve">·ERP </t>
    </r>
    <r>
      <rPr>
        <sz val="13"/>
        <color rgb="FF595959"/>
        <rFont val="Noto Sans CJK SC"/>
        <family val="2"/>
      </rPr>
      <t xml:space="preserve">는 오더번호 단위라 같은 공구가 몇 번째 재연마인지는 알 수 없습니다</t>
    </r>
    <r>
      <rPr>
        <sz val="13"/>
        <color rgb="FF595959"/>
        <rFont val="맑은 고딕"/>
        <family val="0"/>
        <charset val="1"/>
      </rPr>
      <t xml:space="preserve">. </t>
    </r>
    <r>
      <rPr>
        <sz val="13"/>
        <color rgb="FF595959"/>
        <rFont val="Noto Sans CJK SC"/>
        <family val="2"/>
      </rPr>
      <t xml:space="preserve">개체 번호가 있으면 그 거래처 공구부터 입고 횟수를 세어 「실측」 값을 만들 수 있습니다</t>
    </r>
    <r>
      <rPr>
        <sz val="13"/>
        <color rgb="FF595959"/>
        <rFont val="맑은 고딕"/>
        <family val="0"/>
        <charset val="1"/>
      </rPr>
      <t xml:space="preserve">.</t>
    </r>
  </si>
  <si>
    <t xml:space="preserve">③ 예열 전후 치수 차이 — 진단 기준값</t>
  </si>
  <si>
    <r>
      <rPr>
        <sz val="13"/>
        <rFont val="Noto Sans CJK SC"/>
        <family val="2"/>
      </rPr>
      <t xml:space="preserve">위키 값</t>
    </r>
    <r>
      <rPr>
        <sz val="13"/>
        <rFont val="맑은 고딕"/>
        <family val="0"/>
        <charset val="1"/>
      </rPr>
      <t xml:space="preserve">: </t>
    </r>
    <r>
      <rPr>
        <sz val="13"/>
        <rFont val="Noto Sans CJK SC"/>
        <family val="2"/>
      </rPr>
      <t xml:space="preserve">「가공 초반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예열 전</t>
    </r>
    <r>
      <rPr>
        <sz val="13"/>
        <rFont val="맑은 고딕"/>
        <family val="0"/>
        <charset val="1"/>
      </rPr>
      <t xml:space="preserve">)</t>
    </r>
    <r>
      <rPr>
        <sz val="13"/>
        <rFont val="Noto Sans CJK SC"/>
        <family val="2"/>
      </rPr>
      <t xml:space="preserve">과 후반 치수 차이 </t>
    </r>
    <r>
      <rPr>
        <sz val="13"/>
        <rFont val="맑은 고딕"/>
        <family val="0"/>
        <charset val="1"/>
      </rPr>
      <t xml:space="preserve">&gt; 5 μm </t>
    </r>
    <r>
      <rPr>
        <sz val="13"/>
        <rFont val="Noto Sans CJK SC"/>
        <family val="2"/>
      </rPr>
      <t xml:space="preserve">이면 열변형 의심」 — 출처 없음</t>
    </r>
    <r>
      <rPr>
        <sz val="13"/>
        <rFont val="맑은 고딕"/>
        <family val="0"/>
        <charset val="1"/>
      </rPr>
      <t xml:space="preserve">. </t>
    </r>
    <r>
      <rPr>
        <sz val="13"/>
        <rFont val="Noto Sans CJK SC"/>
        <family val="2"/>
      </rPr>
      <t xml:space="preserve">현장 기준이 있으면 </t>
    </r>
    <r>
      <rPr>
        <sz val="13"/>
        <rFont val="맑은 고딕"/>
        <family val="0"/>
        <charset val="1"/>
      </rPr>
      <t xml:space="preserve">A</t>
    </r>
    <r>
      <rPr>
        <sz val="13"/>
        <rFont val="Noto Sans CJK SC"/>
        <family val="2"/>
      </rPr>
      <t xml:space="preserve">에</t>
    </r>
    <r>
      <rPr>
        <sz val="13"/>
        <rFont val="맑은 고딕"/>
        <family val="0"/>
        <charset val="1"/>
      </rPr>
      <t xml:space="preserve">, </t>
    </r>
    <r>
      <rPr>
        <sz val="13"/>
        <rFont val="Noto Sans CJK SC"/>
        <family val="2"/>
      </rPr>
      <t xml:space="preserve">없으면 </t>
    </r>
    <r>
      <rPr>
        <sz val="13"/>
        <rFont val="맑은 고딕"/>
        <family val="0"/>
        <charset val="1"/>
      </rPr>
      <t xml:space="preserve">B </t>
    </r>
    <r>
      <rPr>
        <sz val="13"/>
        <rFont val="Noto Sans CJK SC"/>
        <family val="2"/>
      </rPr>
      <t xml:space="preserve">절차로 한 번 재 보면 사내 실측값이 됩니다</t>
    </r>
    <r>
      <rPr>
        <sz val="13"/>
        <rFont val="맑은 고딕"/>
        <family val="0"/>
        <charset val="1"/>
      </rPr>
      <t xml:space="preserve">.</t>
    </r>
  </si>
  <si>
    <r>
      <rPr>
        <b val="true"/>
        <sz val="15"/>
        <rFont val="맑은 고딕"/>
        <family val="0"/>
        <charset val="1"/>
      </rPr>
      <t xml:space="preserve">A. </t>
    </r>
    <r>
      <rPr>
        <b val="true"/>
        <sz val="15"/>
        <rFont val="Noto Sans CJK SC"/>
        <family val="2"/>
      </rPr>
      <t xml:space="preserve">현장 기준이 있으면</t>
    </r>
  </si>
  <si>
    <t xml:space="preserve">기준값</t>
  </si>
  <si>
    <t xml:space="preserve">단위 ▼</t>
  </si>
  <si>
    <r>
      <rPr>
        <b val="true"/>
        <sz val="13"/>
        <rFont val="Noto Sans CJK SC"/>
        <family val="2"/>
      </rPr>
      <t xml:space="preserve">근거</t>
    </r>
    <r>
      <rPr>
        <b val="true"/>
        <sz val="13"/>
        <rFont val="맑은 고딕"/>
        <family val="0"/>
        <charset val="1"/>
      </rPr>
      <t xml:space="preserve">·</t>
    </r>
    <r>
      <rPr>
        <b val="true"/>
        <sz val="13"/>
        <rFont val="Noto Sans CJK SC"/>
        <family val="2"/>
      </rPr>
      <t xml:space="preserve">메모</t>
    </r>
  </si>
  <si>
    <r>
      <rPr>
        <b val="true"/>
        <sz val="15"/>
        <rFont val="맑은 고딕"/>
        <family val="0"/>
        <charset val="1"/>
      </rPr>
      <t xml:space="preserve">B. </t>
    </r>
    <r>
      <rPr>
        <b val="true"/>
        <sz val="15"/>
        <rFont val="Noto Sans CJK SC"/>
        <family val="2"/>
      </rPr>
      <t xml:space="preserve">측정 절차 </t>
    </r>
    <r>
      <rPr>
        <b val="true"/>
        <sz val="15"/>
        <rFont val="맑은 고딕"/>
        <family val="0"/>
        <charset val="1"/>
      </rPr>
      <t xml:space="preserve">(</t>
    </r>
    <r>
      <rPr>
        <b val="true"/>
        <sz val="15"/>
        <rFont val="Noto Sans CJK SC"/>
        <family val="2"/>
      </rPr>
      <t xml:space="preserve">선택</t>
    </r>
    <r>
      <rPr>
        <b val="true"/>
        <sz val="15"/>
        <rFont val="맑은 고딕"/>
        <family val="0"/>
        <charset val="1"/>
      </rPr>
      <t xml:space="preserve">, </t>
    </r>
    <r>
      <rPr>
        <b val="true"/>
        <sz val="15"/>
        <rFont val="Noto Sans CJK SC"/>
        <family val="2"/>
      </rPr>
      <t xml:space="preserve">약 </t>
    </r>
    <r>
      <rPr>
        <b val="true"/>
        <sz val="15"/>
        <rFont val="맑은 고딕"/>
        <family val="0"/>
        <charset val="1"/>
      </rPr>
      <t xml:space="preserve">30</t>
    </r>
    <r>
      <rPr>
        <b val="true"/>
        <sz val="15"/>
        <rFont val="Noto Sans CJK SC"/>
        <family val="2"/>
      </rPr>
      <t xml:space="preserve">분</t>
    </r>
    <r>
      <rPr>
        <b val="true"/>
        <sz val="15"/>
        <rFont val="맑은 고딕"/>
        <family val="0"/>
        <charset val="1"/>
      </rPr>
      <t xml:space="preserve">) — </t>
    </r>
    <r>
      <rPr>
        <b val="true"/>
        <sz val="15"/>
        <rFont val="Noto Sans CJK SC"/>
        <family val="2"/>
      </rPr>
      <t xml:space="preserve">아침 냉간 시동 직후부터</t>
    </r>
  </si>
  <si>
    <r>
      <rPr>
        <sz val="13"/>
        <rFont val="맑은 고딕"/>
        <family val="0"/>
        <charset val="1"/>
      </rPr>
      <t xml:space="preserve">1) </t>
    </r>
    <r>
      <rPr>
        <sz val="13"/>
        <rFont val="Noto Sans CJK SC"/>
        <family val="2"/>
      </rPr>
      <t xml:space="preserve">장비 켜고 바로 같은 공구 </t>
    </r>
    <r>
      <rPr>
        <sz val="13"/>
        <rFont val="맑은 고딕"/>
        <family val="0"/>
        <charset val="1"/>
      </rPr>
      <t xml:space="preserve">1</t>
    </r>
    <r>
      <rPr>
        <sz val="13"/>
        <rFont val="Noto Sans CJK SC"/>
        <family val="2"/>
      </rPr>
      <t xml:space="preserve">개 연삭 → 외경 측정</t>
    </r>
    <r>
      <rPr>
        <sz val="13"/>
        <rFont val="맑은 고딕"/>
        <family val="0"/>
        <charset val="1"/>
      </rPr>
      <t xml:space="preserve">(0</t>
    </r>
    <r>
      <rPr>
        <sz val="13"/>
        <rFont val="Noto Sans CJK SC"/>
        <family val="2"/>
      </rPr>
      <t xml:space="preserve">분</t>
    </r>
    <r>
      <rPr>
        <sz val="13"/>
        <rFont val="맑은 고딕"/>
        <family val="0"/>
        <charset val="1"/>
      </rPr>
      <t xml:space="preserve">)   2) </t>
    </r>
    <r>
      <rPr>
        <sz val="13"/>
        <rFont val="Noto Sans CJK SC"/>
        <family val="2"/>
      </rPr>
      <t xml:space="preserve">공회전 또는 가공 계속하며 </t>
    </r>
    <r>
      <rPr>
        <sz val="13"/>
        <rFont val="맑은 고딕"/>
        <family val="0"/>
        <charset val="1"/>
      </rPr>
      <t xml:space="preserve">5·10·15·30</t>
    </r>
    <r>
      <rPr>
        <sz val="13"/>
        <rFont val="Noto Sans CJK SC"/>
        <family val="2"/>
      </rPr>
      <t xml:space="preserve">분에 같은 위치 측정   </t>
    </r>
    <r>
      <rPr>
        <sz val="13"/>
        <rFont val="맑은 고딕"/>
        <family val="0"/>
        <charset val="1"/>
      </rPr>
      <t xml:space="preserve">3) </t>
    </r>
    <r>
      <rPr>
        <sz val="13"/>
        <rFont val="Noto Sans CJK SC"/>
        <family val="2"/>
      </rPr>
      <t xml:space="preserve">실내 온도도 함께 적기</t>
    </r>
  </si>
  <si>
    <t xml:space="preserve">측정 순서</t>
  </si>
  <si>
    <r>
      <rPr>
        <b val="true"/>
        <sz val="13"/>
        <rFont val="Noto Sans CJK SC"/>
        <family val="2"/>
      </rPr>
      <t xml:space="preserve">시각 </t>
    </r>
    <r>
      <rPr>
        <b val="true"/>
        <sz val="13"/>
        <rFont val="맑은 고딕"/>
        <family val="0"/>
        <charset val="1"/>
      </rPr>
      <t xml:space="preserve">(hh:mm)</t>
    </r>
  </si>
  <si>
    <r>
      <rPr>
        <b val="true"/>
        <sz val="13"/>
        <rFont val="Noto Sans CJK SC"/>
        <family val="2"/>
      </rPr>
      <t xml:space="preserve">경과 </t>
    </r>
    <r>
      <rPr>
        <b val="true"/>
        <sz val="13"/>
        <rFont val="맑은 고딕"/>
        <family val="0"/>
        <charset val="1"/>
      </rPr>
      <t xml:space="preserve">(</t>
    </r>
    <r>
      <rPr>
        <b val="true"/>
        <sz val="13"/>
        <rFont val="Noto Sans CJK SC"/>
        <family val="2"/>
      </rPr>
      <t xml:space="preserve">분</t>
    </r>
    <r>
      <rPr>
        <b val="true"/>
        <sz val="13"/>
        <rFont val="맑은 고딕"/>
        <family val="0"/>
        <charset val="1"/>
      </rPr>
      <t xml:space="preserve">)</t>
    </r>
  </si>
  <si>
    <t xml:space="preserve">스핀들 상태 ▼</t>
  </si>
  <si>
    <t xml:space="preserve">측정 대상</t>
  </si>
  <si>
    <r>
      <rPr>
        <b val="true"/>
        <sz val="13"/>
        <rFont val="Noto Sans CJK SC"/>
        <family val="2"/>
      </rPr>
      <t xml:space="preserve">측정값 </t>
    </r>
    <r>
      <rPr>
        <b val="true"/>
        <sz val="13"/>
        <rFont val="맑은 고딕"/>
        <family val="0"/>
        <charset val="1"/>
      </rPr>
      <t xml:space="preserve">(mm)</t>
    </r>
  </si>
  <si>
    <r>
      <rPr>
        <b val="true"/>
        <sz val="13"/>
        <rFont val="Noto Sans CJK SC"/>
        <family val="2"/>
      </rPr>
      <t xml:space="preserve">첫 측정 대비 </t>
    </r>
    <r>
      <rPr>
        <b val="true"/>
        <sz val="13"/>
        <rFont val="맑은 고딕"/>
        <family val="0"/>
        <charset val="1"/>
      </rPr>
      <t xml:space="preserve">(μm)</t>
    </r>
  </si>
  <si>
    <t xml:space="preserve">냉간 시동 직후</t>
  </si>
  <si>
    <r>
      <rPr>
        <i val="true"/>
        <sz val="13"/>
        <color rgb="FF808080"/>
        <rFont val="맑은 고딕"/>
        <family val="0"/>
        <charset val="1"/>
      </rPr>
      <t xml:space="preserve">Ø6 </t>
    </r>
    <r>
      <rPr>
        <i val="true"/>
        <sz val="13"/>
        <color rgb="FF808080"/>
        <rFont val="Noto Sans CJK SC"/>
        <family val="2"/>
      </rPr>
      <t xml:space="preserve">외경 날끝 </t>
    </r>
    <r>
      <rPr>
        <i val="true"/>
        <sz val="13"/>
        <color rgb="FF808080"/>
        <rFont val="맑은 고딕"/>
        <family val="0"/>
        <charset val="1"/>
      </rPr>
      <t xml:space="preserve">2 mm</t>
    </r>
  </si>
  <si>
    <r>
      <rPr>
        <b val="true"/>
        <sz val="13"/>
        <rFont val="Noto Sans CJK SC"/>
        <family val="2"/>
      </rPr>
      <t xml:space="preserve">실내 온도 </t>
    </r>
    <r>
      <rPr>
        <b val="true"/>
        <sz val="13"/>
        <rFont val="맑은 고딕"/>
        <family val="0"/>
        <charset val="1"/>
      </rPr>
      <t xml:space="preserve">(℃)</t>
    </r>
  </si>
  <si>
    <r>
      <rPr>
        <b val="true"/>
        <sz val="13"/>
        <color rgb="FFC00000"/>
        <rFont val="Noto Sans CJK SC"/>
        <family val="2"/>
      </rPr>
      <t xml:space="preserve">※ 측정 장비 최소 눈금</t>
    </r>
    <r>
      <rPr>
        <b val="true"/>
        <sz val="13"/>
        <color rgb="FFC00000"/>
        <rFont val="맑은 고딕"/>
        <family val="0"/>
        <charset val="1"/>
      </rPr>
      <t xml:space="preserve">(10 μm)</t>
    </r>
    <r>
      <rPr>
        <b val="true"/>
        <sz val="13"/>
        <color rgb="FFC00000"/>
        <rFont val="Noto Sans CJK SC"/>
        <family val="2"/>
      </rPr>
      <t xml:space="preserve">보다 작은 변화는 「변화 없음」으로 봐야 합니다 — </t>
    </r>
    <r>
      <rPr>
        <b val="true"/>
        <sz val="13"/>
        <color rgb="FFC00000"/>
        <rFont val="맑은 고딕"/>
        <family val="0"/>
        <charset val="1"/>
      </rPr>
      <t xml:space="preserve">5 μm </t>
    </r>
    <r>
      <rPr>
        <b val="true"/>
        <sz val="13"/>
        <color rgb="FFC00000"/>
        <rFont val="Noto Sans CJK SC"/>
        <family val="2"/>
      </rPr>
      <t xml:space="preserve">판정에는 </t>
    </r>
    <r>
      <rPr>
        <b val="true"/>
        <sz val="13"/>
        <color rgb="FFC00000"/>
        <rFont val="맑은 고딕"/>
        <family val="0"/>
        <charset val="1"/>
      </rPr>
      <t xml:space="preserve">1 μm </t>
    </r>
    <r>
      <rPr>
        <b val="true"/>
        <sz val="13"/>
        <color rgb="FFC00000"/>
        <rFont val="Noto Sans CJK SC"/>
        <family val="2"/>
      </rPr>
      <t xml:space="preserve">급 장비가 필요할 수 있습니다</t>
    </r>
    <r>
      <rPr>
        <b val="true"/>
        <sz val="13"/>
        <color rgb="FFC00000"/>
        <rFont val="맑은 고딕"/>
        <family val="0"/>
        <charset val="1"/>
      </rPr>
      <t xml:space="preserve">(① </t>
    </r>
    <r>
      <rPr>
        <b val="true"/>
        <sz val="13"/>
        <color rgb="FFC00000"/>
        <rFont val="Noto Sans CJK SC"/>
        <family val="2"/>
      </rPr>
      <t xml:space="preserve">런아웃 </t>
    </r>
    <r>
      <rPr>
        <b val="true"/>
        <sz val="13"/>
        <color rgb="FFC00000"/>
        <rFont val="맑은 고딕"/>
        <family val="0"/>
        <charset val="1"/>
      </rPr>
      <t xml:space="preserve">B</t>
    </r>
    <r>
      <rPr>
        <b val="true"/>
        <sz val="13"/>
        <color rgb="FFC00000"/>
        <rFont val="Noto Sans CJK SC"/>
        <family val="2"/>
      </rPr>
      <t xml:space="preserve">표와 같은 문제</t>
    </r>
    <r>
      <rPr>
        <b val="true"/>
        <sz val="13"/>
        <color rgb="FFC00000"/>
        <rFont val="맑은 고딕"/>
        <family val="0"/>
        <charset val="1"/>
      </rPr>
      <t xml:space="preserve">).</t>
    </r>
  </si>
  <si>
    <r>
      <rPr>
        <b val="true"/>
        <sz val="22"/>
        <rFont val="맑은 고딕"/>
        <family val="0"/>
        <charset val="1"/>
      </rPr>
      <t xml:space="preserve">④ L/D (</t>
    </r>
    <r>
      <rPr>
        <b val="true"/>
        <sz val="22"/>
        <rFont val="Noto Sans CJK SC"/>
        <family val="2"/>
      </rPr>
      <t xml:space="preserve">돌출 길이 </t>
    </r>
    <r>
      <rPr>
        <b val="true"/>
        <sz val="22"/>
        <rFont val="맑은 고딕"/>
        <family val="0"/>
        <charset val="1"/>
      </rPr>
      <t xml:space="preserve">÷ </t>
    </r>
    <r>
      <rPr>
        <b val="true"/>
        <sz val="22"/>
        <rFont val="Noto Sans CJK SC"/>
        <family val="2"/>
      </rPr>
      <t xml:space="preserve">직경</t>
    </r>
    <r>
      <rPr>
        <b val="true"/>
        <sz val="22"/>
        <rFont val="맑은 고딕"/>
        <family val="0"/>
        <charset val="1"/>
      </rPr>
      <t xml:space="preserve">) </t>
    </r>
    <r>
      <rPr>
        <b val="true"/>
        <sz val="22"/>
        <rFont val="Noto Sans CJK SC"/>
        <family val="2"/>
      </rPr>
      <t xml:space="preserve">권장 상한</t>
    </r>
  </si>
  <si>
    <r>
      <rPr>
        <sz val="13"/>
        <rFont val="Noto Sans CJK SC"/>
        <family val="2"/>
      </rPr>
      <t xml:space="preserve">위키 값</t>
    </r>
    <r>
      <rPr>
        <sz val="13"/>
        <rFont val="맑은 고딕"/>
        <family val="0"/>
        <charset val="1"/>
      </rPr>
      <t xml:space="preserve">: </t>
    </r>
    <r>
      <rPr>
        <sz val="13"/>
        <rFont val="Noto Sans CJK SC"/>
        <family val="2"/>
      </rPr>
      <t xml:space="preserve">「</t>
    </r>
    <r>
      <rPr>
        <sz val="13"/>
        <rFont val="맑은 고딕"/>
        <family val="0"/>
        <charset val="1"/>
      </rPr>
      <t xml:space="preserve">L/D &lt; 4 </t>
    </r>
    <r>
      <rPr>
        <sz val="13"/>
        <rFont val="Noto Sans CJK SC"/>
        <family val="2"/>
      </rPr>
      <t xml:space="preserve">권장」 — 출처 없음</t>
    </r>
    <r>
      <rPr>
        <sz val="13"/>
        <rFont val="맑은 고딕"/>
        <family val="0"/>
        <charset val="1"/>
      </rPr>
      <t xml:space="preserve">. </t>
    </r>
    <r>
      <rPr>
        <sz val="13"/>
        <rFont val="Noto Sans CJK SC"/>
        <family val="2"/>
      </rPr>
      <t xml:space="preserve">연삭 시 공구 돌출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콜릿 밖으로 나온 길이</t>
    </r>
    <r>
      <rPr>
        <sz val="13"/>
        <rFont val="맑은 고딕"/>
        <family val="0"/>
        <charset val="1"/>
      </rPr>
      <t xml:space="preserve">)</t>
    </r>
    <r>
      <rPr>
        <sz val="13"/>
        <rFont val="Noto Sans CJK SC"/>
        <family val="2"/>
      </rPr>
      <t xml:space="preserve">이 길수록 처짐</t>
    </r>
    <r>
      <rPr>
        <sz val="13"/>
        <rFont val="맑은 고딕"/>
        <family val="0"/>
        <charset val="1"/>
      </rPr>
      <t xml:space="preserve">·</t>
    </r>
    <r>
      <rPr>
        <sz val="13"/>
        <rFont val="Noto Sans CJK SC"/>
        <family val="2"/>
      </rPr>
      <t xml:space="preserve">떨림이 커집니다</t>
    </r>
    <r>
      <rPr>
        <sz val="13"/>
        <rFont val="맑은 고딕"/>
        <family val="0"/>
        <charset val="1"/>
      </rPr>
      <t xml:space="preserve">. </t>
    </r>
    <r>
      <rPr>
        <sz val="13"/>
        <rFont val="Noto Sans CJK SC"/>
        <family val="2"/>
      </rPr>
      <t xml:space="preserve">현장에서 쓰는 상한과 넘을 때의 조치를 적어 주세요</t>
    </r>
    <r>
      <rPr>
        <sz val="13"/>
        <rFont val="맑은 고딕"/>
        <family val="0"/>
        <charset val="1"/>
      </rPr>
      <t xml:space="preserve">.</t>
    </r>
  </si>
  <si>
    <r>
      <rPr>
        <b val="true"/>
        <sz val="15"/>
        <rFont val="맑은 고딕"/>
        <family val="0"/>
        <charset val="1"/>
      </rPr>
      <t xml:space="preserve">A. </t>
    </r>
    <r>
      <rPr>
        <b val="true"/>
        <sz val="15"/>
        <rFont val="Noto Sans CJK SC"/>
        <family val="2"/>
      </rPr>
      <t xml:space="preserve">현장 기준</t>
    </r>
  </si>
  <si>
    <r>
      <rPr>
        <b val="true"/>
        <sz val="13"/>
        <rFont val="맑은 고딕"/>
        <family val="0"/>
        <charset val="1"/>
      </rPr>
      <t xml:space="preserve">L/D </t>
    </r>
    <r>
      <rPr>
        <b val="true"/>
        <sz val="13"/>
        <rFont val="Noto Sans CJK SC"/>
        <family val="2"/>
      </rPr>
      <t xml:space="preserve">상한</t>
    </r>
  </si>
  <si>
    <t xml:space="preserve">넘으면 하는 조치</t>
  </si>
  <si>
    <r>
      <rPr>
        <b val="true"/>
        <sz val="15"/>
        <rFont val="맑은 고딕"/>
        <family val="0"/>
        <charset val="1"/>
      </rPr>
      <t xml:space="preserve">B. </t>
    </r>
    <r>
      <rPr>
        <b val="true"/>
        <sz val="15"/>
        <rFont val="Noto Sans CJK SC"/>
        <family val="2"/>
      </rPr>
      <t xml:space="preserve">실제 사례 </t>
    </r>
    <r>
      <rPr>
        <b val="true"/>
        <sz val="15"/>
        <rFont val="맑은 고딕"/>
        <family val="0"/>
        <charset val="1"/>
      </rPr>
      <t xml:space="preserve">(</t>
    </r>
    <r>
      <rPr>
        <b val="true"/>
        <sz val="15"/>
        <rFont val="Noto Sans CJK SC"/>
        <family val="2"/>
      </rPr>
      <t xml:space="preserve">있으면</t>
    </r>
    <r>
      <rPr>
        <b val="true"/>
        <sz val="15"/>
        <rFont val="맑은 고딕"/>
        <family val="0"/>
        <charset val="1"/>
      </rPr>
      <t xml:space="preserve">) — </t>
    </r>
    <r>
      <rPr>
        <b val="true"/>
        <sz val="15"/>
        <rFont val="Noto Sans CJK SC"/>
        <family val="2"/>
      </rPr>
      <t xml:space="preserve">길게 물려서 문제가 났던 공구</t>
    </r>
  </si>
  <si>
    <r>
      <rPr>
        <b val="true"/>
        <sz val="13"/>
        <rFont val="Noto Sans CJK SC"/>
        <family val="2"/>
      </rPr>
      <t xml:space="preserve">직경 </t>
    </r>
    <r>
      <rPr>
        <b val="true"/>
        <sz val="13"/>
        <rFont val="맑은 고딕"/>
        <family val="0"/>
        <charset val="1"/>
      </rPr>
      <t xml:space="preserve">D (mm)</t>
    </r>
  </si>
  <si>
    <r>
      <rPr>
        <b val="true"/>
        <sz val="13"/>
        <rFont val="Noto Sans CJK SC"/>
        <family val="2"/>
      </rPr>
      <t xml:space="preserve">돌출 길이 </t>
    </r>
    <r>
      <rPr>
        <b val="true"/>
        <sz val="13"/>
        <rFont val="맑은 고딕"/>
        <family val="0"/>
        <charset val="1"/>
      </rPr>
      <t xml:space="preserve">L (mm)</t>
    </r>
  </si>
  <si>
    <t xml:space="preserve">L/D</t>
  </si>
  <si>
    <t xml:space="preserve">증상 ▼</t>
  </si>
  <si>
    <t xml:space="preserve">조치</t>
  </si>
  <si>
    <r>
      <rPr>
        <i val="true"/>
        <sz val="13"/>
        <color rgb="FF808080"/>
        <rFont val="맑은 고딕"/>
        <family val="0"/>
        <charset val="1"/>
      </rPr>
      <t xml:space="preserve">4</t>
    </r>
    <r>
      <rPr>
        <i val="true"/>
        <sz val="13"/>
        <color rgb="FF808080"/>
        <rFont val="Noto Sans CJK SC"/>
        <family val="2"/>
      </rPr>
      <t xml:space="preserve">날 평 롱넥</t>
    </r>
  </si>
  <si>
    <r>
      <rPr>
        <i val="true"/>
        <sz val="13"/>
        <color rgb="FF808080"/>
        <rFont val="Noto Sans CJK SC"/>
        <family val="2"/>
      </rPr>
      <t xml:space="preserve">진동</t>
    </r>
    <r>
      <rPr>
        <i val="true"/>
        <sz val="13"/>
        <color rgb="FF808080"/>
        <rFont val="맑은 고딕"/>
        <family val="0"/>
        <charset val="1"/>
      </rPr>
      <t xml:space="preserve">(</t>
    </r>
    <r>
      <rPr>
        <i val="true"/>
        <sz val="13"/>
        <color rgb="FF808080"/>
        <rFont val="Noto Sans CJK SC"/>
        <family val="2"/>
      </rPr>
      <t xml:space="preserve">떨림</t>
    </r>
    <r>
      <rPr>
        <i val="true"/>
        <sz val="13"/>
        <color rgb="FF808080"/>
        <rFont val="맑은 고딕"/>
        <family val="0"/>
        <charset val="1"/>
      </rPr>
      <t xml:space="preserve">)</t>
    </r>
  </si>
  <si>
    <r>
      <rPr>
        <i val="true"/>
        <sz val="13"/>
        <color rgb="FF808080"/>
        <rFont val="Noto Sans CJK SC"/>
        <family val="2"/>
      </rPr>
      <t xml:space="preserve">이송 </t>
    </r>
    <r>
      <rPr>
        <i val="true"/>
        <sz val="13"/>
        <color rgb="FF808080"/>
        <rFont val="맑은 고딕"/>
        <family val="0"/>
        <charset val="1"/>
      </rPr>
      <t xml:space="preserve">30% </t>
    </r>
    <r>
      <rPr>
        <i val="true"/>
        <sz val="13"/>
        <color rgb="FF808080"/>
        <rFont val="Noto Sans CJK SC"/>
        <family val="2"/>
      </rPr>
      <t xml:space="preserve">감속</t>
    </r>
  </si>
  <si>
    <r>
      <rPr>
        <b val="true"/>
        <sz val="22"/>
        <rFont val="맑은 고딕"/>
        <family val="0"/>
        <charset val="1"/>
      </rPr>
      <t xml:space="preserve">⑤ 6061-T6 </t>
    </r>
    <r>
      <rPr>
        <b val="true"/>
        <sz val="22"/>
        <rFont val="Noto Sans CJK SC"/>
        <family val="2"/>
      </rPr>
      <t xml:space="preserve">결정립 크기 </t>
    </r>
    <r>
      <rPr>
        <b val="true"/>
        <sz val="22"/>
        <rFont val="맑은 고딕"/>
        <family val="0"/>
        <charset val="1"/>
      </rPr>
      <t xml:space="preserve">(</t>
    </r>
    <r>
      <rPr>
        <b val="true"/>
        <sz val="22"/>
        <rFont val="Noto Sans CJK SC"/>
        <family val="2"/>
      </rPr>
      <t xml:space="preserve">우선순위 낮음</t>
    </r>
    <r>
      <rPr>
        <b val="true"/>
        <sz val="22"/>
        <rFont val="맑은 고딕"/>
        <family val="0"/>
        <charset val="1"/>
      </rPr>
      <t xml:space="preserve">)</t>
    </r>
  </si>
  <si>
    <r>
      <rPr>
        <sz val="13"/>
        <rFont val="Noto Sans CJK SC"/>
        <family val="2"/>
      </rPr>
      <t xml:space="preserve">위키 값</t>
    </r>
    <r>
      <rPr>
        <sz val="13"/>
        <rFont val="맑은 고딕"/>
        <family val="0"/>
        <charset val="1"/>
      </rPr>
      <t xml:space="preserve">: </t>
    </r>
    <r>
      <rPr>
        <sz val="13"/>
        <rFont val="Noto Sans CJK SC"/>
        <family val="2"/>
      </rPr>
      <t xml:space="preserve">「결정립 </t>
    </r>
    <r>
      <rPr>
        <sz val="13"/>
        <rFont val="맑은 고딕"/>
        <family val="0"/>
        <charset val="1"/>
      </rPr>
      <t xml:space="preserve">50~150 μm </t>
    </r>
    <r>
      <rPr>
        <sz val="13"/>
        <rFont val="Noto Sans CJK SC"/>
        <family val="2"/>
      </rPr>
      <t xml:space="preserve">평균」 — 출처 없음</t>
    </r>
    <r>
      <rPr>
        <sz val="13"/>
        <rFont val="맑은 고딕"/>
        <family val="0"/>
        <charset val="1"/>
      </rPr>
      <t xml:space="preserve">. </t>
    </r>
    <r>
      <rPr>
        <sz val="13"/>
        <rFont val="Noto Sans CJK SC"/>
        <family val="2"/>
      </rPr>
      <t xml:space="preserve">결정립은 금속 조직 시험이 필요해 현장에서 잴 수 없습니다</t>
    </r>
    <r>
      <rPr>
        <sz val="13"/>
        <rFont val="맑은 고딕"/>
        <family val="0"/>
        <charset val="1"/>
      </rPr>
      <t xml:space="preserve">. </t>
    </r>
    <r>
      <rPr>
        <sz val="13"/>
        <rFont val="Noto Sans CJK SC"/>
        <family val="2"/>
      </rPr>
      <t xml:space="preserve">소재 성적서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밀시트</t>
    </r>
    <r>
      <rPr>
        <sz val="13"/>
        <rFont val="맑은 고딕"/>
        <family val="0"/>
        <charset val="1"/>
      </rPr>
      <t xml:space="preserve">)</t>
    </r>
    <r>
      <rPr>
        <sz val="13"/>
        <rFont val="Noto Sans CJK SC"/>
        <family val="2"/>
      </rPr>
      <t xml:space="preserve">에 적혀 있을 때만 채우고</t>
    </r>
    <r>
      <rPr>
        <sz val="13"/>
        <rFont val="맑은 고딕"/>
        <family val="0"/>
        <charset val="1"/>
      </rPr>
      <t xml:space="preserve">, </t>
    </r>
    <r>
      <rPr>
        <sz val="13"/>
        <rFont val="Noto Sans CJK SC"/>
        <family val="2"/>
      </rPr>
      <t xml:space="preserve">없으면 「추정값 유지」로 둡니다</t>
    </r>
    <r>
      <rPr>
        <sz val="13"/>
        <rFont val="맑은 고딕"/>
        <family val="0"/>
        <charset val="1"/>
      </rPr>
      <t xml:space="preserve">. </t>
    </r>
    <r>
      <rPr>
        <sz val="13"/>
        <rFont val="Noto Sans CJK SC"/>
        <family val="2"/>
      </rPr>
      <t xml:space="preserve">가공 조건에 직접 쓰이는 값이 아니라 급하지 않습니다</t>
    </r>
    <r>
      <rPr>
        <sz val="13"/>
        <rFont val="맑은 고딕"/>
        <family val="0"/>
        <charset val="1"/>
      </rPr>
      <t xml:space="preserve">.</t>
    </r>
  </si>
  <si>
    <r>
      <rPr>
        <b val="true"/>
        <sz val="15"/>
        <rFont val="맑은 고딕"/>
        <family val="0"/>
        <charset val="1"/>
      </rPr>
      <t xml:space="preserve">A. </t>
    </r>
    <r>
      <rPr>
        <b val="true"/>
        <sz val="15"/>
        <rFont val="Noto Sans CJK SC"/>
        <family val="2"/>
      </rPr>
      <t xml:space="preserve">처리 방법 ▼</t>
    </r>
  </si>
  <si>
    <r>
      <rPr>
        <b val="true"/>
        <sz val="15"/>
        <rFont val="맑은 고딕"/>
        <family val="0"/>
        <charset val="1"/>
      </rPr>
      <t xml:space="preserve">B. </t>
    </r>
    <r>
      <rPr>
        <b val="true"/>
        <sz val="15"/>
        <rFont val="Noto Sans CJK SC"/>
        <family val="2"/>
      </rPr>
      <t xml:space="preserve">성적서 기재값 </t>
    </r>
    <r>
      <rPr>
        <b val="true"/>
        <sz val="15"/>
        <rFont val="맑은 고딕"/>
        <family val="0"/>
        <charset val="1"/>
      </rPr>
      <t xml:space="preserve">(</t>
    </r>
    <r>
      <rPr>
        <b val="true"/>
        <sz val="15"/>
        <rFont val="Noto Sans CJK SC"/>
        <family val="2"/>
      </rPr>
      <t xml:space="preserve">있을 때만</t>
    </r>
    <r>
      <rPr>
        <b val="true"/>
        <sz val="15"/>
        <rFont val="맑은 고딕"/>
        <family val="0"/>
        <charset val="1"/>
      </rPr>
      <t xml:space="preserve">)</t>
    </r>
  </si>
  <si>
    <r>
      <rPr>
        <b val="true"/>
        <sz val="13"/>
        <rFont val="Noto Sans CJK SC"/>
        <family val="2"/>
      </rPr>
      <t xml:space="preserve">공급처 </t>
    </r>
    <r>
      <rPr>
        <b val="true"/>
        <sz val="13"/>
        <rFont val="맑은 고딕"/>
        <family val="0"/>
        <charset val="1"/>
      </rPr>
      <t xml:space="preserve">(A/B/C)</t>
    </r>
  </si>
  <si>
    <t xml:space="preserve">형태 ▼</t>
  </si>
  <si>
    <r>
      <rPr>
        <b val="true"/>
        <sz val="13"/>
        <rFont val="Noto Sans CJK SC"/>
        <family val="2"/>
      </rPr>
      <t xml:space="preserve">두께</t>
    </r>
    <r>
      <rPr>
        <b val="true"/>
        <sz val="13"/>
        <rFont val="맑은 고딕"/>
        <family val="0"/>
        <charset val="1"/>
      </rPr>
      <t xml:space="preserve">·</t>
    </r>
    <r>
      <rPr>
        <b val="true"/>
        <sz val="13"/>
        <rFont val="Noto Sans CJK SC"/>
        <family val="2"/>
      </rPr>
      <t xml:space="preserve">직경 </t>
    </r>
    <r>
      <rPr>
        <b val="true"/>
        <sz val="13"/>
        <rFont val="맑은 고딕"/>
        <family val="0"/>
        <charset val="1"/>
      </rPr>
      <t xml:space="preserve">(mm)</t>
    </r>
  </si>
  <si>
    <r>
      <rPr>
        <b val="true"/>
        <sz val="13"/>
        <rFont val="Noto Sans CJK SC"/>
        <family val="2"/>
      </rPr>
      <t xml:space="preserve">결정립 </t>
    </r>
    <r>
      <rPr>
        <b val="true"/>
        <sz val="13"/>
        <rFont val="맑은 고딕"/>
        <family val="0"/>
        <charset val="1"/>
      </rPr>
      <t xml:space="preserve">(μm)</t>
    </r>
  </si>
  <si>
    <r>
      <rPr>
        <b val="true"/>
        <sz val="13"/>
        <rFont val="맑은 고딕"/>
        <family val="0"/>
        <charset val="1"/>
      </rPr>
      <t xml:space="preserve">ASTM </t>
    </r>
    <r>
      <rPr>
        <b val="true"/>
        <sz val="13"/>
        <rFont val="Noto Sans CJK SC"/>
        <family val="2"/>
      </rPr>
      <t xml:space="preserve">결정립 번호</t>
    </r>
  </si>
  <si>
    <t xml:space="preserve">성적서 일자</t>
  </si>
  <si>
    <r>
      <rPr>
        <i val="true"/>
        <sz val="13"/>
        <color rgb="FF808080"/>
        <rFont val="Noto Sans CJK SC"/>
        <family val="2"/>
      </rPr>
      <t xml:space="preserve">공급처 </t>
    </r>
    <r>
      <rPr>
        <i val="true"/>
        <sz val="13"/>
        <color rgb="FF808080"/>
        <rFont val="맑은 고딕"/>
        <family val="0"/>
        <charset val="1"/>
      </rPr>
      <t xml:space="preserve">A</t>
    </r>
  </si>
  <si>
    <t xml:space="preserve">압출봉</t>
  </si>
  <si>
    <t xml:space="preserve">2026-05-01</t>
  </si>
  <si>
    <t xml:space="preserve">예시 — 성적서에 결정립 항목이 없으면 비워 둠</t>
  </si>
  <si>
    <r>
      <rPr>
        <sz val="13"/>
        <color rgb="FF595959"/>
        <rFont val="Noto Sans CJK SC"/>
        <family val="2"/>
      </rPr>
      <t xml:space="preserve">※ 거래처명은 </t>
    </r>
    <r>
      <rPr>
        <sz val="13"/>
        <color rgb="FF595959"/>
        <rFont val="맑은 고딕"/>
        <family val="0"/>
        <charset val="1"/>
      </rPr>
      <t xml:space="preserve">A/B/C </t>
    </r>
    <r>
      <rPr>
        <sz val="13"/>
        <color rgb="FF595959"/>
        <rFont val="Noto Sans CJK SC"/>
        <family val="2"/>
      </rPr>
      <t xml:space="preserve">로 익명화합니다</t>
    </r>
    <r>
      <rPr>
        <sz val="13"/>
        <color rgb="FF595959"/>
        <rFont val="맑은 고딕"/>
        <family val="0"/>
        <charset val="1"/>
      </rPr>
      <t xml:space="preserve">(CLAUDE.md §4).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</si>
</sst>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General"/>
    <numFmt numFmtId="167" formatCode="hh:mm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name val="Noto Sans CJK SC"/>
      <family val="2"/>
    </font>
    <font>
      <b val="true"/>
      <sz val="22"/>
      <name val="맑은 고딕"/>
      <family val="0"/>
      <charset val="1"/>
    </font>
    <font>
      <sz val="13"/>
      <name val="Noto Sans CJK SC"/>
      <family val="2"/>
    </font>
    <font>
      <sz val="13"/>
      <name val="맑은 고딕"/>
      <family val="0"/>
      <charset val="1"/>
    </font>
    <font>
      <b val="true"/>
      <sz val="15"/>
      <name val="Noto Sans CJK SC"/>
      <family val="2"/>
    </font>
    <font>
      <b val="true"/>
      <sz val="13"/>
      <name val="Noto Sans CJK SC"/>
      <family val="2"/>
    </font>
    <font>
      <b val="true"/>
      <sz val="13"/>
      <name val="맑은 고딕"/>
      <family val="0"/>
      <charset val="1"/>
    </font>
    <font>
      <b val="true"/>
      <sz val="15"/>
      <name val="맑은 고딕"/>
      <family val="0"/>
      <charset val="1"/>
    </font>
    <font>
      <sz val="13"/>
      <color rgb="FF595959"/>
      <name val="Noto Sans CJK SC"/>
      <family val="2"/>
    </font>
    <font>
      <sz val="13"/>
      <color rgb="FF595959"/>
      <name val="맑은 고딕"/>
      <family val="0"/>
      <charset val="1"/>
    </font>
    <font>
      <i val="true"/>
      <sz val="13"/>
      <color rgb="FF808080"/>
      <name val="맑은 고딕"/>
      <family val="0"/>
      <charset val="1"/>
    </font>
    <font>
      <i val="true"/>
      <sz val="13"/>
      <color rgb="FF808080"/>
      <name val="Noto Sans CJK SC"/>
      <family val="2"/>
    </font>
    <font>
      <b val="true"/>
      <sz val="13"/>
      <color rgb="FFC00000"/>
      <name val="Noto Sans CJK SC"/>
      <family val="2"/>
    </font>
    <font>
      <b val="true"/>
      <sz val="13"/>
      <color rgb="FFC00000"/>
      <name val="맑은 고딕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2EFDA"/>
        <bgColor rgb="FFDDEBF7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DDEBF7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4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46"/>
    <col collapsed="false" customWidth="true" hidden="false" outlineLevel="0" max="4" min="4" style="0" width="40"/>
    <col collapsed="false" customWidth="true" hidden="false" outlineLevel="0" max="5" min="5" style="0" width="18"/>
    <col collapsed="false" customWidth="true" hidden="false" outlineLevel="0" max="6" min="6" style="0" width="22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39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7.7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36" hidden="false" customHeight="true" outlineLevel="0" collapsed="false">
      <c r="A5" s="4" t="s">
        <v>3</v>
      </c>
      <c r="B5" s="5" t="s">
        <v>4</v>
      </c>
      <c r="C5" s="2" t="s">
        <v>5</v>
      </c>
      <c r="D5" s="2"/>
      <c r="E5" s="2"/>
      <c r="F5" s="2"/>
    </row>
    <row r="6" customFormat="false" ht="36" hidden="false" customHeight="true" outlineLevel="0" collapsed="false">
      <c r="A6" s="6" t="s">
        <v>3</v>
      </c>
      <c r="B6" s="5" t="s">
        <v>6</v>
      </c>
      <c r="C6" s="2" t="s">
        <v>7</v>
      </c>
      <c r="D6" s="2"/>
      <c r="E6" s="2"/>
      <c r="F6" s="2"/>
    </row>
    <row r="7" customFormat="false" ht="36" hidden="false" customHeight="true" outlineLevel="0" collapsed="false">
      <c r="A7" s="7" t="s">
        <v>3</v>
      </c>
      <c r="B7" s="5" t="s">
        <v>8</v>
      </c>
      <c r="C7" s="2" t="s">
        <v>9</v>
      </c>
      <c r="D7" s="2"/>
      <c r="E7" s="2"/>
      <c r="F7" s="2"/>
    </row>
    <row r="8" customFormat="false" ht="36" hidden="false" customHeight="true" outlineLevel="0" collapsed="false">
      <c r="A8" s="7" t="s">
        <v>3</v>
      </c>
      <c r="B8" s="5" t="s">
        <v>10</v>
      </c>
      <c r="C8" s="2" t="s">
        <v>11</v>
      </c>
      <c r="D8" s="2"/>
      <c r="E8" s="2"/>
      <c r="F8" s="2"/>
    </row>
    <row r="9" customFormat="false" ht="36" hidden="false" customHeight="true" outlineLevel="0" collapsed="false">
      <c r="A9" s="7" t="s">
        <v>3</v>
      </c>
      <c r="B9" s="5" t="s">
        <v>12</v>
      </c>
      <c r="C9" s="2" t="s">
        <v>13</v>
      </c>
      <c r="D9" s="2"/>
      <c r="E9" s="2"/>
      <c r="F9" s="2"/>
    </row>
    <row r="11" customFormat="false" ht="27.75" hidden="false" customHeight="true" outlineLevel="0" collapsed="false">
      <c r="A11" s="8" t="s">
        <v>14</v>
      </c>
      <c r="B11" s="8"/>
      <c r="C11" s="8"/>
      <c r="D11" s="8"/>
      <c r="E11" s="8"/>
      <c r="F11" s="8"/>
    </row>
    <row r="12" customFormat="false" ht="20.1" hidden="false" customHeight="false" outlineLevel="0" collapsed="false">
      <c r="A12" s="9" t="s">
        <v>15</v>
      </c>
      <c r="B12" s="10" t="s">
        <v>16</v>
      </c>
      <c r="C12" s="10" t="s">
        <v>17</v>
      </c>
      <c r="D12" s="10" t="s">
        <v>18</v>
      </c>
      <c r="E12" s="10" t="s">
        <v>19</v>
      </c>
      <c r="F12" s="10" t="s">
        <v>20</v>
      </c>
    </row>
    <row r="13" customFormat="false" ht="57.75" hidden="false" customHeight="true" outlineLevel="0" collapsed="false">
      <c r="A13" s="11" t="s">
        <v>21</v>
      </c>
      <c r="B13" s="12" t="s">
        <v>22</v>
      </c>
      <c r="C13" s="13" t="s">
        <v>23</v>
      </c>
      <c r="D13" s="13" t="s">
        <v>24</v>
      </c>
      <c r="E13" s="14"/>
      <c r="F13" s="11" t="s">
        <v>25</v>
      </c>
    </row>
    <row r="14" customFormat="false" ht="57.75" hidden="false" customHeight="true" outlineLevel="0" collapsed="false">
      <c r="A14" s="11" t="s">
        <v>26</v>
      </c>
      <c r="B14" s="12" t="s">
        <v>27</v>
      </c>
      <c r="C14" s="12" t="s">
        <v>28</v>
      </c>
      <c r="D14" s="12" t="s">
        <v>29</v>
      </c>
      <c r="E14" s="14"/>
      <c r="F14" s="11" t="s">
        <v>30</v>
      </c>
    </row>
    <row r="15" customFormat="false" ht="57.75" hidden="false" customHeight="true" outlineLevel="0" collapsed="false">
      <c r="A15" s="11" t="s">
        <v>31</v>
      </c>
      <c r="B15" s="12" t="s">
        <v>32</v>
      </c>
      <c r="C15" s="13" t="s">
        <v>33</v>
      </c>
      <c r="D15" s="12" t="s">
        <v>34</v>
      </c>
      <c r="E15" s="14"/>
      <c r="F15" s="11" t="s">
        <v>35</v>
      </c>
    </row>
    <row r="16" customFormat="false" ht="57.75" hidden="false" customHeight="true" outlineLevel="0" collapsed="false">
      <c r="A16" s="11" t="s">
        <v>36</v>
      </c>
      <c r="B16" s="13" t="s">
        <v>37</v>
      </c>
      <c r="C16" s="13" t="s">
        <v>38</v>
      </c>
      <c r="D16" s="12" t="s">
        <v>34</v>
      </c>
      <c r="E16" s="14"/>
      <c r="F16" s="11" t="s">
        <v>39</v>
      </c>
    </row>
    <row r="17" customFormat="false" ht="57.75" hidden="false" customHeight="true" outlineLevel="0" collapsed="false">
      <c r="A17" s="11" t="s">
        <v>40</v>
      </c>
      <c r="B17" s="13" t="s">
        <v>41</v>
      </c>
      <c r="C17" s="13" t="s">
        <v>42</v>
      </c>
      <c r="D17" s="12" t="s">
        <v>43</v>
      </c>
      <c r="E17" s="14"/>
      <c r="F17" s="11" t="s">
        <v>44</v>
      </c>
    </row>
    <row r="19" customFormat="false" ht="27.75" hidden="false" customHeight="true" outlineLevel="0" collapsed="false">
      <c r="A19" s="3" t="s">
        <v>45</v>
      </c>
      <c r="B19" s="3"/>
      <c r="C19" s="3"/>
      <c r="D19" s="3"/>
      <c r="E19" s="3"/>
      <c r="F19" s="3"/>
    </row>
    <row r="20" customFormat="false" ht="30" hidden="false" customHeight="true" outlineLevel="0" collapsed="false">
      <c r="A20" s="15" t="s">
        <v>46</v>
      </c>
      <c r="B20" s="15"/>
      <c r="C20" s="15"/>
      <c r="D20" s="15"/>
      <c r="E20" s="15"/>
      <c r="F20" s="15"/>
    </row>
    <row r="22" customFormat="false" ht="36" hidden="false" customHeight="true" outlineLevel="0" collapsed="false">
      <c r="A22" s="16" t="s">
        <v>47</v>
      </c>
      <c r="B22" s="16"/>
      <c r="C22" s="16"/>
      <c r="D22" s="16"/>
      <c r="E22" s="16"/>
      <c r="F22" s="16"/>
    </row>
  </sheetData>
  <mergeCells count="12">
    <mergeCell ref="A1:F1"/>
    <mergeCell ref="A2:F2"/>
    <mergeCell ref="A4:F4"/>
    <mergeCell ref="C5:F5"/>
    <mergeCell ref="C6:F6"/>
    <mergeCell ref="C7:F7"/>
    <mergeCell ref="C8:F8"/>
    <mergeCell ref="C9:F9"/>
    <mergeCell ref="A11:F11"/>
    <mergeCell ref="A19:F19"/>
    <mergeCell ref="A20:F20"/>
    <mergeCell ref="A22:F22"/>
  </mergeCells>
  <dataValidations count="1">
    <dataValidation allowBlank="true" errorStyle="stop" operator="between" showDropDown="false" showErrorMessage="false" showInputMessage="false" sqref="E13:E17" type="list">
      <formula1>"미착수,입력 중,입력 완료,해당 없음(추정값 유지)"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6" min="5" style="0" width="18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30"/>
  </cols>
  <sheetData>
    <row r="1" customFormat="false" ht="39.75" hidden="false" customHeight="true" outlineLevel="0" collapsed="false">
      <c r="A1" s="1" t="s">
        <v>48</v>
      </c>
      <c r="B1" s="1"/>
      <c r="C1" s="1"/>
      <c r="D1" s="1"/>
      <c r="E1" s="1"/>
      <c r="F1" s="1"/>
      <c r="G1" s="1"/>
      <c r="H1" s="1"/>
      <c r="I1" s="1"/>
    </row>
    <row r="2" customFormat="false" ht="60" hidden="false" customHeight="true" outlineLevel="0" collapsed="false">
      <c r="A2" s="2" t="s">
        <v>49</v>
      </c>
      <c r="B2" s="2"/>
      <c r="C2" s="2"/>
      <c r="D2" s="2"/>
      <c r="E2" s="2"/>
      <c r="F2" s="2"/>
      <c r="G2" s="2"/>
      <c r="H2" s="2"/>
      <c r="I2" s="2"/>
    </row>
    <row r="4" customFormat="false" ht="27.75" hidden="false" customHeight="true" outlineLevel="0" collapsed="false">
      <c r="A4" s="8" t="s">
        <v>50</v>
      </c>
      <c r="B4" s="8"/>
      <c r="C4" s="8"/>
      <c r="D4" s="8"/>
      <c r="E4" s="8"/>
      <c r="F4" s="8"/>
      <c r="G4" s="8"/>
      <c r="H4" s="8"/>
      <c r="I4" s="8"/>
    </row>
    <row r="5" customFormat="false" ht="20.1" hidden="false" customHeight="true" outlineLevel="0" collapsed="false">
      <c r="A5" s="10" t="s">
        <v>51</v>
      </c>
      <c r="B5" s="10" t="s">
        <v>52</v>
      </c>
      <c r="C5" s="10"/>
      <c r="D5" s="10"/>
      <c r="E5" s="10" t="s">
        <v>53</v>
      </c>
      <c r="F5" s="10"/>
      <c r="G5" s="10"/>
      <c r="H5" s="10"/>
      <c r="I5" s="10"/>
    </row>
    <row r="6" customFormat="false" ht="39.75" hidden="false" customHeight="true" outlineLevel="0" collapsed="false">
      <c r="A6" s="17" t="s">
        <v>54</v>
      </c>
      <c r="B6" s="13" t="s">
        <v>55</v>
      </c>
      <c r="C6" s="13"/>
      <c r="D6" s="13"/>
      <c r="E6" s="13" t="s">
        <v>56</v>
      </c>
      <c r="F6" s="13"/>
      <c r="G6" s="13"/>
      <c r="H6" s="13"/>
      <c r="I6" s="13"/>
    </row>
    <row r="7" customFormat="false" ht="39.75" hidden="false" customHeight="true" outlineLevel="0" collapsed="false">
      <c r="A7" s="17" t="s">
        <v>57</v>
      </c>
      <c r="B7" s="12" t="s">
        <v>58</v>
      </c>
      <c r="C7" s="12"/>
      <c r="D7" s="12"/>
      <c r="E7" s="12" t="s">
        <v>59</v>
      </c>
      <c r="F7" s="12"/>
      <c r="G7" s="12"/>
      <c r="H7" s="12"/>
      <c r="I7" s="12"/>
    </row>
    <row r="8" customFormat="false" ht="39.75" hidden="false" customHeight="true" outlineLevel="0" collapsed="false">
      <c r="A8" s="17" t="s">
        <v>60</v>
      </c>
      <c r="B8" s="13" t="s">
        <v>61</v>
      </c>
      <c r="C8" s="13"/>
      <c r="D8" s="13"/>
      <c r="E8" s="12" t="s">
        <v>62</v>
      </c>
      <c r="F8" s="12"/>
      <c r="G8" s="12"/>
      <c r="H8" s="12"/>
      <c r="I8" s="12"/>
    </row>
    <row r="9" customFormat="false" ht="20.1" hidden="false" customHeight="true" outlineLevel="0" collapsed="false">
      <c r="A9" s="18" t="s">
        <v>63</v>
      </c>
      <c r="B9" s="14"/>
      <c r="C9" s="14"/>
      <c r="D9" s="18" t="s">
        <v>64</v>
      </c>
      <c r="E9" s="18"/>
      <c r="F9" s="14"/>
      <c r="G9" s="18" t="s">
        <v>65</v>
      </c>
      <c r="H9" s="19"/>
      <c r="I9" s="19"/>
    </row>
    <row r="10" customFormat="false" ht="19.5" hidden="false" customHeight="true" outlineLevel="0" collapsed="false">
      <c r="A10" s="16" t="s">
        <v>66</v>
      </c>
      <c r="B10" s="16"/>
      <c r="C10" s="16"/>
      <c r="D10" s="16"/>
      <c r="E10" s="16"/>
      <c r="F10" s="16"/>
      <c r="G10" s="16"/>
      <c r="H10" s="16"/>
      <c r="I10" s="16"/>
    </row>
    <row r="12" customFormat="false" ht="27.75" hidden="false" customHeight="true" outlineLevel="0" collapsed="false">
      <c r="A12" s="8" t="s">
        <v>67</v>
      </c>
      <c r="B12" s="8"/>
      <c r="C12" s="8"/>
      <c r="D12" s="8"/>
      <c r="E12" s="8"/>
      <c r="F12" s="8"/>
      <c r="G12" s="8"/>
      <c r="H12" s="8"/>
      <c r="I12" s="8"/>
    </row>
    <row r="13" customFormat="false" ht="20.1" hidden="false" customHeight="true" outlineLevel="0" collapsed="false">
      <c r="A13" s="10" t="s">
        <v>68</v>
      </c>
      <c r="B13" s="10" t="s">
        <v>69</v>
      </c>
      <c r="C13" s="10" t="s">
        <v>70</v>
      </c>
      <c r="D13" s="10" t="s">
        <v>71</v>
      </c>
      <c r="E13" s="10" t="s">
        <v>72</v>
      </c>
      <c r="F13" s="10" t="s">
        <v>73</v>
      </c>
      <c r="G13" s="10" t="s">
        <v>74</v>
      </c>
      <c r="H13" s="10"/>
      <c r="I13" s="10"/>
    </row>
    <row r="14" customFormat="false" ht="39.75" hidden="false" customHeight="true" outlineLevel="0" collapsed="false">
      <c r="A14" s="12" t="s">
        <v>75</v>
      </c>
      <c r="B14" s="19" t="s">
        <v>76</v>
      </c>
      <c r="C14" s="19" t="n">
        <v>10</v>
      </c>
      <c r="D14" s="20" t="s">
        <v>77</v>
      </c>
      <c r="E14" s="19"/>
      <c r="F14" s="19"/>
      <c r="G14" s="20" t="s">
        <v>78</v>
      </c>
      <c r="H14" s="20"/>
      <c r="I14" s="20"/>
    </row>
    <row r="15" customFormat="false" ht="39.75" hidden="false" customHeight="true" outlineLevel="0" collapsed="false">
      <c r="A15" s="13" t="s">
        <v>79</v>
      </c>
      <c r="B15" s="19"/>
      <c r="C15" s="19" t="s">
        <v>80</v>
      </c>
      <c r="D15" s="20"/>
      <c r="E15" s="19"/>
      <c r="F15" s="19"/>
      <c r="G15" s="20"/>
      <c r="H15" s="20"/>
      <c r="I15" s="20"/>
    </row>
    <row r="16" customFormat="false" ht="39.75" hidden="false" customHeight="true" outlineLevel="0" collapsed="false">
      <c r="A16" s="13" t="s">
        <v>81</v>
      </c>
      <c r="B16" s="19" t="s">
        <v>82</v>
      </c>
      <c r="C16" s="19"/>
      <c r="D16" s="20"/>
      <c r="E16" s="19"/>
      <c r="F16" s="19"/>
      <c r="G16" s="20" t="s">
        <v>83</v>
      </c>
      <c r="H16" s="20"/>
      <c r="I16" s="20"/>
    </row>
    <row r="17" customFormat="false" ht="39.75" hidden="false" customHeight="true" outlineLevel="0" collapsed="false">
      <c r="A17" s="12" t="s">
        <v>84</v>
      </c>
      <c r="B17" s="19"/>
      <c r="C17" s="19"/>
      <c r="D17" s="20"/>
      <c r="E17" s="19"/>
      <c r="F17" s="19"/>
      <c r="G17" s="20"/>
      <c r="H17" s="20"/>
      <c r="I17" s="20"/>
    </row>
    <row r="18" customFormat="false" ht="39.75" hidden="false" customHeight="true" outlineLevel="0" collapsed="false">
      <c r="A18" s="12" t="s">
        <v>85</v>
      </c>
      <c r="B18" s="19"/>
      <c r="C18" s="19"/>
      <c r="D18" s="20"/>
      <c r="E18" s="19"/>
      <c r="F18" s="19"/>
      <c r="G18" s="20"/>
      <c r="H18" s="20"/>
      <c r="I18" s="20"/>
    </row>
    <row r="20" customFormat="false" ht="27.75" hidden="false" customHeight="true" outlineLevel="0" collapsed="false">
      <c r="A20" s="8" t="s">
        <v>86</v>
      </c>
      <c r="B20" s="8"/>
      <c r="C20" s="8"/>
      <c r="D20" s="8"/>
      <c r="E20" s="8"/>
      <c r="F20" s="8"/>
      <c r="G20" s="8"/>
      <c r="H20" s="8"/>
      <c r="I20" s="8"/>
    </row>
    <row r="21" customFormat="false" ht="39.75" hidden="false" customHeight="true" outlineLevel="0" collapsed="false">
      <c r="A21" s="10" t="s">
        <v>87</v>
      </c>
      <c r="B21" s="10" t="s">
        <v>88</v>
      </c>
      <c r="C21" s="10" t="s">
        <v>89</v>
      </c>
      <c r="D21" s="10" t="s">
        <v>90</v>
      </c>
      <c r="E21" s="10" t="s">
        <v>91</v>
      </c>
      <c r="F21" s="10" t="s">
        <v>92</v>
      </c>
      <c r="G21" s="9" t="s">
        <v>93</v>
      </c>
      <c r="H21" s="10" t="s">
        <v>94</v>
      </c>
      <c r="I21" s="10" t="s">
        <v>74</v>
      </c>
    </row>
    <row r="22" customFormat="false" ht="38.8" hidden="false" customHeight="false" outlineLevel="0" collapsed="false">
      <c r="A22" s="21" t="s">
        <v>95</v>
      </c>
      <c r="B22" s="21" t="s">
        <v>96</v>
      </c>
      <c r="C22" s="21" t="s">
        <v>97</v>
      </c>
      <c r="D22" s="21" t="n">
        <v>6</v>
      </c>
      <c r="E22" s="21" t="n">
        <v>2</v>
      </c>
      <c r="F22" s="22" t="s">
        <v>75</v>
      </c>
      <c r="G22" s="21" t="n">
        <v>8</v>
      </c>
      <c r="H22" s="22" t="s">
        <v>98</v>
      </c>
      <c r="I22" s="22" t="s">
        <v>99</v>
      </c>
    </row>
    <row r="23" customFormat="false" ht="24" hidden="false" customHeight="true" outlineLevel="0" collapsed="false">
      <c r="A23" s="23"/>
      <c r="B23" s="19"/>
      <c r="C23" s="19"/>
      <c r="D23" s="19"/>
      <c r="E23" s="19"/>
      <c r="F23" s="19"/>
      <c r="G23" s="19"/>
      <c r="H23" s="11" t="str">
        <f aca="false">IF(OR(G23="",$F$9=""),"",IF(G23&lt;=$F$9,"OK","NG"))</f>
        <v/>
      </c>
      <c r="I23" s="19"/>
    </row>
    <row r="24" customFormat="false" ht="24" hidden="false" customHeight="true" outlineLevel="0" collapsed="false">
      <c r="A24" s="23"/>
      <c r="B24" s="19"/>
      <c r="C24" s="19"/>
      <c r="D24" s="19"/>
      <c r="E24" s="19"/>
      <c r="F24" s="19"/>
      <c r="G24" s="19"/>
      <c r="H24" s="11" t="str">
        <f aca="false">IF(OR(G24="",$F$9=""),"",IF(G24&lt;=$F$9,"OK","NG"))</f>
        <v/>
      </c>
      <c r="I24" s="19"/>
    </row>
    <row r="25" customFormat="false" ht="24" hidden="false" customHeight="true" outlineLevel="0" collapsed="false">
      <c r="A25" s="23"/>
      <c r="B25" s="19"/>
      <c r="C25" s="19"/>
      <c r="D25" s="19"/>
      <c r="E25" s="19"/>
      <c r="F25" s="19"/>
      <c r="G25" s="19"/>
      <c r="H25" s="11" t="str">
        <f aca="false">IF(OR(G25="",$F$9=""),"",IF(G25&lt;=$F$9,"OK","NG"))</f>
        <v/>
      </c>
      <c r="I25" s="19"/>
    </row>
    <row r="26" customFormat="false" ht="24" hidden="false" customHeight="true" outlineLevel="0" collapsed="false">
      <c r="A26" s="23"/>
      <c r="B26" s="19"/>
      <c r="C26" s="19"/>
      <c r="D26" s="19"/>
      <c r="E26" s="19"/>
      <c r="F26" s="19"/>
      <c r="G26" s="19"/>
      <c r="H26" s="11" t="str">
        <f aca="false">IF(OR(G26="",$F$9=""),"",IF(G26&lt;=$F$9,"OK","NG"))</f>
        <v/>
      </c>
      <c r="I26" s="19"/>
    </row>
    <row r="27" customFormat="false" ht="24" hidden="false" customHeight="true" outlineLevel="0" collapsed="false">
      <c r="A27" s="23"/>
      <c r="B27" s="19"/>
      <c r="C27" s="19"/>
      <c r="D27" s="19"/>
      <c r="E27" s="19"/>
      <c r="F27" s="19"/>
      <c r="G27" s="19"/>
      <c r="H27" s="11" t="str">
        <f aca="false">IF(OR(G27="",$F$9=""),"",IF(G27&lt;=$F$9,"OK","NG"))</f>
        <v/>
      </c>
      <c r="I27" s="19"/>
    </row>
    <row r="28" customFormat="false" ht="24" hidden="false" customHeight="true" outlineLevel="0" collapsed="false">
      <c r="A28" s="23"/>
      <c r="B28" s="19"/>
      <c r="C28" s="19"/>
      <c r="D28" s="19"/>
      <c r="E28" s="19"/>
      <c r="F28" s="19"/>
      <c r="G28" s="19"/>
      <c r="H28" s="11" t="str">
        <f aca="false">IF(OR(G28="",$F$9=""),"",IF(G28&lt;=$F$9,"OK","NG"))</f>
        <v/>
      </c>
      <c r="I28" s="19"/>
    </row>
    <row r="29" customFormat="false" ht="24" hidden="false" customHeight="true" outlineLevel="0" collapsed="false">
      <c r="A29" s="23"/>
      <c r="B29" s="19"/>
      <c r="C29" s="19"/>
      <c r="D29" s="19"/>
      <c r="E29" s="19"/>
      <c r="F29" s="19"/>
      <c r="G29" s="19"/>
      <c r="H29" s="11" t="str">
        <f aca="false">IF(OR(G29="",$F$9=""),"",IF(G29&lt;=$F$9,"OK","NG"))</f>
        <v/>
      </c>
      <c r="I29" s="19"/>
    </row>
    <row r="30" customFormat="false" ht="24" hidden="false" customHeight="true" outlineLevel="0" collapsed="false">
      <c r="A30" s="23"/>
      <c r="B30" s="19"/>
      <c r="C30" s="19"/>
      <c r="D30" s="19"/>
      <c r="E30" s="19"/>
      <c r="F30" s="19"/>
      <c r="G30" s="19"/>
      <c r="H30" s="11" t="str">
        <f aca="false">IF(OR(G30="",$F$9=""),"",IF(G30&lt;=$F$9,"OK","NG"))</f>
        <v/>
      </c>
      <c r="I30" s="19"/>
    </row>
    <row r="31" customFormat="false" ht="24" hidden="false" customHeight="true" outlineLevel="0" collapsed="false">
      <c r="A31" s="23"/>
      <c r="B31" s="19"/>
      <c r="C31" s="19"/>
      <c r="D31" s="19"/>
      <c r="E31" s="19"/>
      <c r="F31" s="19"/>
      <c r="G31" s="19"/>
      <c r="H31" s="11" t="str">
        <f aca="false">IF(OR(G31="",$F$9=""),"",IF(G31&lt;=$F$9,"OK","NG"))</f>
        <v/>
      </c>
      <c r="I31" s="19"/>
    </row>
    <row r="32" customFormat="false" ht="24" hidden="false" customHeight="true" outlineLevel="0" collapsed="false">
      <c r="A32" s="23"/>
      <c r="B32" s="19"/>
      <c r="C32" s="19"/>
      <c r="D32" s="19"/>
      <c r="E32" s="19"/>
      <c r="F32" s="19"/>
      <c r="G32" s="19"/>
      <c r="H32" s="11" t="str">
        <f aca="false">IF(OR(G32="",$F$9=""),"",IF(G32&lt;=$F$9,"OK","NG"))</f>
        <v/>
      </c>
      <c r="I32" s="19"/>
    </row>
    <row r="33" customFormat="false" ht="19.5" hidden="false" customHeight="true" outlineLevel="0" collapsed="false">
      <c r="A33" s="16" t="s">
        <v>100</v>
      </c>
      <c r="B33" s="16"/>
      <c r="C33" s="16"/>
      <c r="D33" s="16"/>
      <c r="E33" s="16"/>
      <c r="F33" s="16"/>
      <c r="G33" s="16"/>
      <c r="H33" s="16"/>
      <c r="I33" s="16"/>
    </row>
  </sheetData>
  <mergeCells count="24">
    <mergeCell ref="A1:I1"/>
    <mergeCell ref="A2:I2"/>
    <mergeCell ref="A4:I4"/>
    <mergeCell ref="B5:D5"/>
    <mergeCell ref="E5:I5"/>
    <mergeCell ref="B6:D6"/>
    <mergeCell ref="E6:I6"/>
    <mergeCell ref="B7:D7"/>
    <mergeCell ref="E7:I7"/>
    <mergeCell ref="B8:D8"/>
    <mergeCell ref="E8:I8"/>
    <mergeCell ref="B9:C9"/>
    <mergeCell ref="D9:E9"/>
    <mergeCell ref="H9:I9"/>
    <mergeCell ref="A10:I10"/>
    <mergeCell ref="A12:I12"/>
    <mergeCell ref="G13:I13"/>
    <mergeCell ref="G14:I14"/>
    <mergeCell ref="G15:I15"/>
    <mergeCell ref="G16:I16"/>
    <mergeCell ref="G17:I17"/>
    <mergeCell ref="G18:I18"/>
    <mergeCell ref="A20:I20"/>
    <mergeCell ref="A33:I33"/>
  </mergeCells>
  <dataValidations count="3">
    <dataValidation allowBlank="true" errorStyle="stop" operator="between" showDropDown="false" showErrorMessage="false" showInputMessage="false" sqref="B9" type="list">
      <formula1>"A안,B안,C안,보류"</formula1>
      <formula2>0</formula2>
    </dataValidation>
    <dataValidation allowBlank="true" errorStyle="stop" operator="between" showDropDown="false" showErrorMessage="false" showInputMessage="false" sqref="D14:D18" type="list">
      <formula1>"보유,미보유,모름"</formula1>
      <formula2>0</formula2>
    </dataValidation>
    <dataValidation allowBlank="true" errorStyle="stop" operator="between" showDropDown="false" showErrorMessage="false" showInputMessage="false" sqref="B23:B32" type="list">
      <formula1>"FG,GX7,기타"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30"/>
  </cols>
  <sheetData>
    <row r="1" customFormat="false" ht="39.75" hidden="false" customHeight="true" outlineLevel="0" collapsed="false">
      <c r="A1" s="1" t="s">
        <v>101</v>
      </c>
      <c r="B1" s="1"/>
      <c r="C1" s="1"/>
      <c r="D1" s="1"/>
      <c r="E1" s="1"/>
      <c r="F1" s="1"/>
      <c r="G1" s="1"/>
      <c r="H1" s="1"/>
    </row>
    <row r="2" customFormat="false" ht="39.75" hidden="false" customHeight="true" outlineLevel="0" collapsed="false">
      <c r="A2" s="2" t="s">
        <v>102</v>
      </c>
      <c r="B2" s="2"/>
      <c r="C2" s="2"/>
      <c r="D2" s="2"/>
      <c r="E2" s="2"/>
      <c r="F2" s="2"/>
      <c r="G2" s="2"/>
      <c r="H2" s="2"/>
    </row>
    <row r="4" customFormat="false" ht="27.75" hidden="false" customHeight="true" outlineLevel="0" collapsed="false">
      <c r="A4" s="8" t="s">
        <v>103</v>
      </c>
      <c r="B4" s="8"/>
      <c r="C4" s="8"/>
      <c r="D4" s="8"/>
      <c r="E4" s="8"/>
      <c r="F4" s="8"/>
      <c r="G4" s="8"/>
      <c r="H4" s="8"/>
    </row>
    <row r="5" customFormat="false" ht="39.75" hidden="false" customHeight="true" outlineLevel="0" collapsed="false">
      <c r="A5" s="10" t="s">
        <v>104</v>
      </c>
      <c r="B5" s="10" t="s">
        <v>105</v>
      </c>
      <c r="C5" s="10" t="s">
        <v>106</v>
      </c>
      <c r="D5" s="10" t="s">
        <v>107</v>
      </c>
      <c r="E5" s="10" t="s">
        <v>108</v>
      </c>
      <c r="F5" s="10" t="s">
        <v>109</v>
      </c>
      <c r="G5" s="10" t="s">
        <v>110</v>
      </c>
      <c r="H5" s="10" t="s">
        <v>74</v>
      </c>
    </row>
    <row r="6" customFormat="false" ht="20.1" hidden="false" customHeight="false" outlineLevel="0" collapsed="false">
      <c r="A6" s="22" t="s">
        <v>111</v>
      </c>
      <c r="B6" s="21" t="n">
        <v>4</v>
      </c>
      <c r="C6" s="21" t="s">
        <v>112</v>
      </c>
      <c r="D6" s="21" t="n">
        <v>3</v>
      </c>
      <c r="E6" s="21" t="n">
        <v>6</v>
      </c>
      <c r="F6" s="22" t="s">
        <v>113</v>
      </c>
      <c r="G6" s="22" t="s">
        <v>114</v>
      </c>
      <c r="H6" s="22" t="s">
        <v>115</v>
      </c>
    </row>
    <row r="7" customFormat="false" ht="24" hidden="false" customHeight="true" outlineLevel="0" collapsed="false">
      <c r="A7" s="19"/>
      <c r="B7" s="19"/>
      <c r="C7" s="19"/>
      <c r="D7" s="19"/>
      <c r="E7" s="19"/>
      <c r="F7" s="19"/>
      <c r="G7" s="19"/>
      <c r="H7" s="19"/>
    </row>
    <row r="8" customFormat="false" ht="24" hidden="false" customHeight="true" outlineLevel="0" collapsed="false">
      <c r="A8" s="19"/>
      <c r="B8" s="19"/>
      <c r="C8" s="19"/>
      <c r="D8" s="19"/>
      <c r="E8" s="19"/>
      <c r="F8" s="19"/>
      <c r="G8" s="19"/>
      <c r="H8" s="19"/>
    </row>
    <row r="9" customFormat="false" ht="24" hidden="false" customHeight="true" outlineLevel="0" collapsed="false">
      <c r="A9" s="19"/>
      <c r="B9" s="19"/>
      <c r="C9" s="19"/>
      <c r="D9" s="19"/>
      <c r="E9" s="19"/>
      <c r="F9" s="19"/>
      <c r="G9" s="19"/>
      <c r="H9" s="19"/>
    </row>
    <row r="10" customFormat="false" ht="24" hidden="false" customHeight="true" outlineLevel="0" collapsed="false">
      <c r="A10" s="19"/>
      <c r="B10" s="19"/>
      <c r="C10" s="19"/>
      <c r="D10" s="19"/>
      <c r="E10" s="19"/>
      <c r="F10" s="19"/>
      <c r="G10" s="19"/>
      <c r="H10" s="19"/>
    </row>
    <row r="11" customFormat="false" ht="24" hidden="false" customHeight="true" outlineLevel="0" collapsed="false">
      <c r="A11" s="19"/>
      <c r="B11" s="19"/>
      <c r="C11" s="19"/>
      <c r="D11" s="19"/>
      <c r="E11" s="19"/>
      <c r="F11" s="19"/>
      <c r="G11" s="19"/>
      <c r="H11" s="19"/>
    </row>
    <row r="12" customFormat="false" ht="24" hidden="false" customHeight="true" outlineLevel="0" collapsed="false">
      <c r="A12" s="19"/>
      <c r="B12" s="19"/>
      <c r="C12" s="19"/>
      <c r="D12" s="19"/>
      <c r="E12" s="19"/>
      <c r="F12" s="19"/>
      <c r="G12" s="19"/>
      <c r="H12" s="19"/>
    </row>
    <row r="13" customFormat="false" ht="24" hidden="false" customHeight="true" outlineLevel="0" collapsed="false">
      <c r="A13" s="19"/>
      <c r="B13" s="19"/>
      <c r="C13" s="19"/>
      <c r="D13" s="19"/>
      <c r="E13" s="19"/>
      <c r="F13" s="19"/>
      <c r="G13" s="19"/>
      <c r="H13" s="19"/>
    </row>
    <row r="14" customFormat="false" ht="24" hidden="false" customHeight="true" outlineLevel="0" collapsed="false">
      <c r="A14" s="19"/>
      <c r="B14" s="19"/>
      <c r="C14" s="19"/>
      <c r="D14" s="19"/>
      <c r="E14" s="19"/>
      <c r="F14" s="19"/>
      <c r="G14" s="19"/>
      <c r="H14" s="19"/>
    </row>
    <row r="15" customFormat="false" ht="24" hidden="false" customHeight="true" outlineLevel="0" collapsed="false">
      <c r="A15" s="19"/>
      <c r="B15" s="19"/>
      <c r="C15" s="19"/>
      <c r="D15" s="19"/>
      <c r="E15" s="19"/>
      <c r="F15" s="19"/>
      <c r="G15" s="19"/>
      <c r="H15" s="19"/>
    </row>
    <row r="16" customFormat="false" ht="24" hidden="false" customHeight="true" outlineLevel="0" collapsed="false">
      <c r="A16" s="19"/>
      <c r="B16" s="19"/>
      <c r="C16" s="19"/>
      <c r="D16" s="19"/>
      <c r="E16" s="19"/>
      <c r="F16" s="19"/>
      <c r="G16" s="19"/>
      <c r="H16" s="19"/>
    </row>
    <row r="18" customFormat="false" ht="27.75" hidden="false" customHeight="true" outlineLevel="0" collapsed="false">
      <c r="A18" s="8" t="s">
        <v>116</v>
      </c>
      <c r="B18" s="8"/>
      <c r="C18" s="8"/>
      <c r="D18" s="8"/>
      <c r="E18" s="8"/>
      <c r="F18" s="8"/>
      <c r="G18" s="8"/>
      <c r="H18" s="8"/>
    </row>
    <row r="19" customFormat="false" ht="39.75" hidden="false" customHeight="true" outlineLevel="0" collapsed="false">
      <c r="A19" s="10" t="s">
        <v>117</v>
      </c>
      <c r="B19" s="9" t="s">
        <v>118</v>
      </c>
      <c r="C19" s="9" t="s">
        <v>119</v>
      </c>
      <c r="D19" s="9" t="s">
        <v>120</v>
      </c>
      <c r="E19" s="10" t="s">
        <v>121</v>
      </c>
      <c r="F19" s="10" t="s">
        <v>122</v>
      </c>
      <c r="G19" s="10" t="s">
        <v>123</v>
      </c>
      <c r="H19" s="10" t="s">
        <v>74</v>
      </c>
    </row>
    <row r="20" customFormat="false" ht="38.8" hidden="false" customHeight="false" outlineLevel="0" collapsed="false">
      <c r="A20" s="21" t="s">
        <v>124</v>
      </c>
      <c r="B20" s="21" t="n">
        <v>8</v>
      </c>
      <c r="C20" s="21" t="n">
        <v>0.15</v>
      </c>
      <c r="D20" s="21" t="n">
        <v>2.4</v>
      </c>
      <c r="E20" s="24" t="n">
        <f aca="false">IF(OR(B20="",C20="",D20="",C20=0),"",ROUNDDOWN((B20-D20)/C20,0))</f>
        <v>37</v>
      </c>
      <c r="F20" s="21"/>
      <c r="G20" s="24" t="str">
        <f aca="false">IF(OR(E20="",F20=""),"",ROUND(F20/E20,2))</f>
        <v/>
      </c>
      <c r="H20" s="22" t="s">
        <v>125</v>
      </c>
    </row>
    <row r="21" customFormat="false" ht="24" hidden="false" customHeight="true" outlineLevel="0" collapsed="false">
      <c r="A21" s="19"/>
      <c r="B21" s="19"/>
      <c r="C21" s="19"/>
      <c r="D21" s="19"/>
      <c r="E21" s="11" t="str">
        <f aca="false">IF(OR(B21="",C21="",D21="",C21=0),"",ROUNDDOWN((B21-D21)/C21,0))</f>
        <v/>
      </c>
      <c r="F21" s="19"/>
      <c r="G21" s="11" t="str">
        <f aca="false">IF(OR(E21="",F21=""),"",ROUND(F21/E21,2))</f>
        <v/>
      </c>
      <c r="H21" s="19"/>
    </row>
    <row r="22" customFormat="false" ht="24" hidden="false" customHeight="true" outlineLevel="0" collapsed="false">
      <c r="A22" s="19"/>
      <c r="B22" s="19"/>
      <c r="C22" s="19"/>
      <c r="D22" s="19"/>
      <c r="E22" s="11" t="str">
        <f aca="false">IF(OR(B22="",C22="",D22="",C22=0),"",ROUNDDOWN((B22-D22)/C22,0))</f>
        <v/>
      </c>
      <c r="F22" s="19"/>
      <c r="G22" s="11" t="str">
        <f aca="false">IF(OR(E22="",F22=""),"",ROUND(F22/E22,2))</f>
        <v/>
      </c>
      <c r="H22" s="19"/>
    </row>
    <row r="23" customFormat="false" ht="24" hidden="false" customHeight="true" outlineLevel="0" collapsed="false">
      <c r="A23" s="19"/>
      <c r="B23" s="19"/>
      <c r="C23" s="19"/>
      <c r="D23" s="19"/>
      <c r="E23" s="11" t="str">
        <f aca="false">IF(OR(B23="",C23="",D23="",C23=0),"",ROUNDDOWN((B23-D23)/C23,0))</f>
        <v/>
      </c>
      <c r="F23" s="19"/>
      <c r="G23" s="11" t="str">
        <f aca="false">IF(OR(E23="",F23=""),"",ROUND(F23/E23,2))</f>
        <v/>
      </c>
      <c r="H23" s="19"/>
    </row>
    <row r="24" customFormat="false" ht="24" hidden="false" customHeight="true" outlineLevel="0" collapsed="false">
      <c r="A24" s="19"/>
      <c r="B24" s="19"/>
      <c r="C24" s="19"/>
      <c r="D24" s="19"/>
      <c r="E24" s="11" t="str">
        <f aca="false">IF(OR(B24="",C24="",D24="",C24=0),"",ROUNDDOWN((B24-D24)/C24,0))</f>
        <v/>
      </c>
      <c r="F24" s="19"/>
      <c r="G24" s="11" t="str">
        <f aca="false">IF(OR(E24="",F24=""),"",ROUND(F24/E24,2))</f>
        <v/>
      </c>
      <c r="H24" s="19"/>
    </row>
    <row r="25" customFormat="false" ht="24" hidden="false" customHeight="true" outlineLevel="0" collapsed="false">
      <c r="A25" s="19"/>
      <c r="B25" s="19"/>
      <c r="C25" s="19"/>
      <c r="D25" s="19"/>
      <c r="E25" s="11" t="str">
        <f aca="false">IF(OR(B25="",C25="",D25="",C25=0),"",ROUNDDOWN((B25-D25)/C25,0))</f>
        <v/>
      </c>
      <c r="F25" s="19"/>
      <c r="G25" s="11" t="str">
        <f aca="false">IF(OR(E25="",F25=""),"",ROUND(F25/E25,2))</f>
        <v/>
      </c>
      <c r="H25" s="19"/>
    </row>
    <row r="26" customFormat="false" ht="24" hidden="false" customHeight="true" outlineLevel="0" collapsed="false">
      <c r="A26" s="19"/>
      <c r="B26" s="19"/>
      <c r="C26" s="19"/>
      <c r="D26" s="19"/>
      <c r="E26" s="11" t="str">
        <f aca="false">IF(OR(B26="",C26="",D26="",C26=0),"",ROUNDDOWN((B26-D26)/C26,0))</f>
        <v/>
      </c>
      <c r="F26" s="19"/>
      <c r="G26" s="11" t="str">
        <f aca="false">IF(OR(E26="",F26=""),"",ROUND(F26/E26,2))</f>
        <v/>
      </c>
      <c r="H26" s="19"/>
    </row>
    <row r="28" customFormat="false" ht="27.75" hidden="false" customHeight="true" outlineLevel="0" collapsed="false">
      <c r="A28" s="8" t="s">
        <v>126</v>
      </c>
      <c r="B28" s="8"/>
      <c r="C28" s="8"/>
      <c r="D28" s="8"/>
      <c r="E28" s="8"/>
      <c r="F28" s="8"/>
      <c r="G28" s="8"/>
      <c r="H28" s="8"/>
    </row>
    <row r="29" customFormat="false" ht="36" hidden="false" customHeight="true" outlineLevel="0" collapsed="false">
      <c r="A29" s="25" t="s">
        <v>127</v>
      </c>
      <c r="B29" s="25"/>
      <c r="C29" s="25"/>
      <c r="D29" s="25"/>
      <c r="E29" s="25"/>
      <c r="F29" s="14"/>
      <c r="G29" s="14"/>
      <c r="H29" s="14"/>
    </row>
    <row r="30" customFormat="false" ht="39.75" hidden="false" customHeight="true" outlineLevel="0" collapsed="false">
      <c r="A30" s="16" t="s">
        <v>128</v>
      </c>
      <c r="B30" s="16"/>
      <c r="C30" s="16"/>
      <c r="D30" s="16"/>
      <c r="E30" s="16"/>
      <c r="F30" s="16"/>
      <c r="G30" s="16"/>
      <c r="H30" s="16"/>
    </row>
  </sheetData>
  <mergeCells count="8">
    <mergeCell ref="A1:H1"/>
    <mergeCell ref="A2:H2"/>
    <mergeCell ref="A4:H4"/>
    <mergeCell ref="A18:H18"/>
    <mergeCell ref="A28:H28"/>
    <mergeCell ref="A29:E29"/>
    <mergeCell ref="F29:H29"/>
    <mergeCell ref="A30:H30"/>
  </mergeCells>
  <dataValidations count="4">
    <dataValidation allowBlank="true" errorStyle="stop" operator="between" showDropDown="false" showErrorMessage="false" showInputMessage="false" sqref="A7:A16" type="list">
      <formula1>"평엔드밀,볼엔드밀,코너R,라핑,드릴,챔퍼,기타"</formula1>
      <formula2>0</formula2>
    </dataValidation>
    <dataValidation allowBlank="true" errorStyle="stop" operator="between" showDropDown="false" showErrorMessage="false" showInputMessage="false" sqref="F7:F16" type="list">
      <formula1>"인선 길이 부족,코너·날 파손,코팅 손실(재코팅 불가),직경 공차 이탈,코어 강성 부족,기타"</formula1>
      <formula2>0</formula2>
    </dataValidation>
    <dataValidation allowBlank="true" errorStyle="stop" operator="between" showDropDown="false" showErrorMessage="false" showInputMessage="false" sqref="G7:G16" type="list">
      <formula1>"제조사 기준,실측 검증,사내 경험값,추정값"</formula1>
      <formula2>0</formula2>
    </dataValidation>
    <dataValidation allowBlank="true" errorStyle="stop" operator="between" showDropDown="false" showErrorMessage="false" showInputMessage="false" sqref="F29" type="list">
      <formula1>"있음(전 공구),일부 거래처만,없음"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6" min="5" style="0" width="18"/>
    <col collapsed="false" customWidth="true" hidden="false" outlineLevel="0" max="7" min="7" style="0" width="14"/>
    <col collapsed="false" customWidth="true" hidden="false" outlineLevel="0" max="8" min="8" style="0" width="30"/>
  </cols>
  <sheetData>
    <row r="1" customFormat="false" ht="39.75" hidden="false" customHeight="true" outlineLevel="0" collapsed="false">
      <c r="A1" s="1" t="s">
        <v>129</v>
      </c>
      <c r="B1" s="1"/>
      <c r="C1" s="1"/>
      <c r="D1" s="1"/>
      <c r="E1" s="1"/>
      <c r="F1" s="1"/>
      <c r="G1" s="1"/>
      <c r="H1" s="1"/>
    </row>
    <row r="2" customFormat="false" ht="39.75" hidden="false" customHeight="true" outlineLevel="0" collapsed="false">
      <c r="A2" s="2" t="s">
        <v>130</v>
      </c>
      <c r="B2" s="2"/>
      <c r="C2" s="2"/>
      <c r="D2" s="2"/>
      <c r="E2" s="2"/>
      <c r="F2" s="2"/>
      <c r="G2" s="2"/>
      <c r="H2" s="2"/>
    </row>
    <row r="4" customFormat="false" ht="27.75" hidden="false" customHeight="true" outlineLevel="0" collapsed="false">
      <c r="A4" s="8" t="s">
        <v>131</v>
      </c>
      <c r="B4" s="8"/>
      <c r="C4" s="8"/>
      <c r="D4" s="8"/>
      <c r="E4" s="8"/>
      <c r="F4" s="8"/>
      <c r="G4" s="8"/>
      <c r="H4" s="8"/>
    </row>
    <row r="5" customFormat="false" ht="20.1" hidden="false" customHeight="true" outlineLevel="0" collapsed="false">
      <c r="A5" s="10" t="s">
        <v>132</v>
      </c>
      <c r="B5" s="10" t="s">
        <v>133</v>
      </c>
      <c r="C5" s="10" t="s">
        <v>110</v>
      </c>
      <c r="D5" s="10" t="s">
        <v>134</v>
      </c>
      <c r="E5" s="10"/>
      <c r="F5" s="10"/>
      <c r="G5" s="10"/>
      <c r="H5" s="10"/>
    </row>
    <row r="6" customFormat="false" ht="16.15" hidden="false" customHeight="false" outlineLevel="0" collapsed="false">
      <c r="A6" s="14"/>
      <c r="B6" s="14"/>
      <c r="C6" s="14"/>
      <c r="D6" s="19"/>
      <c r="E6" s="19"/>
      <c r="F6" s="19"/>
      <c r="G6" s="19"/>
      <c r="H6" s="19"/>
    </row>
    <row r="8" customFormat="false" ht="27.75" hidden="false" customHeight="true" outlineLevel="0" collapsed="false">
      <c r="A8" s="8" t="s">
        <v>135</v>
      </c>
      <c r="B8" s="8"/>
      <c r="C8" s="8"/>
      <c r="D8" s="8"/>
      <c r="E8" s="8"/>
      <c r="F8" s="8"/>
      <c r="G8" s="8"/>
      <c r="H8" s="8"/>
    </row>
    <row r="9" customFormat="false" ht="39.75" hidden="false" customHeight="true" outlineLevel="0" collapsed="false">
      <c r="A9" s="15" t="s">
        <v>136</v>
      </c>
      <c r="B9" s="15"/>
      <c r="C9" s="15"/>
      <c r="D9" s="15"/>
      <c r="E9" s="15"/>
      <c r="F9" s="15"/>
      <c r="G9" s="15"/>
      <c r="H9" s="15"/>
    </row>
    <row r="10" customFormat="false" ht="39.75" hidden="false" customHeight="true" outlineLevel="0" collapsed="false">
      <c r="A10" s="10" t="s">
        <v>137</v>
      </c>
      <c r="B10" s="10" t="s">
        <v>138</v>
      </c>
      <c r="C10" s="10" t="s">
        <v>139</v>
      </c>
      <c r="D10" s="10" t="s">
        <v>140</v>
      </c>
      <c r="E10" s="10" t="s">
        <v>141</v>
      </c>
      <c r="F10" s="10" t="s">
        <v>142</v>
      </c>
      <c r="G10" s="10" t="s">
        <v>143</v>
      </c>
      <c r="H10" s="10" t="s">
        <v>74</v>
      </c>
    </row>
    <row r="11" customFormat="false" ht="35.05" hidden="false" customHeight="false" outlineLevel="0" collapsed="false">
      <c r="A11" s="21" t="n">
        <v>1</v>
      </c>
      <c r="B11" s="26" t="n">
        <v>0.336805555555556</v>
      </c>
      <c r="C11" s="24" t="n">
        <f aca="false">IF(OR(B11="",B$11=""),"",ROUND((B11-B$11)*1440,0))</f>
        <v>0</v>
      </c>
      <c r="D11" s="22" t="s">
        <v>144</v>
      </c>
      <c r="E11" s="21" t="s">
        <v>145</v>
      </c>
      <c r="F11" s="21" t="n">
        <v>6.004</v>
      </c>
      <c r="G11" s="24" t="n">
        <f aca="false">IF(OR(F11="",F$11=""),"",ROUND((F11-F$11)*1000,1))</f>
        <v>0</v>
      </c>
      <c r="H11" s="22" t="s">
        <v>98</v>
      </c>
    </row>
    <row r="12" customFormat="false" ht="24" hidden="false" customHeight="true" outlineLevel="0" collapsed="false">
      <c r="A12" s="19"/>
      <c r="B12" s="27"/>
      <c r="C12" s="11" t="str">
        <f aca="false">IF(OR(B12="",B$12=""),"",ROUND((B12-B$12)*1440,0))</f>
        <v/>
      </c>
      <c r="D12" s="19"/>
      <c r="E12" s="19"/>
      <c r="F12" s="19"/>
      <c r="G12" s="11" t="str">
        <f aca="false">IF(OR(F12="",F$12=""),"",ROUND((F12-F$12)*1000,1))</f>
        <v/>
      </c>
      <c r="H12" s="19"/>
    </row>
    <row r="13" customFormat="false" ht="24" hidden="false" customHeight="true" outlineLevel="0" collapsed="false">
      <c r="A13" s="19"/>
      <c r="B13" s="27"/>
      <c r="C13" s="11" t="str">
        <f aca="false">IF(OR(B13="",B$12=""),"",ROUND((B13-B$12)*1440,0))</f>
        <v/>
      </c>
      <c r="D13" s="19"/>
      <c r="E13" s="19"/>
      <c r="F13" s="19"/>
      <c r="G13" s="11" t="str">
        <f aca="false">IF(OR(F13="",F$12=""),"",ROUND((F13-F$12)*1000,1))</f>
        <v/>
      </c>
      <c r="H13" s="19"/>
    </row>
    <row r="14" customFormat="false" ht="24" hidden="false" customHeight="true" outlineLevel="0" collapsed="false">
      <c r="A14" s="19"/>
      <c r="B14" s="27"/>
      <c r="C14" s="11" t="str">
        <f aca="false">IF(OR(B14="",B$12=""),"",ROUND((B14-B$12)*1440,0))</f>
        <v/>
      </c>
      <c r="D14" s="19"/>
      <c r="E14" s="19"/>
      <c r="F14" s="19"/>
      <c r="G14" s="11" t="str">
        <f aca="false">IF(OR(F14="",F$12=""),"",ROUND((F14-F$12)*1000,1))</f>
        <v/>
      </c>
      <c r="H14" s="19"/>
    </row>
    <row r="15" customFormat="false" ht="24" hidden="false" customHeight="true" outlineLevel="0" collapsed="false">
      <c r="A15" s="19"/>
      <c r="B15" s="27"/>
      <c r="C15" s="11" t="str">
        <f aca="false">IF(OR(B15="",B$12=""),"",ROUND((B15-B$12)*1440,0))</f>
        <v/>
      </c>
      <c r="D15" s="19"/>
      <c r="E15" s="19"/>
      <c r="F15" s="19"/>
      <c r="G15" s="11" t="str">
        <f aca="false">IF(OR(F15="",F$12=""),"",ROUND((F15-F$12)*1000,1))</f>
        <v/>
      </c>
      <c r="H15" s="19"/>
    </row>
    <row r="16" customFormat="false" ht="24" hidden="false" customHeight="true" outlineLevel="0" collapsed="false">
      <c r="A16" s="19"/>
      <c r="B16" s="27"/>
      <c r="C16" s="11" t="str">
        <f aca="false">IF(OR(B16="",B$12=""),"",ROUND((B16-B$12)*1440,0))</f>
        <v/>
      </c>
      <c r="D16" s="19"/>
      <c r="E16" s="19"/>
      <c r="F16" s="19"/>
      <c r="G16" s="11" t="str">
        <f aca="false">IF(OR(F16="",F$12=""),"",ROUND((F16-F$12)*1000,1))</f>
        <v/>
      </c>
      <c r="H16" s="19"/>
    </row>
    <row r="17" customFormat="false" ht="24" hidden="false" customHeight="true" outlineLevel="0" collapsed="false">
      <c r="A17" s="19"/>
      <c r="B17" s="27"/>
      <c r="C17" s="11" t="str">
        <f aca="false">IF(OR(B17="",B$12=""),"",ROUND((B17-B$12)*1440,0))</f>
        <v/>
      </c>
      <c r="D17" s="19"/>
      <c r="E17" s="19"/>
      <c r="F17" s="19"/>
      <c r="G17" s="11" t="str">
        <f aca="false">IF(OR(F17="",F$12=""),"",ROUND((F17-F$12)*1000,1))</f>
        <v/>
      </c>
      <c r="H17" s="19"/>
    </row>
    <row r="18" customFormat="false" ht="24" hidden="false" customHeight="true" outlineLevel="0" collapsed="false">
      <c r="A18" s="19"/>
      <c r="B18" s="27"/>
      <c r="C18" s="11" t="str">
        <f aca="false">IF(OR(B18="",B$12=""),"",ROUND((B18-B$12)*1440,0))</f>
        <v/>
      </c>
      <c r="D18" s="19"/>
      <c r="E18" s="19"/>
      <c r="F18" s="19"/>
      <c r="G18" s="11" t="str">
        <f aca="false">IF(OR(F18="",F$12=""),"",ROUND((F18-F$12)*1000,1))</f>
        <v/>
      </c>
      <c r="H18" s="19"/>
    </row>
    <row r="19" customFormat="false" ht="24" hidden="false" customHeight="true" outlineLevel="0" collapsed="false">
      <c r="A19" s="19"/>
      <c r="B19" s="27"/>
      <c r="C19" s="11" t="str">
        <f aca="false">IF(OR(B19="",B$12=""),"",ROUND((B19-B$12)*1440,0))</f>
        <v/>
      </c>
      <c r="D19" s="19"/>
      <c r="E19" s="19"/>
      <c r="F19" s="19"/>
      <c r="G19" s="11" t="str">
        <f aca="false">IF(OR(F19="",F$12=""),"",ROUND((F19-F$12)*1000,1))</f>
        <v/>
      </c>
      <c r="H19" s="19"/>
    </row>
    <row r="21" customFormat="false" ht="20.1" hidden="false" customHeight="true" outlineLevel="0" collapsed="false">
      <c r="A21" s="18" t="s">
        <v>146</v>
      </c>
      <c r="B21" s="18"/>
      <c r="C21" s="14"/>
      <c r="D21" s="18" t="s">
        <v>88</v>
      </c>
      <c r="E21" s="14"/>
    </row>
    <row r="22" customFormat="false" ht="39.75" hidden="false" customHeight="true" outlineLevel="0" collapsed="false">
      <c r="A22" s="28" t="s">
        <v>147</v>
      </c>
      <c r="B22" s="28"/>
      <c r="C22" s="28"/>
      <c r="D22" s="28"/>
      <c r="E22" s="28"/>
      <c r="F22" s="28"/>
      <c r="G22" s="28"/>
      <c r="H22" s="28"/>
    </row>
  </sheetData>
  <mergeCells count="9">
    <mergeCell ref="A1:H1"/>
    <mergeCell ref="A2:H2"/>
    <mergeCell ref="A4:H4"/>
    <mergeCell ref="D5:H5"/>
    <mergeCell ref="D6:H6"/>
    <mergeCell ref="A8:H8"/>
    <mergeCell ref="A9:H9"/>
    <mergeCell ref="A21:B21"/>
    <mergeCell ref="A22:H22"/>
  </mergeCells>
  <dataValidations count="4">
    <dataValidation allowBlank="true" errorStyle="stop" operator="between" showDropDown="false" showErrorMessage="false" showInputMessage="false" sqref="B6" type="list">
      <formula1>"μm,mm"</formula1>
      <formula2>0</formula2>
    </dataValidation>
    <dataValidation allowBlank="true" errorStyle="stop" operator="between" showDropDown="false" showErrorMessage="false" showInputMessage="false" sqref="C6" type="list">
      <formula1>"제조사 기준,실측 검증,사내 경험값,추정값"</formula1>
      <formula2>0</formula2>
    </dataValidation>
    <dataValidation allowBlank="true" errorStyle="stop" operator="between" showDropDown="false" showErrorMessage="false" showInputMessage="false" sqref="D12:D19" type="list">
      <formula1>"냉간 시동 직후,공회전 중,가공 중,가공 후 정지"</formula1>
      <formula2>0</formula2>
    </dataValidation>
    <dataValidation allowBlank="true" errorStyle="stop" operator="between" showDropDown="false" showErrorMessage="false" showInputMessage="false" sqref="E21" type="list">
      <formula1>"FG,GX7"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7" min="7" style="0" width="22"/>
    <col collapsed="false" customWidth="true" hidden="false" outlineLevel="0" max="8" min="8" style="0" width="28"/>
  </cols>
  <sheetData>
    <row r="1" customFormat="false" ht="39.75" hidden="false" customHeight="true" outlineLevel="0" collapsed="false">
      <c r="A1" s="29" t="s">
        <v>148</v>
      </c>
      <c r="B1" s="29"/>
      <c r="C1" s="29"/>
      <c r="D1" s="29"/>
      <c r="E1" s="29"/>
      <c r="F1" s="29"/>
      <c r="G1" s="29"/>
      <c r="H1" s="29"/>
    </row>
    <row r="2" customFormat="false" ht="39.75" hidden="false" customHeight="true" outlineLevel="0" collapsed="false">
      <c r="A2" s="2" t="s">
        <v>149</v>
      </c>
      <c r="B2" s="2"/>
      <c r="C2" s="2"/>
      <c r="D2" s="2"/>
      <c r="E2" s="2"/>
      <c r="F2" s="2"/>
      <c r="G2" s="2"/>
      <c r="H2" s="2"/>
    </row>
    <row r="4" customFormat="false" ht="27.75" hidden="false" customHeight="true" outlineLevel="0" collapsed="false">
      <c r="A4" s="8" t="s">
        <v>150</v>
      </c>
      <c r="B4" s="8"/>
      <c r="C4" s="8"/>
      <c r="D4" s="8"/>
      <c r="E4" s="8"/>
      <c r="F4" s="8"/>
      <c r="G4" s="8"/>
      <c r="H4" s="8"/>
    </row>
    <row r="5" customFormat="false" ht="20.1" hidden="false" customHeight="true" outlineLevel="0" collapsed="false">
      <c r="A5" s="9" t="s">
        <v>151</v>
      </c>
      <c r="B5" s="10" t="s">
        <v>152</v>
      </c>
      <c r="C5" s="10"/>
      <c r="D5" s="10"/>
      <c r="E5" s="10" t="s">
        <v>110</v>
      </c>
      <c r="F5" s="10" t="s">
        <v>134</v>
      </c>
      <c r="G5" s="10"/>
      <c r="H5" s="10"/>
    </row>
    <row r="6" customFormat="false" ht="36" hidden="false" customHeight="true" outlineLevel="0" collapsed="false">
      <c r="A6" s="14"/>
      <c r="B6" s="20"/>
      <c r="C6" s="20"/>
      <c r="D6" s="20"/>
      <c r="E6" s="14"/>
      <c r="F6" s="20"/>
      <c r="G6" s="20"/>
      <c r="H6" s="20"/>
    </row>
    <row r="8" customFormat="false" ht="27.75" hidden="false" customHeight="true" outlineLevel="0" collapsed="false">
      <c r="A8" s="8" t="s">
        <v>153</v>
      </c>
      <c r="B8" s="8"/>
      <c r="C8" s="8"/>
      <c r="D8" s="8"/>
      <c r="E8" s="8"/>
      <c r="F8" s="8"/>
      <c r="G8" s="8"/>
      <c r="H8" s="8"/>
    </row>
    <row r="9" customFormat="false" ht="39.75" hidden="false" customHeight="true" outlineLevel="0" collapsed="false">
      <c r="A9" s="10" t="s">
        <v>117</v>
      </c>
      <c r="B9" s="10" t="s">
        <v>154</v>
      </c>
      <c r="C9" s="10" t="s">
        <v>155</v>
      </c>
      <c r="D9" s="9" t="s">
        <v>156</v>
      </c>
      <c r="E9" s="10" t="s">
        <v>88</v>
      </c>
      <c r="F9" s="10" t="s">
        <v>157</v>
      </c>
      <c r="G9" s="10" t="s">
        <v>158</v>
      </c>
      <c r="H9" s="10" t="s">
        <v>74</v>
      </c>
    </row>
    <row r="10" customFormat="false" ht="20.1" hidden="false" customHeight="false" outlineLevel="0" collapsed="false">
      <c r="A10" s="21" t="s">
        <v>159</v>
      </c>
      <c r="B10" s="21" t="n">
        <v>6</v>
      </c>
      <c r="C10" s="21" t="n">
        <v>30</v>
      </c>
      <c r="D10" s="24" t="n">
        <f aca="false">IF(OR(B10="",C10="",B10=0),"",ROUND(C10/B10,1))</f>
        <v>5</v>
      </c>
      <c r="E10" s="21" t="s">
        <v>96</v>
      </c>
      <c r="F10" s="22" t="s">
        <v>160</v>
      </c>
      <c r="G10" s="22" t="s">
        <v>161</v>
      </c>
      <c r="H10" s="22" t="s">
        <v>98</v>
      </c>
    </row>
    <row r="11" customFormat="false" ht="24" hidden="false" customHeight="true" outlineLevel="0" collapsed="false">
      <c r="A11" s="19"/>
      <c r="B11" s="19"/>
      <c r="C11" s="19"/>
      <c r="D11" s="11" t="str">
        <f aca="false">IF(OR(B11="",C11="",B11=0),"",ROUND(C11/B11,1))</f>
        <v/>
      </c>
      <c r="E11" s="19"/>
      <c r="F11" s="19"/>
      <c r="G11" s="19"/>
      <c r="H11" s="19"/>
    </row>
    <row r="12" customFormat="false" ht="24" hidden="false" customHeight="true" outlineLevel="0" collapsed="false">
      <c r="A12" s="19"/>
      <c r="B12" s="19"/>
      <c r="C12" s="19"/>
      <c r="D12" s="11" t="str">
        <f aca="false">IF(OR(B12="",C12="",B12=0),"",ROUND(C12/B12,1))</f>
        <v/>
      </c>
      <c r="E12" s="19"/>
      <c r="F12" s="19"/>
      <c r="G12" s="19"/>
      <c r="H12" s="19"/>
    </row>
    <row r="13" customFormat="false" ht="24" hidden="false" customHeight="true" outlineLevel="0" collapsed="false">
      <c r="A13" s="19"/>
      <c r="B13" s="19"/>
      <c r="C13" s="19"/>
      <c r="D13" s="11" t="str">
        <f aca="false">IF(OR(B13="",C13="",B13=0),"",ROUND(C13/B13,1))</f>
        <v/>
      </c>
      <c r="E13" s="19"/>
      <c r="F13" s="19"/>
      <c r="G13" s="19"/>
      <c r="H13" s="19"/>
    </row>
    <row r="14" customFormat="false" ht="24" hidden="false" customHeight="true" outlineLevel="0" collapsed="false">
      <c r="A14" s="19"/>
      <c r="B14" s="19"/>
      <c r="C14" s="19"/>
      <c r="D14" s="11" t="str">
        <f aca="false">IF(OR(B14="",C14="",B14=0),"",ROUND(C14/B14,1))</f>
        <v/>
      </c>
      <c r="E14" s="19"/>
      <c r="F14" s="19"/>
      <c r="G14" s="19"/>
      <c r="H14" s="19"/>
    </row>
    <row r="15" customFormat="false" ht="24" hidden="false" customHeight="true" outlineLevel="0" collapsed="false">
      <c r="A15" s="19"/>
      <c r="B15" s="19"/>
      <c r="C15" s="19"/>
      <c r="D15" s="11" t="str">
        <f aca="false">IF(OR(B15="",C15="",B15=0),"",ROUND(C15/B15,1))</f>
        <v/>
      </c>
      <c r="E15" s="19"/>
      <c r="F15" s="19"/>
      <c r="G15" s="19"/>
      <c r="H15" s="19"/>
    </row>
    <row r="16" customFormat="false" ht="24" hidden="false" customHeight="true" outlineLevel="0" collapsed="false">
      <c r="A16" s="19"/>
      <c r="B16" s="19"/>
      <c r="C16" s="19"/>
      <c r="D16" s="11" t="str">
        <f aca="false">IF(OR(B16="",C16="",B16=0),"",ROUND(C16/B16,1))</f>
        <v/>
      </c>
      <c r="E16" s="19"/>
      <c r="F16" s="19"/>
      <c r="G16" s="19"/>
      <c r="H16" s="19"/>
    </row>
    <row r="17" customFormat="false" ht="24" hidden="false" customHeight="true" outlineLevel="0" collapsed="false">
      <c r="A17" s="19"/>
      <c r="B17" s="19"/>
      <c r="C17" s="19"/>
      <c r="D17" s="11" t="str">
        <f aca="false">IF(OR(B17="",C17="",B17=0),"",ROUND(C17/B17,1))</f>
        <v/>
      </c>
      <c r="E17" s="19"/>
      <c r="F17" s="19"/>
      <c r="G17" s="19"/>
      <c r="H17" s="19"/>
    </row>
    <row r="18" customFormat="false" ht="24" hidden="false" customHeight="true" outlineLevel="0" collapsed="false">
      <c r="A18" s="19"/>
      <c r="B18" s="19"/>
      <c r="C18" s="19"/>
      <c r="D18" s="11" t="str">
        <f aca="false">IF(OR(B18="",C18="",B18=0),"",ROUND(C18/B18,1))</f>
        <v/>
      </c>
      <c r="E18" s="19"/>
      <c r="F18" s="19"/>
      <c r="G18" s="19"/>
      <c r="H18" s="19"/>
    </row>
  </sheetData>
  <mergeCells count="8">
    <mergeCell ref="A1:H1"/>
    <mergeCell ref="A2:H2"/>
    <mergeCell ref="A4:H4"/>
    <mergeCell ref="B5:D5"/>
    <mergeCell ref="F5:H5"/>
    <mergeCell ref="B6:D6"/>
    <mergeCell ref="F6:H6"/>
    <mergeCell ref="A8:H8"/>
  </mergeCells>
  <dataValidations count="3">
    <dataValidation allowBlank="true" errorStyle="stop" operator="between" showDropDown="false" showErrorMessage="false" showInputMessage="false" sqref="E6" type="list">
      <formula1>"제조사 기준,실측 검증,사내 경험값,추정값"</formula1>
      <formula2>0</formula2>
    </dataValidation>
    <dataValidation allowBlank="true" errorStyle="stop" operator="between" showDropDown="false" showErrorMessage="false" showInputMessage="false" sqref="E11:E18" type="list">
      <formula1>"FG,GX7,기타"</formula1>
      <formula2>0</formula2>
    </dataValidation>
    <dataValidation allowBlank="true" errorStyle="stop" operator="between" showDropDown="false" showErrorMessage="false" showInputMessage="false" sqref="F11:F18" type="list">
      <formula1>"문제 없음,진동(떨림),치수 불량,표면 불량,파손,기타"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6"/>
    <col collapsed="false" customWidth="true" hidden="false" outlineLevel="0" max="6" min="4" style="0" width="18"/>
    <col collapsed="false" customWidth="true" hidden="false" outlineLevel="0" max="7" min="7" style="0" width="30"/>
  </cols>
  <sheetData>
    <row r="1" customFormat="false" ht="39.75" hidden="false" customHeight="true" outlineLevel="0" collapsed="false">
      <c r="A1" s="29" t="s">
        <v>162</v>
      </c>
      <c r="B1" s="29"/>
      <c r="C1" s="29"/>
      <c r="D1" s="29"/>
      <c r="E1" s="29"/>
      <c r="F1" s="29"/>
      <c r="G1" s="29"/>
    </row>
    <row r="2" customFormat="false" ht="55.5" hidden="false" customHeight="true" outlineLevel="0" collapsed="false">
      <c r="A2" s="2" t="s">
        <v>163</v>
      </c>
      <c r="B2" s="2"/>
      <c r="C2" s="2"/>
      <c r="D2" s="2"/>
      <c r="E2" s="2"/>
      <c r="F2" s="2"/>
      <c r="G2" s="2"/>
    </row>
    <row r="4" customFormat="false" ht="27.75" hidden="false" customHeight="true" outlineLevel="0" collapsed="false">
      <c r="A4" s="8" t="s">
        <v>164</v>
      </c>
      <c r="B4" s="8"/>
      <c r="C4" s="8"/>
      <c r="D4" s="8"/>
      <c r="E4" s="8"/>
      <c r="F4" s="8"/>
      <c r="G4" s="8"/>
    </row>
    <row r="5" customFormat="false" ht="16.15" hidden="false" customHeight="false" outlineLevel="0" collapsed="false">
      <c r="A5" s="14"/>
      <c r="B5" s="14"/>
      <c r="C5" s="14"/>
    </row>
    <row r="7" customFormat="false" ht="27.75" hidden="false" customHeight="true" outlineLevel="0" collapsed="false">
      <c r="A7" s="8" t="s">
        <v>165</v>
      </c>
      <c r="B7" s="8"/>
      <c r="C7" s="8"/>
      <c r="D7" s="8"/>
      <c r="E7" s="8"/>
      <c r="F7" s="8"/>
      <c r="G7" s="8"/>
    </row>
    <row r="8" customFormat="false" ht="39.75" hidden="false" customHeight="true" outlineLevel="0" collapsed="false">
      <c r="A8" s="10" t="s">
        <v>166</v>
      </c>
      <c r="B8" s="10" t="s">
        <v>167</v>
      </c>
      <c r="C8" s="10" t="s">
        <v>168</v>
      </c>
      <c r="D8" s="10" t="s">
        <v>169</v>
      </c>
      <c r="E8" s="9" t="s">
        <v>170</v>
      </c>
      <c r="F8" s="10" t="s">
        <v>171</v>
      </c>
      <c r="G8" s="10" t="s">
        <v>74</v>
      </c>
    </row>
    <row r="9" customFormat="false" ht="38.8" hidden="false" customHeight="false" outlineLevel="0" collapsed="false">
      <c r="A9" s="22" t="s">
        <v>172</v>
      </c>
      <c r="B9" s="22" t="s">
        <v>173</v>
      </c>
      <c r="C9" s="21" t="n">
        <v>20</v>
      </c>
      <c r="D9" s="21"/>
      <c r="E9" s="21"/>
      <c r="F9" s="21" t="s">
        <v>174</v>
      </c>
      <c r="G9" s="22" t="s">
        <v>175</v>
      </c>
    </row>
    <row r="10" customFormat="false" ht="24" hidden="false" customHeight="true" outlineLevel="0" collapsed="false">
      <c r="A10" s="19"/>
      <c r="B10" s="19"/>
      <c r="C10" s="19"/>
      <c r="D10" s="19"/>
      <c r="E10" s="19"/>
      <c r="F10" s="19"/>
      <c r="G10" s="19"/>
    </row>
    <row r="11" customFormat="false" ht="24" hidden="false" customHeight="true" outlineLevel="0" collapsed="false">
      <c r="A11" s="19"/>
      <c r="B11" s="19"/>
      <c r="C11" s="19"/>
      <c r="D11" s="19"/>
      <c r="E11" s="19"/>
      <c r="F11" s="19"/>
      <c r="G11" s="19"/>
    </row>
    <row r="12" customFormat="false" ht="24" hidden="false" customHeight="true" outlineLevel="0" collapsed="false">
      <c r="A12" s="19"/>
      <c r="B12" s="19"/>
      <c r="C12" s="19"/>
      <c r="D12" s="19"/>
      <c r="E12" s="19"/>
      <c r="F12" s="19"/>
      <c r="G12" s="19"/>
    </row>
    <row r="13" customFormat="false" ht="24" hidden="false" customHeight="true" outlineLevel="0" collapsed="false">
      <c r="A13" s="19"/>
      <c r="B13" s="19"/>
      <c r="C13" s="19"/>
      <c r="D13" s="19"/>
      <c r="E13" s="19"/>
      <c r="F13" s="19"/>
      <c r="G13" s="19"/>
    </row>
    <row r="14" customFormat="false" ht="24" hidden="false" customHeight="true" outlineLevel="0" collapsed="false">
      <c r="A14" s="19"/>
      <c r="B14" s="19"/>
      <c r="C14" s="19"/>
      <c r="D14" s="19"/>
      <c r="E14" s="19"/>
      <c r="F14" s="19"/>
      <c r="G14" s="19"/>
    </row>
    <row r="15" customFormat="false" ht="19.5" hidden="false" customHeight="true" outlineLevel="0" collapsed="false">
      <c r="A15" s="16" t="s">
        <v>176</v>
      </c>
      <c r="B15" s="16"/>
      <c r="C15" s="16"/>
      <c r="D15" s="16"/>
      <c r="E15" s="16"/>
      <c r="F15" s="16"/>
      <c r="G15" s="16"/>
    </row>
  </sheetData>
  <mergeCells count="6">
    <mergeCell ref="A1:G1"/>
    <mergeCell ref="A2:G2"/>
    <mergeCell ref="A4:G4"/>
    <mergeCell ref="A5:C5"/>
    <mergeCell ref="A7:G7"/>
    <mergeCell ref="A15:G15"/>
  </mergeCells>
  <dataValidations count="2">
    <dataValidation allowBlank="true" errorStyle="stop" operator="between" showDropDown="false" showErrorMessage="false" showInputMessage="false" sqref="A5" type="list">
      <formula1>"성적서에서 확인,추정값 유지,외부 분석 의뢰"</formula1>
      <formula2>0</formula2>
    </dataValidation>
    <dataValidation allowBlank="true" errorStyle="stop" operator="between" showDropDown="false" showErrorMessage="false" showInputMessage="false" sqref="B10:B14" type="list">
      <formula1>"압연판,압출봉,단조,기타"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2026-10-12T04:23:21Z</dcterms:created>
  <dc:creator>openpyxl</dc:creator>
  <dc:description/>
  <dc:language>en-US</dc:language>
  <cp:lastModifiedBy/>
  <dcterms:modified xsi:type="dcterms:W3CDTF">2026-10-12T04:23:21Z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