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휠RPM_권장도표" sheetId="1" state="visible" r:id="rId3"/>
    <sheet name="RPM_역산_계산기" sheetId="2" state="visible" r:id="rId4"/>
    <sheet name="출처_정확도_등급" sheetId="3" state="visible" r:id="rId5"/>
    <sheet name="HID_형식별_RPM_매핑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<sst xmlns="http://schemas.openxmlformats.org/spreadsheetml/2006/main" count="1014" uniqueCount="490">
  <si>
    <t xml:space="preserve">휠 RPM 권장도표 v3 — Resin Bond Diamond × 초경(WC-Co) 가공 기준</t>
  </si>
  <si>
    <t xml:space="preserve">공식 기반: Vc [m/s] = π × D [mm] × N [RPM] / 60,000  |  역산: N = 60,000 × Vc / (π × D)</t>
  </si>
  <si>
    <t xml:space="preserve">출처: Marinescu et al. (2016) CRC Press ch.4/10 | Malkin &amp; Guo (2008) Industrial Press | ISO 12413:2019 | ISO 16089:2015</t>
  </si>
  <si>
    <r>
      <rPr>
        <b val="true"/>
        <sz val="11"/>
        <color rgb="FFFFFFFF"/>
        <rFont val="Arial"/>
        <family val="0"/>
        <charset val="1"/>
      </rPr>
      <t xml:space="preserve">▌ A. </t>
    </r>
    <r>
      <rPr>
        <b val="true"/>
        <sz val="11"/>
        <color rgb="FFFFFFFF"/>
        <rFont val="Noto Sans CJK SC"/>
        <family val="2"/>
      </rPr>
      <t xml:space="preserve">직경별 권장 </t>
    </r>
    <r>
      <rPr>
        <b val="true"/>
        <sz val="11"/>
        <color rgb="FFFFFFFF"/>
        <rFont val="Arial"/>
        <family val="0"/>
        <charset val="1"/>
      </rPr>
      <t xml:space="preserve">RPM </t>
    </r>
    <r>
      <rPr>
        <b val="true"/>
        <sz val="11"/>
        <color rgb="FFFFFFFF"/>
        <rFont val="Noto Sans CJK SC"/>
        <family val="2"/>
      </rPr>
      <t xml:space="preserve">도표  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목표 원주속도 </t>
    </r>
    <r>
      <rPr>
        <b val="true"/>
        <sz val="11"/>
        <color rgb="FFFFFFFF"/>
        <rFont val="Arial"/>
        <family val="0"/>
        <charset val="1"/>
      </rPr>
      <t xml:space="preserve">Vc = 25 / 30 / 35 m/s </t>
    </r>
    <r>
      <rPr>
        <b val="true"/>
        <sz val="11"/>
        <color rgb="FFFFFFFF"/>
        <rFont val="Noto Sans CJK SC"/>
        <family val="2"/>
      </rPr>
      <t xml:space="preserve">기준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</si>
  <si>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직경 D
(mm)</t>
  </si>
  <si>
    <r>
      <rPr>
        <b val="true"/>
        <sz val="9"/>
        <color rgb="FFFFFFFF"/>
        <rFont val="Arial"/>
        <family val="0"/>
        <charset val="1"/>
      </rPr>
      <t xml:space="preserve">Vmax </t>
    </r>
    <r>
      <rPr>
        <b val="true"/>
        <sz val="9"/>
        <color rgb="FFFFFFFF"/>
        <rFont val="Noto Sans CJK SC"/>
        <family val="2"/>
      </rPr>
      <t xml:space="preserve">정격
</t>
    </r>
    <r>
      <rPr>
        <b val="true"/>
        <sz val="9"/>
        <color rgb="FFFFFFFF"/>
        <rFont val="Arial"/>
        <family val="0"/>
        <charset val="1"/>
      </rPr>
      <t xml:space="preserve">(m/s)</t>
    </r>
  </si>
  <si>
    <t xml:space="preserve">Vc=20
RPM</t>
  </si>
  <si>
    <r>
      <rPr>
        <b val="true"/>
        <sz val="9"/>
        <color rgb="FFFFFFFF"/>
        <rFont val="Arial"/>
        <family val="0"/>
        <charset val="1"/>
      </rPr>
      <t xml:space="preserve">Vc=25
RPM
(</t>
    </r>
    <r>
      <rPr>
        <b val="true"/>
        <sz val="9"/>
        <color rgb="FFFFFFFF"/>
        <rFont val="Noto Sans CJK SC"/>
        <family val="2"/>
      </rPr>
      <t xml:space="preserve">권장 최저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</si>
  <si>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Vc=28
RPM</t>
  </si>
  <si>
    <t xml:space="preserve">Vc=30
RPM
(Sweet Spot)</t>
  </si>
  <si>
    <t xml:space="preserve">Vc=32
RPM</t>
  </si>
  <si>
    <r>
      <rPr>
        <b val="true"/>
        <sz val="9"/>
        <color rgb="FFFFFFFF"/>
        <rFont val="Arial"/>
        <family val="0"/>
        <charset val="1"/>
      </rPr>
      <t xml:space="preserve">Vc=35
RPM
(</t>
    </r>
    <r>
      <rPr>
        <b val="true"/>
        <sz val="9"/>
        <color rgb="FFFFFFFF"/>
        <rFont val="Noto Sans CJK SC"/>
        <family val="2"/>
      </rPr>
      <t xml:space="preserve">권장 상한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</si>
  <si>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Vc=40
RPM
(</t>
    </r>
    <r>
      <rPr>
        <b val="true"/>
        <sz val="9"/>
        <color rgb="FFFFFFFF"/>
        <rFont val="Noto Sans CJK SC"/>
        <family val="2"/>
      </rPr>
      <t xml:space="preserve">주의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</si>
  <si>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Vc=45
RPM
(</t>
    </r>
    <r>
      <rPr>
        <b val="true"/>
        <sz val="9"/>
        <color rgb="FFFFFFFF"/>
        <rFont val="Noto Sans CJK SC"/>
        <family val="2"/>
      </rPr>
      <t xml:space="preserve">위험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</si>
  <si>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Resin Vmax
</t>
    </r>
    <r>
      <rPr>
        <b val="true"/>
        <sz val="9"/>
        <color rgb="FFFFFFFF"/>
        <rFont val="Noto Sans CJK SC"/>
        <family val="2"/>
      </rPr>
      <t xml:space="preserve">초과 여부
</t>
    </r>
    <r>
      <rPr>
        <b val="true"/>
        <sz val="9"/>
        <color rgb="FFFFFFFF"/>
        <rFont val="Arial"/>
        <family val="0"/>
        <charset val="1"/>
      </rPr>
      <t xml:space="preserve">(&gt;40 m/s)</t>
    </r>
  </si>
  <si>
    <t xml:space="preserve">비고 / 출처 근거</t>
  </si>
  <si>
    <t xml:space="preserve">15,279</t>
  </si>
  <si>
    <t xml:space="preserve">19,099</t>
  </si>
  <si>
    <t xml:space="preserve">21,390</t>
  </si>
  <si>
    <t xml:space="preserve">22,918</t>
  </si>
  <si>
    <t xml:space="preserve">24,446</t>
  </si>
  <si>
    <t xml:space="preserve">26,738</t>
  </si>
  <si>
    <t xml:space="preserve">30,558</t>
  </si>
  <si>
    <t xml:space="preserve">34,377</t>
  </si>
  <si>
    <t xml:space="preserve">정격 내 (OK)</t>
  </si>
  <si>
    <t xml:space="preserve">소경 — 고RPM 진동 주의 (ISO 16089)</t>
  </si>
  <si>
    <t xml:space="preserve">12,732</t>
  </si>
  <si>
    <t xml:space="preserve">15,915</t>
  </si>
  <si>
    <t xml:space="preserve">17,825</t>
  </si>
  <si>
    <t xml:space="preserve">20,372</t>
  </si>
  <si>
    <t xml:space="preserve">22,282</t>
  </si>
  <si>
    <t xml:space="preserve">25,465</t>
  </si>
  <si>
    <t xml:space="preserve">28,648</t>
  </si>
  <si>
    <t xml:space="preserve">9,549</t>
  </si>
  <si>
    <t xml:space="preserve">11,937</t>
  </si>
  <si>
    <t xml:space="preserve">13,369</t>
  </si>
  <si>
    <t xml:space="preserve">14,324</t>
  </si>
  <si>
    <t xml:space="preserve">16,711</t>
  </si>
  <si>
    <t xml:space="preserve">21,486</t>
  </si>
  <si>
    <t xml:space="preserve">7,639</t>
  </si>
  <si>
    <t xml:space="preserve">10,695</t>
  </si>
  <si>
    <t xml:space="preserve">11,459</t>
  </si>
  <si>
    <t xml:space="preserve">12,223</t>
  </si>
  <si>
    <t xml:space="preserve">17,189</t>
  </si>
  <si>
    <t xml:space="preserve">6,366</t>
  </si>
  <si>
    <t xml:space="preserve">7,958</t>
  </si>
  <si>
    <t xml:space="preserve">8,913</t>
  </si>
  <si>
    <t xml:space="preserve">10,186</t>
  </si>
  <si>
    <t xml:space="preserve">11,141</t>
  </si>
  <si>
    <t xml:space="preserve">표준 범위 — Marinescu 2016 ch.4</t>
  </si>
  <si>
    <t xml:space="preserve">5,093</t>
  </si>
  <si>
    <t xml:space="preserve">7,130</t>
  </si>
  <si>
    <t xml:space="preserve">8,149</t>
  </si>
  <si>
    <t xml:space="preserve">3,820</t>
  </si>
  <si>
    <t xml:space="preserve">4,775</t>
  </si>
  <si>
    <t xml:space="preserve">5,348</t>
  </si>
  <si>
    <t xml:space="preserve">5,730</t>
  </si>
  <si>
    <t xml:space="preserve">6,112</t>
  </si>
  <si>
    <t xml:space="preserve">6,685</t>
  </si>
  <si>
    <t xml:space="preserve">8,594</t>
  </si>
  <si>
    <t xml:space="preserve">3,056</t>
  </si>
  <si>
    <t xml:space="preserve">4,278</t>
  </si>
  <si>
    <t xml:space="preserve">4,584</t>
  </si>
  <si>
    <t xml:space="preserve">4,889</t>
  </si>
  <si>
    <t xml:space="preserve">6,875</t>
  </si>
  <si>
    <t xml:space="preserve">2,546</t>
  </si>
  <si>
    <t xml:space="preserve">3,183</t>
  </si>
  <si>
    <t xml:space="preserve">3,565</t>
  </si>
  <si>
    <t xml:space="preserve">4,074</t>
  </si>
  <si>
    <t xml:space="preserve">4,456</t>
  </si>
  <si>
    <t xml:space="preserve">2,183</t>
  </si>
  <si>
    <t xml:space="preserve">2,728</t>
  </si>
  <si>
    <t xml:space="preserve">3,274</t>
  </si>
  <si>
    <t xml:space="preserve">3,492</t>
  </si>
  <si>
    <t xml:space="preserve">4,365</t>
  </si>
  <si>
    <t xml:space="preserve">4,911</t>
  </si>
  <si>
    <t xml:space="preserve">대경 — Vmax 정격 확인 필수 (ISO 12413)</t>
  </si>
  <si>
    <t xml:space="preserve">1,910</t>
  </si>
  <si>
    <t xml:space="preserve">2,387</t>
  </si>
  <si>
    <t xml:space="preserve">2,674</t>
  </si>
  <si>
    <t xml:space="preserve">2,865</t>
  </si>
  <si>
    <t xml:space="preserve">3,342</t>
  </si>
  <si>
    <r>
      <rPr>
        <sz val="9"/>
        <color rgb="FFFFFFFF"/>
        <rFont val="Arial"/>
        <family val="0"/>
        <charset val="1"/>
      </rPr>
      <t xml:space="preserve">4,297
※</t>
    </r>
    <r>
      <rPr>
        <sz val="9"/>
        <color rgb="FFFFFFFF"/>
        <rFont val="Noto Sans CJK SC"/>
        <family val="2"/>
      </rPr>
      <t xml:space="preserve">초과</t>
    </r>
  </si>
  <si>
    <r>
      <rPr>
        <b val="true"/>
        <sz val="9"/>
        <color rgb="FFCC0000"/>
        <rFont val="Arial"/>
        <family val="0"/>
        <charset val="1"/>
      </rPr>
      <t xml:space="preserve">Vc≥45 </t>
    </r>
    <r>
      <rPr>
        <b val="true"/>
        <sz val="9"/>
        <color rgb="FFCC0000"/>
        <rFont val="Noto Sans CJK SC"/>
        <family val="2"/>
      </rPr>
      <t xml:space="preserve">초과 → 사용불가</t>
    </r>
  </si>
  <si>
    <t xml:space="preserve">1,528</t>
  </si>
  <si>
    <t xml:space="preserve">2,139</t>
  </si>
  <si>
    <t xml:space="preserve">2,292</t>
  </si>
  <si>
    <t xml:space="preserve">2,445</t>
  </si>
  <si>
    <r>
      <rPr>
        <sz val="9"/>
        <color rgb="FFFFFFFF"/>
        <rFont val="Arial"/>
        <family val="0"/>
        <charset val="1"/>
      </rPr>
      <t xml:space="preserve">3,438
※</t>
    </r>
    <r>
      <rPr>
        <sz val="9"/>
        <color rgb="FFFFFFFF"/>
        <rFont val="Noto Sans CJK SC"/>
        <family val="2"/>
      </rPr>
      <t xml:space="preserve">초과</t>
    </r>
  </si>
  <si>
    <t xml:space="preserve">1,273</t>
  </si>
  <si>
    <t xml:space="preserve">1,592</t>
  </si>
  <si>
    <t xml:space="preserve">1,783</t>
  </si>
  <si>
    <t xml:space="preserve">2,037</t>
  </si>
  <si>
    <t xml:space="preserve">2,228</t>
  </si>
  <si>
    <r>
      <rPr>
        <sz val="9"/>
        <color rgb="FFFFFFFF"/>
        <rFont val="Arial"/>
        <family val="0"/>
        <charset val="1"/>
      </rPr>
      <t xml:space="preserve">2,546
※</t>
    </r>
    <r>
      <rPr>
        <sz val="9"/>
        <color rgb="FFFFFFFF"/>
        <rFont val="Noto Sans CJK SC"/>
        <family val="2"/>
      </rPr>
      <t xml:space="preserve">초과</t>
    </r>
  </si>
  <si>
    <r>
      <rPr>
        <sz val="9"/>
        <color rgb="FFFFFFFF"/>
        <rFont val="Arial"/>
        <family val="0"/>
        <charset val="1"/>
      </rPr>
      <t xml:space="preserve">2,865
※</t>
    </r>
    <r>
      <rPr>
        <sz val="9"/>
        <color rgb="FFFFFFFF"/>
        <rFont val="Noto Sans CJK SC"/>
        <family val="2"/>
      </rPr>
      <t xml:space="preserve">초과</t>
    </r>
  </si>
  <si>
    <r>
      <rPr>
        <b val="true"/>
        <sz val="9"/>
        <color rgb="FFCC0000"/>
        <rFont val="Arial"/>
        <family val="0"/>
        <charset val="1"/>
      </rPr>
      <t xml:space="preserve">Vc≥40 </t>
    </r>
    <r>
      <rPr>
        <b val="true"/>
        <sz val="9"/>
        <color rgb="FFCC0000"/>
        <rFont val="Noto Sans CJK SC"/>
        <family val="2"/>
      </rPr>
      <t xml:space="preserve">초과 → 사용불가</t>
    </r>
  </si>
  <si>
    <t xml:space="preserve">1,091</t>
  </si>
  <si>
    <t xml:space="preserve">1,364</t>
  </si>
  <si>
    <t xml:space="preserve">1,637</t>
  </si>
  <si>
    <t xml:space="preserve">1,746</t>
  </si>
  <si>
    <r>
      <rPr>
        <sz val="9"/>
        <color rgb="FFFFFFFF"/>
        <rFont val="Arial"/>
        <family val="0"/>
        <charset val="1"/>
      </rPr>
      <t xml:space="preserve">2,183
※</t>
    </r>
    <r>
      <rPr>
        <sz val="9"/>
        <color rgb="FFFFFFFF"/>
        <rFont val="Noto Sans CJK SC"/>
        <family val="2"/>
      </rPr>
      <t xml:space="preserve">초과</t>
    </r>
  </si>
  <si>
    <r>
      <rPr>
        <sz val="9"/>
        <color rgb="FFFFFFFF"/>
        <rFont val="Arial"/>
        <family val="0"/>
        <charset val="1"/>
      </rPr>
      <t xml:space="preserve">2,456
※</t>
    </r>
    <r>
      <rPr>
        <sz val="9"/>
        <color rgb="FFFFFFFF"/>
        <rFont val="Noto Sans CJK SC"/>
        <family val="2"/>
      </rPr>
      <t xml:space="preserve">초과</t>
    </r>
  </si>
  <si>
    <t xml:space="preserve">955</t>
  </si>
  <si>
    <t xml:space="preserve">1,194</t>
  </si>
  <si>
    <t xml:space="preserve">1,337</t>
  </si>
  <si>
    <t xml:space="preserve">1,432</t>
  </si>
  <si>
    <r>
      <rPr>
        <sz val="9"/>
        <color rgb="FFFFFFFF"/>
        <rFont val="Arial"/>
        <family val="0"/>
        <charset val="1"/>
      </rPr>
      <t xml:space="preserve">1,671
※</t>
    </r>
    <r>
      <rPr>
        <sz val="9"/>
        <color rgb="FFFFFFFF"/>
        <rFont val="Noto Sans CJK SC"/>
        <family val="2"/>
      </rPr>
      <t xml:space="preserve">초과</t>
    </r>
  </si>
  <si>
    <r>
      <rPr>
        <sz val="9"/>
        <color rgb="FFFFFFFF"/>
        <rFont val="Arial"/>
        <family val="0"/>
        <charset val="1"/>
      </rPr>
      <t xml:space="preserve">1,910
※</t>
    </r>
    <r>
      <rPr>
        <sz val="9"/>
        <color rgb="FFFFFFFF"/>
        <rFont val="Noto Sans CJK SC"/>
        <family val="2"/>
      </rPr>
      <t xml:space="preserve">초과</t>
    </r>
  </si>
  <si>
    <r>
      <rPr>
        <sz val="9"/>
        <color rgb="FFFFFFFF"/>
        <rFont val="Arial"/>
        <family val="0"/>
        <charset val="1"/>
      </rPr>
      <t xml:space="preserve">2,149
※</t>
    </r>
    <r>
      <rPr>
        <sz val="9"/>
        <color rgb="FFFFFFFF"/>
        <rFont val="Noto Sans CJK SC"/>
        <family val="2"/>
      </rPr>
      <t xml:space="preserve">초과</t>
    </r>
  </si>
  <si>
    <r>
      <rPr>
        <b val="true"/>
        <sz val="9"/>
        <color rgb="FFCC0000"/>
        <rFont val="Arial"/>
        <family val="0"/>
        <charset val="1"/>
      </rPr>
      <t xml:space="preserve">Vc≥35 </t>
    </r>
    <r>
      <rPr>
        <b val="true"/>
        <sz val="9"/>
        <color rgb="FFCC0000"/>
        <rFont val="Noto Sans CJK SC"/>
        <family val="2"/>
      </rPr>
      <t xml:space="preserve">초과 → 사용불가</t>
    </r>
  </si>
  <si>
    <t xml:space="preserve">849</t>
  </si>
  <si>
    <t xml:space="preserve">1,061</t>
  </si>
  <si>
    <t xml:space="preserve">1,188</t>
  </si>
  <si>
    <t xml:space="preserve">1,358</t>
  </si>
  <si>
    <r>
      <rPr>
        <sz val="9"/>
        <color rgb="FFFFFFFF"/>
        <rFont val="Arial"/>
        <family val="0"/>
        <charset val="1"/>
      </rPr>
      <t xml:space="preserve">1,485
※</t>
    </r>
    <r>
      <rPr>
        <sz val="9"/>
        <color rgb="FFFFFFFF"/>
        <rFont val="Noto Sans CJK SC"/>
        <family val="2"/>
      </rPr>
      <t xml:space="preserve">초과</t>
    </r>
  </si>
  <si>
    <r>
      <rPr>
        <sz val="9"/>
        <color rgb="FFFFFFFF"/>
        <rFont val="Arial"/>
        <family val="0"/>
        <charset val="1"/>
      </rPr>
      <t xml:space="preserve">1,698
※</t>
    </r>
    <r>
      <rPr>
        <sz val="9"/>
        <color rgb="FFFFFFFF"/>
        <rFont val="Noto Sans CJK SC"/>
        <family val="2"/>
      </rPr>
      <t xml:space="preserve">초과</t>
    </r>
  </si>
  <si>
    <t xml:space="preserve">764</t>
  </si>
  <si>
    <t xml:space="preserve">1,070</t>
  </si>
  <si>
    <t xml:space="preserve">1,146</t>
  </si>
  <si>
    <t xml:space="preserve">1,222</t>
  </si>
  <si>
    <r>
      <rPr>
        <sz val="9"/>
        <color rgb="FFFFFFFF"/>
        <rFont val="Arial"/>
        <family val="0"/>
        <charset val="1"/>
      </rPr>
      <t xml:space="preserve">1,337
※</t>
    </r>
    <r>
      <rPr>
        <sz val="9"/>
        <color rgb="FFFFFFFF"/>
        <rFont val="Noto Sans CJK SC"/>
        <family val="2"/>
      </rPr>
      <t xml:space="preserve">초과</t>
    </r>
  </si>
  <si>
    <r>
      <rPr>
        <sz val="9"/>
        <color rgb="FFFFFFFF"/>
        <rFont val="Arial"/>
        <family val="0"/>
        <charset val="1"/>
      </rPr>
      <t xml:space="preserve">1,528
※</t>
    </r>
    <r>
      <rPr>
        <sz val="9"/>
        <color rgb="FFFFFFFF"/>
        <rFont val="Noto Sans CJK SC"/>
        <family val="2"/>
      </rPr>
      <t xml:space="preserve">초과</t>
    </r>
  </si>
  <si>
    <r>
      <rPr>
        <sz val="9"/>
        <color rgb="FFFFFFFF"/>
        <rFont val="Arial"/>
        <family val="0"/>
        <charset val="1"/>
      </rPr>
      <t xml:space="preserve">1,719
※</t>
    </r>
    <r>
      <rPr>
        <sz val="9"/>
        <color rgb="FFFFFFFF"/>
        <rFont val="Noto Sans CJK SC"/>
        <family val="2"/>
      </rPr>
      <t xml:space="preserve">초과</t>
    </r>
  </si>
  <si>
    <t xml:space="preserve">■ 색상 범례</t>
  </si>
  <si>
    <t xml:space="preserve">   </t>
  </si>
  <si>
    <t xml:space="preserve">적색: Vc &lt; 20 또는 Vmax 초과 — 절대 사용 불가 (버닝·파손 위험)</t>
  </si>
  <si>
    <t xml:space="preserve">주황: Vc 40–45 m/s — 위험 영역, Vmax 직접 확인 필수</t>
  </si>
  <si>
    <t xml:space="preserve">진황색: Vc 25 / 35 m/s — 경계/주의 운전</t>
  </si>
  <si>
    <t xml:space="preserve">황색: Vc 28 m/s — 권장 최저 근접</t>
  </si>
  <si>
    <t xml:space="preserve">녹색: Vc 30 m/s — 권장 Sweet Spot (Marinescu 2016 / Malkin 2008)</t>
  </si>
  <si>
    <t xml:space="preserve">연녹색: Vc 32 m/s — 권장 범위 내</t>
  </si>
  <si>
    <t xml:space="preserve">연적색 + ※초과: 해당 Vc가 휠 정격 Vmax 초과</t>
  </si>
  <si>
    <r>
      <rPr>
        <b val="true"/>
        <sz val="11"/>
        <color rgb="FFFFFFFF"/>
        <rFont val="Arial"/>
        <family val="0"/>
        <charset val="1"/>
      </rPr>
      <t xml:space="preserve">▌ B. </t>
    </r>
    <r>
      <rPr>
        <b val="true"/>
        <sz val="11"/>
        <color rgb="FFFFFFFF"/>
        <rFont val="Noto Sans CJK SC"/>
        <family val="2"/>
      </rPr>
      <t xml:space="preserve">소재 </t>
    </r>
    <r>
      <rPr>
        <b val="true"/>
        <sz val="11"/>
        <color rgb="FFFFFFFF"/>
        <rFont val="Arial"/>
        <family val="0"/>
        <charset val="1"/>
      </rPr>
      <t xml:space="preserve">× </t>
    </r>
    <r>
      <rPr>
        <b val="true"/>
        <sz val="11"/>
        <color rgb="FFFFFFFF"/>
        <rFont val="Noto Sans CJK SC"/>
        <family val="2"/>
      </rPr>
      <t xml:space="preserve">휠 조합별 권장 원주속도 </t>
    </r>
    <r>
      <rPr>
        <b val="true"/>
        <sz val="11"/>
        <color rgb="FFFFFFFF"/>
        <rFont val="Arial"/>
        <family val="0"/>
        <charset val="1"/>
      </rPr>
      <t xml:space="preserve">Vc (m/s)</t>
    </r>
  </si>
  <si>
    <t xml:space="preserve">피삭재</t>
  </si>
  <si>
    <t xml:space="preserve">휠 본드</t>
  </si>
  <si>
    <t xml:space="preserve">권장 Vc 최저
(m/s)</t>
  </si>
  <si>
    <t xml:space="preserve">권장 Vc 최적
(m/s)</t>
  </si>
  <si>
    <t xml:space="preserve">권장 Vc 상한
(m/s)</t>
  </si>
  <si>
    <t xml:space="preserve">절대 금지
(m/s)</t>
  </si>
  <si>
    <t xml:space="preserve">비고</t>
  </si>
  <si>
    <t xml:space="preserve">학술 출처</t>
  </si>
  <si>
    <t xml:space="preserve">초경 (WC-Co)</t>
  </si>
  <si>
    <t xml:space="preserve">Resin Bond Diamond</t>
  </si>
  <si>
    <t xml:space="preserve">&lt;20 / &gt;45</t>
  </si>
  <si>
    <t xml:space="preserve">표준 드릴·엔드밀 연삭</t>
  </si>
  <si>
    <t xml:space="preserve">Marinescu 2016 ch.4; Malkin &amp; Guo 2008</t>
  </si>
  <si>
    <t xml:space="preserve">Metal Bond Diamond</t>
  </si>
  <si>
    <t xml:space="preserve">&lt;15 / &gt;50</t>
  </si>
  <si>
    <t xml:space="preserve">황삭·프로파일 연삭</t>
  </si>
  <si>
    <t xml:space="preserve">Marinescu 2016; Rowe 2014</t>
  </si>
  <si>
    <t xml:space="preserve">Vitrified Bond CBN</t>
  </si>
  <si>
    <t xml:space="preserve">&lt;20 / &gt;60</t>
  </si>
  <si>
    <t xml:space="preserve">고생산, 드레싱 필수</t>
  </si>
  <si>
    <t xml:space="preserve">Rowe 2014 ch.6; Klocke 2009</t>
  </si>
  <si>
    <t xml:space="preserve">고속도강 (HSS)</t>
  </si>
  <si>
    <t xml:space="preserve">Resin Bond CBN</t>
  </si>
  <si>
    <t xml:space="preserve">&lt;20 / &gt;50</t>
  </si>
  <si>
    <t xml:space="preserve">형상 연삭용</t>
  </si>
  <si>
    <t xml:space="preserve">Malkin &amp; Guo 2008 ch.3</t>
  </si>
  <si>
    <t xml:space="preserve">양산 가공</t>
  </si>
  <si>
    <t xml:space="preserve">Rowe 2014; Klocke 2009</t>
  </si>
  <si>
    <t xml:space="preserve">공구강 (D2/M2)</t>
  </si>
  <si>
    <t xml:space="preserve">내마모성 강 → glazing 주의</t>
  </si>
  <si>
    <t xml:space="preserve">Marinescu 2016; Badger (GD col.)</t>
  </si>
  <si>
    <t xml:space="preserve">세라믹 (Al₂O₃)</t>
  </si>
  <si>
    <t xml:space="preserve">Vitrified Bond Diamond</t>
  </si>
  <si>
    <t xml:space="preserve">&lt;15 / &gt;45</t>
  </si>
  <si>
    <t xml:space="preserve">저속 권장, 파쇄 주의</t>
  </si>
  <si>
    <t xml:space="preserve">Rowe 2014 ch.9</t>
  </si>
  <si>
    <t xml:space="preserve">세라믹 (SiC)</t>
  </si>
  <si>
    <t xml:space="preserve">Resin/Metal Bond Diamond</t>
  </si>
  <si>
    <t xml:space="preserve">&lt;10 / &gt;40</t>
  </si>
  <si>
    <r>
      <rPr>
        <sz val="9"/>
        <color rgb="FF000000"/>
        <rFont val="Arial"/>
        <family val="0"/>
        <charset val="1"/>
      </rPr>
      <t xml:space="preserve">SiC </t>
    </r>
    <r>
      <rPr>
        <sz val="9"/>
        <color rgb="FF000000"/>
        <rFont val="Noto Sans CJK SC"/>
        <family val="2"/>
      </rPr>
      <t xml:space="preserve">취성 — 저속 필수</t>
    </r>
  </si>
  <si>
    <t xml:space="preserve">Marinescu 2016 ch.11</t>
  </si>
  <si>
    <t xml:space="preserve">유리/광학유리</t>
  </si>
  <si>
    <t xml:space="preserve">&lt;8 / &gt;35</t>
  </si>
  <si>
    <t xml:space="preserve">미세크랙 방지 — 저속</t>
  </si>
  <si>
    <t xml:space="preserve">ISO 16089:2015; Malkin 2008</t>
  </si>
  <si>
    <r>
      <rPr>
        <b val="true"/>
        <sz val="11"/>
        <color rgb="FFFFFFFF"/>
        <rFont val="Arial"/>
        <family val="0"/>
        <charset val="1"/>
      </rPr>
      <t xml:space="preserve">▌ C. </t>
    </r>
    <r>
      <rPr>
        <b val="true"/>
        <sz val="11"/>
        <color rgb="FFFFFFFF"/>
        <rFont val="Noto Sans CJK SC"/>
        <family val="2"/>
      </rPr>
      <t xml:space="preserve">초경 소경 공구 기준 — 직경별 </t>
    </r>
    <r>
      <rPr>
        <b val="true"/>
        <sz val="11"/>
        <color rgb="FFFFFFFF"/>
        <rFont val="Arial"/>
        <family val="0"/>
        <charset val="1"/>
      </rPr>
      <t xml:space="preserve">RPM (Vc = 30 m/s, Resin Bond Diamond)</t>
    </r>
  </si>
  <si>
    <t xml:space="preserve">공구 직경
(mm)</t>
  </si>
  <si>
    <t xml:space="preserve">권장 RPM
(Vc=30)</t>
  </si>
  <si>
    <t xml:space="preserve">기계 최대 RPM
충족 여부 기준</t>
  </si>
  <si>
    <t xml:space="preserve">Vc=25 RPM</t>
  </si>
  <si>
    <t xml:space="preserve">Vc=35 RPM</t>
  </si>
  <si>
    <t xml:space="preserve">572,958</t>
  </si>
  <si>
    <r>
      <rPr>
        <sz val="9"/>
        <color rgb="FFFFFFFF"/>
        <rFont val="Arial"/>
        <family val="0"/>
        <charset val="1"/>
      </rPr>
      <t xml:space="preserve">60,000 RPM </t>
    </r>
    <r>
      <rPr>
        <sz val="9"/>
        <color rgb="FFFFFFFF"/>
        <rFont val="Noto Sans CJK SC"/>
        <family val="2"/>
      </rPr>
      <t xml:space="preserve">초과 — 고속 스핀들 필수</t>
    </r>
  </si>
  <si>
    <t xml:space="preserve">477,465</t>
  </si>
  <si>
    <t xml:space="preserve">668,451</t>
  </si>
  <si>
    <t xml:space="preserve">초소경: 런아웃·밸런스 극히 중요 (ISO 16089)</t>
  </si>
  <si>
    <t xml:space="preserve">381,972</t>
  </si>
  <si>
    <t xml:space="preserve">318,310</t>
  </si>
  <si>
    <t xml:space="preserve">445,634</t>
  </si>
  <si>
    <t xml:space="preserve">286,479</t>
  </si>
  <si>
    <t xml:space="preserve">238,732</t>
  </si>
  <si>
    <t xml:space="preserve">334,225</t>
  </si>
  <si>
    <t xml:space="preserve">229,183</t>
  </si>
  <si>
    <t xml:space="preserve">190,986</t>
  </si>
  <si>
    <t xml:space="preserve">267,380</t>
  </si>
  <si>
    <t xml:space="preserve">159,155</t>
  </si>
  <si>
    <t xml:space="preserve">222,817</t>
  </si>
  <si>
    <t xml:space="preserve">소경: 고RPM 진동 → 스핀들 정밀도 관리</t>
  </si>
  <si>
    <t xml:space="preserve">143,239</t>
  </si>
  <si>
    <t xml:space="preserve">119,366</t>
  </si>
  <si>
    <t xml:space="preserve">167,113</t>
  </si>
  <si>
    <t xml:space="preserve">114,592</t>
  </si>
  <si>
    <t xml:space="preserve">95,493</t>
  </si>
  <si>
    <t xml:space="preserve">133,690</t>
  </si>
  <si>
    <t xml:space="preserve">79,577</t>
  </si>
  <si>
    <t xml:space="preserve">111,408</t>
  </si>
  <si>
    <t xml:space="preserve">71,620</t>
  </si>
  <si>
    <t xml:space="preserve">59,683</t>
  </si>
  <si>
    <t xml:space="preserve">83,556</t>
  </si>
  <si>
    <t xml:space="preserve">57,296</t>
  </si>
  <si>
    <r>
      <rPr>
        <sz val="9"/>
        <color rgb="FFFFFFFF"/>
        <rFont val="Arial"/>
        <family val="0"/>
        <charset val="1"/>
      </rPr>
      <t xml:space="preserve">30,000–60,000 RPM — </t>
    </r>
    <r>
      <rPr>
        <sz val="9"/>
        <color rgb="FFFFFFFF"/>
        <rFont val="Noto Sans CJK SC"/>
        <family val="2"/>
      </rPr>
      <t xml:space="preserve">전용 스핀들 필요</t>
    </r>
  </si>
  <si>
    <t xml:space="preserve">47,746</t>
  </si>
  <si>
    <t xml:space="preserve">66,845</t>
  </si>
  <si>
    <t xml:space="preserve">중소경: 표준 운전 가능</t>
  </si>
  <si>
    <t xml:space="preserve">39,789</t>
  </si>
  <si>
    <t xml:space="preserve">55,704</t>
  </si>
  <si>
    <t xml:space="preserve">35,810</t>
  </si>
  <si>
    <t xml:space="preserve">29,842</t>
  </si>
  <si>
    <t xml:space="preserve">41,778</t>
  </si>
  <si>
    <r>
      <rPr>
        <sz val="9"/>
        <color rgb="FF000000"/>
        <rFont val="Arial"/>
        <family val="0"/>
        <charset val="1"/>
      </rPr>
      <t xml:space="preserve">15,000–30,000 RPM — </t>
    </r>
    <r>
      <rPr>
        <sz val="9"/>
        <color rgb="FF000000"/>
        <rFont val="Noto Sans CJK SC"/>
        <family val="2"/>
      </rPr>
      <t xml:space="preserve">표준 고속 스핀들</t>
    </r>
  </si>
  <si>
    <t xml:space="preserve">23,873</t>
  </si>
  <si>
    <t xml:space="preserve">33,423</t>
  </si>
  <si>
    <r>
      <rPr>
        <b val="true"/>
        <sz val="11"/>
        <color rgb="FFFFFFFF"/>
        <rFont val="Arial"/>
        <family val="0"/>
        <charset val="1"/>
      </rPr>
      <t xml:space="preserve">▌ D. </t>
    </r>
    <r>
      <rPr>
        <b val="true"/>
        <sz val="11"/>
        <color rgb="FFFFFFFF"/>
        <rFont val="Noto Sans CJK SC"/>
        <family val="2"/>
      </rPr>
      <t xml:space="preserve">학술 출처 및 표준 근거</t>
    </r>
  </si>
  <si>
    <t xml:space="preserve">ID</t>
  </si>
  <si>
    <t xml:space="preserve">저자/발행처</t>
  </si>
  <si>
    <t xml:space="preserve">문헌명</t>
  </si>
  <si>
    <t xml:space="preserve">관련 챕터/조항</t>
  </si>
  <si>
    <t xml:space="preserve">본 도표 적용 내용</t>
  </si>
  <si>
    <t xml:space="preserve">[1]</t>
  </si>
  <si>
    <t xml:space="preserve">Marinescu, I.D. et al. (2016)</t>
  </si>
  <si>
    <t xml:space="preserve">Handbook of Machining with Grinding Wheels, 2nd ed., CRC Press</t>
  </si>
  <si>
    <r>
      <rPr>
        <sz val="9"/>
        <color rgb="FF000000"/>
        <rFont val="Arial"/>
        <family val="0"/>
        <charset val="1"/>
      </rPr>
      <t xml:space="preserve">ch.4: </t>
    </r>
    <r>
      <rPr>
        <sz val="9"/>
        <color rgb="FF000000"/>
        <rFont val="Noto Sans CJK SC"/>
        <family val="2"/>
      </rPr>
      <t xml:space="preserve">휠 원주속도 권장범위</t>
    </r>
    <r>
      <rPr>
        <sz val="9"/>
        <color rgb="FF000000"/>
        <rFont val="Arial"/>
        <family val="0"/>
        <charset val="1"/>
      </rPr>
      <t xml:space="preserve">; ch.10: </t>
    </r>
    <r>
      <rPr>
        <sz val="9"/>
        <color rgb="FF000000"/>
        <rFont val="Noto Sans CJK SC"/>
        <family val="2"/>
      </rPr>
      <t xml:space="preserve">쿨런트</t>
    </r>
    <r>
      <rPr>
        <sz val="9"/>
        <color rgb="FF000000"/>
        <rFont val="Arial"/>
        <family val="0"/>
        <charset val="1"/>
      </rPr>
      <t xml:space="preserve">-</t>
    </r>
    <r>
      <rPr>
        <sz val="9"/>
        <color rgb="FF000000"/>
        <rFont val="Noto Sans CJK SC"/>
        <family val="2"/>
      </rPr>
      <t xml:space="preserve">속도 관계</t>
    </r>
  </si>
  <si>
    <r>
      <rPr>
        <sz val="9"/>
        <color rgb="FF000000"/>
        <rFont val="Arial"/>
        <family val="0"/>
        <charset val="1"/>
      </rPr>
      <t xml:space="preserve">Resin Bond 30 m/s Sweet Spot </t>
    </r>
    <r>
      <rPr>
        <sz val="9"/>
        <color rgb="FF000000"/>
        <rFont val="Noto Sans CJK SC"/>
        <family val="2"/>
      </rPr>
      <t xml:space="preserve">근거</t>
    </r>
  </si>
  <si>
    <t xml:space="preserve">[2]</t>
  </si>
  <si>
    <t xml:space="preserve">Malkin, S. &amp; Guo, C. (2008)</t>
  </si>
  <si>
    <t xml:space="preserve">Grinding Technology: Theory and Applications, 2nd ed., Industrial Press</t>
  </si>
  <si>
    <r>
      <rPr>
        <sz val="9"/>
        <color rgb="FF000000"/>
        <rFont val="Arial"/>
        <family val="0"/>
        <charset val="1"/>
      </rPr>
      <t xml:space="preserve">ch.3: </t>
    </r>
    <r>
      <rPr>
        <sz val="9"/>
        <color rgb="FF000000"/>
        <rFont val="Noto Sans CJK SC"/>
        <family val="2"/>
      </rPr>
      <t xml:space="preserve">속도비와 </t>
    </r>
    <r>
      <rPr>
        <sz val="9"/>
        <color rgb="FF000000"/>
        <rFont val="Arial"/>
        <family val="0"/>
        <charset val="1"/>
      </rPr>
      <t xml:space="preserve">MRR; ch.6: Thermal Analysis &amp; Burn</t>
    </r>
  </si>
  <si>
    <r>
      <rPr>
        <sz val="9"/>
        <color rgb="FF000000"/>
        <rFont val="Arial"/>
        <family val="0"/>
        <charset val="1"/>
      </rPr>
      <t xml:space="preserve">Vc/vw </t>
    </r>
    <r>
      <rPr>
        <sz val="9"/>
        <color rgb="FF000000"/>
        <rFont val="Noto Sans CJK SC"/>
        <family val="2"/>
      </rPr>
      <t xml:space="preserve">비 및 </t>
    </r>
    <r>
      <rPr>
        <sz val="9"/>
        <color rgb="FF000000"/>
        <rFont val="Arial"/>
        <family val="0"/>
        <charset val="1"/>
      </rPr>
      <t xml:space="preserve">h_eq </t>
    </r>
    <r>
      <rPr>
        <sz val="9"/>
        <color rgb="FF000000"/>
        <rFont val="Noto Sans CJK SC"/>
        <family val="2"/>
      </rPr>
      <t xml:space="preserve">공식 근거</t>
    </r>
  </si>
  <si>
    <t xml:space="preserve">[3]</t>
  </si>
  <si>
    <t xml:space="preserve">Rowe, W.B. (2014)</t>
  </si>
  <si>
    <t xml:space="preserve">Principles of Modern Grinding Technology, 2nd ed., Elsevier</t>
  </si>
  <si>
    <r>
      <rPr>
        <sz val="9"/>
        <color rgb="FF000000"/>
        <rFont val="Arial"/>
        <family val="0"/>
        <charset val="1"/>
      </rPr>
      <t xml:space="preserve">ch.6: CBN/Diamond </t>
    </r>
    <r>
      <rPr>
        <sz val="9"/>
        <color rgb="FF000000"/>
        <rFont val="Noto Sans CJK SC"/>
        <family val="2"/>
      </rPr>
      <t xml:space="preserve">속도 범위</t>
    </r>
    <r>
      <rPr>
        <sz val="9"/>
        <color rgb="FF000000"/>
        <rFont val="Arial"/>
        <family val="0"/>
        <charset val="1"/>
      </rPr>
      <t xml:space="preserve">; ch.9: </t>
    </r>
    <r>
      <rPr>
        <sz val="9"/>
        <color rgb="FF000000"/>
        <rFont val="Noto Sans CJK SC"/>
        <family val="2"/>
      </rPr>
      <t xml:space="preserve">세라믹 연삭</t>
    </r>
  </si>
  <si>
    <r>
      <rPr>
        <sz val="9"/>
        <color rgb="FF000000"/>
        <rFont val="Arial"/>
        <family val="0"/>
        <charset val="1"/>
      </rPr>
      <t xml:space="preserve">Vitrified Bond CBN </t>
    </r>
    <r>
      <rPr>
        <sz val="9"/>
        <color rgb="FF000000"/>
        <rFont val="Noto Sans CJK SC"/>
        <family val="2"/>
      </rPr>
      <t xml:space="preserve">권장속도 근거</t>
    </r>
  </si>
  <si>
    <t xml:space="preserve">[4]</t>
  </si>
  <si>
    <t xml:space="preserve">Klocke, F. (2009)</t>
  </si>
  <si>
    <t xml:space="preserve">Manufacturing Processes 2: Grinding, Honing, Lapping, Springer</t>
  </si>
  <si>
    <r>
      <rPr>
        <sz val="9"/>
        <color rgb="FF000000"/>
        <rFont val="Arial"/>
        <family val="0"/>
        <charset val="1"/>
      </rPr>
      <t xml:space="preserve">§3: </t>
    </r>
    <r>
      <rPr>
        <sz val="9"/>
        <color rgb="FF000000"/>
        <rFont val="Noto Sans CJK SC"/>
        <family val="2"/>
      </rPr>
      <t xml:space="preserve">연삭 속도 파라미터 체계</t>
    </r>
  </si>
  <si>
    <t xml:space="preserve">드레서 속도비 및 속도 파라미터 체계</t>
  </si>
  <si>
    <t xml:space="preserve">[5]</t>
  </si>
  <si>
    <t xml:space="preserve">ISO 12413:2019</t>
  </si>
  <si>
    <t xml:space="preserve">Bonded abrasive products — Safety requirements</t>
  </si>
  <si>
    <t xml:space="preserve">휠 정격 최고 원주속도(Vmax) 표시 의무</t>
  </si>
  <si>
    <r>
      <rPr>
        <sz val="9"/>
        <color rgb="FF000000"/>
        <rFont val="Arial"/>
        <family val="0"/>
        <charset val="1"/>
      </rPr>
      <t xml:space="preserve">Vmax </t>
    </r>
    <r>
      <rPr>
        <sz val="9"/>
        <color rgb="FF000000"/>
        <rFont val="Noto Sans CJK SC"/>
        <family val="2"/>
      </rPr>
      <t xml:space="preserve">초과 금지 규정 — </t>
    </r>
    <r>
      <rPr>
        <sz val="9"/>
        <color rgb="FF000000"/>
        <rFont val="Arial"/>
        <family val="0"/>
        <charset val="1"/>
      </rPr>
      <t xml:space="preserve">Tier 1</t>
    </r>
  </si>
  <si>
    <t xml:space="preserve">[6]</t>
  </si>
  <si>
    <t xml:space="preserve">ISO 16089:2015</t>
  </si>
  <si>
    <t xml:space="preserve">Machine tools — Safety — Stationary grinding machines</t>
  </si>
  <si>
    <t xml:space="preserve">연삭기 안전 운전 기준, RPM 한계</t>
  </si>
  <si>
    <t xml:space="preserve">기계 안전 RPM 한계 — Tier 1</t>
  </si>
  <si>
    <t xml:space="preserve">[7]</t>
  </si>
  <si>
    <t xml:space="preserve">Badger, J.A. (TheGrindingDoc.com)</t>
  </si>
  <si>
    <r>
      <rPr>
        <sz val="9"/>
        <color rgb="FF000000"/>
        <rFont val="Arial"/>
        <family val="0"/>
        <charset val="1"/>
      </rPr>
      <t xml:space="preserve">Cutting Tool Engineering Magazine </t>
    </r>
    <r>
      <rPr>
        <sz val="9"/>
        <color rgb="FF000000"/>
        <rFont val="Noto Sans CJK SC"/>
        <family val="2"/>
      </rPr>
      <t xml:space="preserve">칼럼 </t>
    </r>
    <r>
      <rPr>
        <sz val="9"/>
        <color rgb="FF000000"/>
        <rFont val="Arial"/>
        <family val="0"/>
        <charset val="1"/>
      </rPr>
      <t xml:space="preserve">+ Toolbox v8.2</t>
    </r>
  </si>
  <si>
    <t xml:space="preserve">실무 Sweet Spot 가이드라인 (Vc 25–35 m/s)</t>
  </si>
  <si>
    <t xml:space="preserve">현장 검증 권장값 — 실무 1차 출처</t>
  </si>
  <si>
    <t xml:space="preserve">※ 본 도표의 RPM값은 이상적인 원주속도 달성을 위한 계산값입니다. 실제 운용 전 ISO 12413 Vmax 스티커 확인 필수. 소경(D&lt;6mm) 고RPM 운전 시 스핀들 런아웃·동적 밸런스 점검 필수 (ISO 16089).</t>
  </si>
  <si>
    <t xml:space="preserve">휠 RPM 역산 계산기  (노랑 셀 = 사용자 입력 / 녹색 셀 = 자동 계산)</t>
  </si>
  <si>
    <t xml:space="preserve">■ 옵션 1 — 휠 직경 + RPM → 원주속도 Vc 계산</t>
  </si>
  <si>
    <t xml:space="preserve">휠 직경 D (mm)</t>
  </si>
  <si>
    <t xml:space="preserve">휠 RPM</t>
  </si>
  <si>
    <t xml:space="preserve">→ 원주속도 Vc (m/s)</t>
  </si>
  <si>
    <t xml:space="preserve">■ 옵션 2 — 휠 직경 + 목표 Vc → 권장 RPM 계산</t>
  </si>
  <si>
    <t xml:space="preserve">목표 Vc (m/s)</t>
  </si>
  <si>
    <t xml:space="preserve">→ 권장 RPM</t>
  </si>
  <si>
    <t xml:space="preserve">■ 옵션 3 — RPM + 목표 Vc → 추정 휠 직경 계산</t>
  </si>
  <si>
    <t xml:space="preserve">→ 추정 직경 D (mm)</t>
  </si>
  <si>
    <r>
      <rPr>
        <b val="true"/>
        <sz val="10"/>
        <color rgb="FFFFFFFF"/>
        <rFont val="Arial"/>
        <family val="0"/>
        <charset val="1"/>
      </rPr>
      <t xml:space="preserve">■ Vc </t>
    </r>
    <r>
      <rPr>
        <b val="true"/>
        <sz val="10"/>
        <color rgb="FFFFFFFF"/>
        <rFont val="Noto Sans CJK SC"/>
        <family val="2"/>
      </rPr>
      <t xml:space="preserve">영역 해석표  </t>
    </r>
    <r>
      <rPr>
        <b val="true"/>
        <sz val="10"/>
        <color rgb="FFFFFFFF"/>
        <rFont val="Arial"/>
        <family val="0"/>
        <charset val="1"/>
      </rPr>
      <t xml:space="preserve">(Resin Bond Diamond × WC-Co </t>
    </r>
    <r>
      <rPr>
        <b val="true"/>
        <sz val="10"/>
        <color rgb="FFFFFFFF"/>
        <rFont val="Noto Sans CJK SC"/>
        <family val="2"/>
      </rPr>
      <t xml:space="preserve">초경 기준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</si>
  <si>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Vc </t>
    </r>
    <r>
      <rPr>
        <b val="true"/>
        <sz val="9"/>
        <color rgb="FFFFFFFF"/>
        <rFont val="Noto Sans CJK SC"/>
        <family val="2"/>
      </rPr>
      <t xml:space="preserve">영역 </t>
    </r>
    <r>
      <rPr>
        <b val="true"/>
        <sz val="9"/>
        <color rgb="FFFFFFFF"/>
        <rFont val="Arial"/>
        <family val="0"/>
        <charset val="1"/>
      </rPr>
      <t xml:space="preserve">(m/s)</t>
    </r>
  </si>
  <si>
    <t xml:space="preserve">구분</t>
  </si>
  <si>
    <t xml:space="preserve">현상/위험</t>
  </si>
  <si>
    <t xml:space="preserve">권장 조치</t>
  </si>
  <si>
    <t xml:space="preserve">학술 근거</t>
  </si>
  <si>
    <t xml:space="preserve">&lt; 20</t>
  </si>
  <si>
    <t xml:space="preserve">절대 금지</t>
  </si>
  <si>
    <r>
      <rPr>
        <sz val="9"/>
        <color rgb="FF000000"/>
        <rFont val="Arial"/>
        <family val="0"/>
        <charset val="1"/>
      </rPr>
      <t xml:space="preserve">Rubbing/Plowing </t>
    </r>
    <r>
      <rPr>
        <sz val="9"/>
        <color rgb="FF000000"/>
        <rFont val="Noto Sans CJK SC"/>
        <family val="2"/>
      </rPr>
      <t xml:space="preserve">지배 → </t>
    </r>
    <r>
      <rPr>
        <sz val="9"/>
        <color rgb="FF000000"/>
        <rFont val="Arial"/>
        <family val="0"/>
        <charset val="1"/>
      </rPr>
      <t xml:space="preserve">Glazing → </t>
    </r>
    <r>
      <rPr>
        <sz val="9"/>
        <color rgb="FF000000"/>
        <rFont val="Noto Sans CJK SC"/>
        <family val="2"/>
      </rPr>
      <t xml:space="preserve">열축적 → </t>
    </r>
    <r>
      <rPr>
        <sz val="9"/>
        <color rgb="FF000000"/>
        <rFont val="Arial"/>
        <family val="0"/>
        <charset val="1"/>
      </rPr>
      <t xml:space="preserve">Burning</t>
    </r>
  </si>
  <si>
    <t xml:space="preserve">즉시 RPM 증가 또는 작업 중단</t>
  </si>
  <si>
    <t xml:space="preserve">Malkin &amp; Guo 2008 ch.3; Marinescu 2016 ch.4</t>
  </si>
  <si>
    <t xml:space="preserve">20 – 25</t>
  </si>
  <si>
    <t xml:space="preserve">위험 경계</t>
  </si>
  <si>
    <r>
      <rPr>
        <sz val="9"/>
        <color rgb="FF000000"/>
        <rFont val="Arial"/>
        <family val="0"/>
        <charset val="1"/>
      </rPr>
      <t xml:space="preserve">Cutting </t>
    </r>
    <r>
      <rPr>
        <sz val="9"/>
        <color rgb="FF000000"/>
        <rFont val="Noto Sans CJK SC"/>
        <family val="2"/>
      </rPr>
      <t xml:space="preserve">전환 불안정</t>
    </r>
    <r>
      <rPr>
        <sz val="9"/>
        <color rgb="FF000000"/>
        <rFont val="Arial"/>
        <family val="0"/>
        <charset val="1"/>
      </rPr>
      <t xml:space="preserve">; </t>
    </r>
    <r>
      <rPr>
        <sz val="9"/>
        <color rgb="FF000000"/>
        <rFont val="Noto Sans CJK SC"/>
        <family val="2"/>
      </rPr>
      <t xml:space="preserve">부분 </t>
    </r>
    <r>
      <rPr>
        <sz val="9"/>
        <color rgb="FF000000"/>
        <rFont val="Arial"/>
        <family val="0"/>
        <charset val="1"/>
      </rPr>
      <t xml:space="preserve">glazing </t>
    </r>
    <r>
      <rPr>
        <sz val="9"/>
        <color rgb="FF000000"/>
        <rFont val="Noto Sans CJK SC"/>
        <family val="2"/>
      </rPr>
      <t xml:space="preserve">발생 가능</t>
    </r>
  </si>
  <si>
    <t xml:space="preserve">최대 단시간 가공; 드레싱 후 재확인</t>
  </si>
  <si>
    <t xml:space="preserve">Rowe 2014 ch.5; Badger GD Toolbox</t>
  </si>
  <si>
    <t xml:space="preserve">25 – 28</t>
  </si>
  <si>
    <t xml:space="preserve">권장 최저</t>
  </si>
  <si>
    <t xml:space="preserve">안정 절삭 시작; MRR 낮음</t>
  </si>
  <si>
    <t xml:space="preserve">정밀 마무리 연삭에 적합</t>
  </si>
  <si>
    <t xml:space="preserve">Marinescu 2016; Malkin 2008</t>
  </si>
  <si>
    <t xml:space="preserve">28 – 32</t>
  </si>
  <si>
    <t xml:space="preserve">◉ Sweet Spot</t>
  </si>
  <si>
    <t xml:space="preserve">최적 절삭 조건; 휠 소모 최소화; 버닝 억제</t>
  </si>
  <si>
    <t xml:space="preserve">표준 운전 — Vc=30 m/s 목표</t>
  </si>
  <si>
    <r>
      <rPr>
        <sz val="9"/>
        <color rgb="FF000000"/>
        <rFont val="Arial"/>
        <family val="0"/>
        <charset val="1"/>
      </rPr>
      <t xml:space="preserve">Marinescu 2016 ch.4 </t>
    </r>
    <r>
      <rPr>
        <sz val="9"/>
        <color rgb="FF000000"/>
        <rFont val="Noto Sans CJK SC"/>
        <family val="2"/>
      </rPr>
      <t xml:space="preserve">핵심 권장값</t>
    </r>
  </si>
  <si>
    <t xml:space="preserve">32 – 35</t>
  </si>
  <si>
    <t xml:space="preserve">권장 상한</t>
  </si>
  <si>
    <t xml:space="preserve">고생산 영역; 휠 마모 다소 증가</t>
  </si>
  <si>
    <r>
      <rPr>
        <sz val="9"/>
        <color rgb="FF000000"/>
        <rFont val="Arial"/>
        <family val="0"/>
        <charset val="1"/>
      </rPr>
      <t xml:space="preserve">MRR </t>
    </r>
    <r>
      <rPr>
        <sz val="9"/>
        <color rgb="FF000000"/>
        <rFont val="Noto Sans CJK SC"/>
        <family val="2"/>
      </rPr>
      <t xml:space="preserve">우선 시 허용</t>
    </r>
    <r>
      <rPr>
        <sz val="9"/>
        <color rgb="FF000000"/>
        <rFont val="Arial"/>
        <family val="0"/>
        <charset val="1"/>
      </rPr>
      <t xml:space="preserve">; </t>
    </r>
    <r>
      <rPr>
        <sz val="9"/>
        <color rgb="FF000000"/>
        <rFont val="Noto Sans CJK SC"/>
        <family val="2"/>
      </rPr>
      <t xml:space="preserve">드레싱 주기 단축</t>
    </r>
  </si>
  <si>
    <t xml:space="preserve">35 – 40</t>
  </si>
  <si>
    <t xml:space="preserve">주의</t>
  </si>
  <si>
    <r>
      <rPr>
        <sz val="9"/>
        <color rgb="FF000000"/>
        <rFont val="Arial"/>
        <family val="0"/>
        <charset val="1"/>
      </rPr>
      <t xml:space="preserve">Resin bond </t>
    </r>
    <r>
      <rPr>
        <sz val="9"/>
        <color rgb="FF000000"/>
        <rFont val="Noto Sans CJK SC"/>
        <family val="2"/>
      </rPr>
      <t xml:space="preserve">열화 가속</t>
    </r>
    <r>
      <rPr>
        <sz val="9"/>
        <color rgb="FF000000"/>
        <rFont val="Arial"/>
        <family val="0"/>
        <charset val="1"/>
      </rPr>
      <t xml:space="preserve">; </t>
    </r>
    <r>
      <rPr>
        <sz val="9"/>
        <color rgb="FF000000"/>
        <rFont val="Noto Sans CJK SC"/>
        <family val="2"/>
      </rPr>
      <t xml:space="preserve">원심력 증가</t>
    </r>
  </si>
  <si>
    <r>
      <rPr>
        <sz val="9"/>
        <color rgb="FF000000"/>
        <rFont val="Arial"/>
        <family val="0"/>
        <charset val="1"/>
      </rPr>
      <t xml:space="preserve">Vmax </t>
    </r>
    <r>
      <rPr>
        <sz val="9"/>
        <color rgb="FF000000"/>
        <rFont val="Noto Sans CJK SC"/>
        <family val="2"/>
      </rPr>
      <t xml:space="preserve">정격 반드시 확인 </t>
    </r>
    <r>
      <rPr>
        <sz val="9"/>
        <color rgb="FF000000"/>
        <rFont val="Arial"/>
        <family val="0"/>
        <charset val="1"/>
      </rPr>
      <t xml:space="preserve">(ISO 12413)</t>
    </r>
  </si>
  <si>
    <t xml:space="preserve">ISO 12413:2019; Marinescu 2016</t>
  </si>
  <si>
    <t xml:space="preserve">&gt; 40</t>
  </si>
  <si>
    <t xml:space="preserve">금지 (Resin)</t>
  </si>
  <si>
    <r>
      <rPr>
        <sz val="9"/>
        <color rgb="FF000000"/>
        <rFont val="Arial"/>
        <family val="0"/>
        <charset val="1"/>
      </rPr>
      <t xml:space="preserve">Resin bond </t>
    </r>
    <r>
      <rPr>
        <sz val="9"/>
        <color rgb="FF000000"/>
        <rFont val="Noto Sans CJK SC"/>
        <family val="2"/>
      </rPr>
      <t xml:space="preserve">파괴 위험</t>
    </r>
    <r>
      <rPr>
        <sz val="9"/>
        <color rgb="FF000000"/>
        <rFont val="Arial"/>
        <family val="0"/>
        <charset val="1"/>
      </rPr>
      <t xml:space="preserve">; ISO 12413 </t>
    </r>
    <r>
      <rPr>
        <sz val="9"/>
        <color rgb="FF000000"/>
        <rFont val="Noto Sans CJK SC"/>
        <family val="2"/>
      </rPr>
      <t xml:space="preserve">위반 가능성</t>
    </r>
  </si>
  <si>
    <r>
      <rPr>
        <sz val="9"/>
        <color rgb="FF000000"/>
        <rFont val="Arial"/>
        <family val="0"/>
        <charset val="1"/>
      </rPr>
      <t xml:space="preserve">Vmax </t>
    </r>
    <r>
      <rPr>
        <sz val="9"/>
        <color rgb="FF000000"/>
        <rFont val="Noto Sans CJK SC"/>
        <family val="2"/>
      </rPr>
      <t xml:space="preserve">스티커 필수 확인</t>
    </r>
    <r>
      <rPr>
        <sz val="9"/>
        <color rgb="FF000000"/>
        <rFont val="Arial"/>
        <family val="0"/>
        <charset val="1"/>
      </rPr>
      <t xml:space="preserve">; </t>
    </r>
    <r>
      <rPr>
        <sz val="9"/>
        <color rgb="FF000000"/>
        <rFont val="Noto Sans CJK SC"/>
        <family val="2"/>
      </rPr>
      <t xml:space="preserve">대체 본드 검토</t>
    </r>
  </si>
  <si>
    <t xml:space="preserve">ISO 12413:2019; ISO 16089:2015</t>
  </si>
  <si>
    <t xml:space="preserve">출처 정확도 등급표 — 학술 근거 신뢰도 체계</t>
  </si>
  <si>
    <t xml:space="preserve">등급</t>
  </si>
  <si>
    <t xml:space="preserve">기호</t>
  </si>
  <si>
    <t xml:space="preserve">정의</t>
  </si>
  <si>
    <t xml:space="preserve">예시</t>
  </si>
  <si>
    <t xml:space="preserve">본 도표 적용 항목</t>
  </si>
  <si>
    <r>
      <rPr>
        <b val="true"/>
        <sz val="10"/>
        <color rgb="FFFFFFFF"/>
        <rFont val="Arial"/>
        <family val="0"/>
        <charset val="1"/>
      </rPr>
      <t xml:space="preserve">1</t>
    </r>
    <r>
      <rPr>
        <b val="true"/>
        <sz val="10"/>
        <color rgb="FFFFFFFF"/>
        <rFont val="Noto Sans CJK SC"/>
        <family val="2"/>
      </rPr>
      <t xml:space="preserve">등급
</t>
    </r>
    <r>
      <rPr>
        <b val="true"/>
        <sz val="10"/>
        <color rgb="FFFFFFFF"/>
        <rFont val="Arial"/>
        <family val="0"/>
        <charset val="1"/>
      </rPr>
      <t xml:space="preserve">ISO </t>
    </r>
    <r>
      <rPr>
        <b val="true"/>
        <sz val="10"/>
        <color rgb="FFFFFFFF"/>
        <rFont val="Noto Sans CJK SC"/>
        <family val="2"/>
      </rPr>
      <t xml:space="preserve">직접 인용</t>
    </r>
  </si>
  <si>
    <t xml:space="preserve">★★★★★</t>
  </si>
  <si>
    <r>
      <rPr>
        <sz val="9"/>
        <color rgb="FF000000"/>
        <rFont val="Arial"/>
        <family val="0"/>
        <charset val="1"/>
      </rPr>
      <t xml:space="preserve">ISO </t>
    </r>
    <r>
      <rPr>
        <sz val="9"/>
        <color rgb="FF000000"/>
        <rFont val="Noto Sans CJK SC"/>
        <family val="2"/>
      </rPr>
      <t xml:space="preserve">표준이 직접 정의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수치를 규정한 값</t>
    </r>
  </si>
  <si>
    <r>
      <rPr>
        <sz val="9"/>
        <color rgb="FF000000"/>
        <rFont val="Arial"/>
        <family val="0"/>
        <charset val="1"/>
      </rPr>
      <t xml:space="preserve">ISO 12413: Vmax </t>
    </r>
    <r>
      <rPr>
        <sz val="9"/>
        <color rgb="FF000000"/>
        <rFont val="Noto Sans CJK SC"/>
        <family val="2"/>
      </rPr>
      <t xml:space="preserve">표시 의무
</t>
    </r>
    <r>
      <rPr>
        <sz val="9"/>
        <color rgb="FF000000"/>
        <rFont val="Arial"/>
        <family val="0"/>
        <charset val="1"/>
      </rPr>
      <t xml:space="preserve">ISO 16089: </t>
    </r>
    <r>
      <rPr>
        <sz val="9"/>
        <color rgb="FF000000"/>
        <rFont val="Noto Sans CJK SC"/>
        <family val="2"/>
      </rPr>
      <t xml:space="preserve">연삭기 안전 </t>
    </r>
    <r>
      <rPr>
        <sz val="9"/>
        <color rgb="FF000000"/>
        <rFont val="Arial"/>
        <family val="0"/>
        <charset val="1"/>
      </rPr>
      <t xml:space="preserve">RPM</t>
    </r>
  </si>
  <si>
    <r>
      <rPr>
        <sz val="9"/>
        <color rgb="FF000000"/>
        <rFont val="Arial"/>
        <family val="0"/>
        <charset val="1"/>
      </rPr>
      <t xml:space="preserve">Vmax </t>
    </r>
    <r>
      <rPr>
        <sz val="9"/>
        <color rgb="FF000000"/>
        <rFont val="Noto Sans CJK SC"/>
        <family val="2"/>
      </rPr>
      <t xml:space="preserve">초과 금지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안전 </t>
    </r>
    <r>
      <rPr>
        <sz val="9"/>
        <color rgb="FF000000"/>
        <rFont val="Arial"/>
        <family val="0"/>
        <charset val="1"/>
      </rPr>
      <t xml:space="preserve">RPM </t>
    </r>
    <r>
      <rPr>
        <sz val="9"/>
        <color rgb="FF000000"/>
        <rFont val="Noto Sans CJK SC"/>
        <family val="2"/>
      </rPr>
      <t xml:space="preserve">한계</t>
    </r>
  </si>
  <si>
    <t xml:space="preserve">최상위 강제 규정</t>
  </si>
  <si>
    <r>
      <rPr>
        <b val="true"/>
        <sz val="10"/>
        <color rgb="FFFFFFFF"/>
        <rFont val="Arial"/>
        <family val="0"/>
        <charset val="1"/>
      </rPr>
      <t xml:space="preserve">2</t>
    </r>
    <r>
      <rPr>
        <b val="true"/>
        <sz val="10"/>
        <color rgb="FFFFFFFF"/>
        <rFont val="Noto Sans CJK SC"/>
        <family val="2"/>
      </rPr>
      <t xml:space="preserve">등급
직접 출처</t>
    </r>
  </si>
  <si>
    <t xml:space="preserve">★★★★☆</t>
  </si>
  <si>
    <r>
      <rPr>
        <sz val="9"/>
        <color rgb="FF000000"/>
        <rFont val="Arial"/>
        <family val="0"/>
        <charset val="1"/>
      </rPr>
      <t xml:space="preserve">1</t>
    </r>
    <r>
      <rPr>
        <sz val="9"/>
        <color rgb="FF000000"/>
        <rFont val="Noto Sans CJK SC"/>
        <family val="2"/>
      </rPr>
      <t xml:space="preserve">차 학술 문헌</t>
    </r>
    <r>
      <rPr>
        <sz val="9"/>
        <color rgb="FF000000"/>
        <rFont val="Arial"/>
        <family val="0"/>
        <charset val="1"/>
      </rPr>
      <t xml:space="preserve">(</t>
    </r>
    <r>
      <rPr>
        <sz val="9"/>
        <color rgb="FF000000"/>
        <rFont val="Noto Sans CJK SC"/>
        <family val="2"/>
      </rPr>
      <t xml:space="preserve">교과서</t>
    </r>
    <r>
      <rPr>
        <sz val="9"/>
        <color rgb="FF000000"/>
        <rFont val="Arial"/>
        <family val="0"/>
        <charset val="1"/>
      </rPr>
      <t xml:space="preserve">·</t>
    </r>
    <r>
      <rPr>
        <sz val="9"/>
        <color rgb="FF000000"/>
        <rFont val="Noto Sans CJK SC"/>
        <family val="2"/>
      </rPr>
      <t xml:space="preserve">핸드북</t>
    </r>
    <r>
      <rPr>
        <sz val="9"/>
        <color rgb="FF000000"/>
        <rFont val="Arial"/>
        <family val="0"/>
        <charset val="1"/>
      </rPr>
      <t xml:space="preserve">)</t>
    </r>
    <r>
      <rPr>
        <sz val="9"/>
        <color rgb="FF000000"/>
        <rFont val="Noto Sans CJK SC"/>
        <family val="2"/>
      </rPr>
      <t xml:space="preserve">이 명시한 수치</t>
    </r>
  </si>
  <si>
    <r>
      <rPr>
        <sz val="9"/>
        <color rgb="FF000000"/>
        <rFont val="Arial"/>
        <family val="0"/>
        <charset val="1"/>
      </rPr>
      <t xml:space="preserve">Marinescu 2016 ch.4: Vc=30 Sweet Spot
Malkin 2008: h_eq </t>
    </r>
    <r>
      <rPr>
        <sz val="9"/>
        <color rgb="FF000000"/>
        <rFont val="Noto Sans CJK SC"/>
        <family val="2"/>
      </rPr>
      <t xml:space="preserve">공식</t>
    </r>
  </si>
  <si>
    <r>
      <rPr>
        <sz val="9"/>
        <color rgb="FF000000"/>
        <rFont val="Arial"/>
        <family val="0"/>
        <charset val="1"/>
      </rPr>
      <t xml:space="preserve">Vc </t>
    </r>
    <r>
      <rPr>
        <sz val="9"/>
        <color rgb="FF000000"/>
        <rFont val="Noto Sans CJK SC"/>
        <family val="2"/>
      </rPr>
      <t xml:space="preserve">권장범위</t>
    </r>
    <r>
      <rPr>
        <sz val="9"/>
        <color rgb="FF000000"/>
        <rFont val="Arial"/>
        <family val="0"/>
        <charset val="1"/>
      </rPr>
      <t xml:space="preserve">, RPM </t>
    </r>
    <r>
      <rPr>
        <sz val="9"/>
        <color rgb="FF000000"/>
        <rFont val="Noto Sans CJK SC"/>
        <family val="2"/>
      </rPr>
      <t xml:space="preserve">공식</t>
    </r>
    <r>
      <rPr>
        <sz val="9"/>
        <color rgb="FF000000"/>
        <rFont val="Arial"/>
        <family val="0"/>
        <charset val="1"/>
      </rPr>
      <t xml:space="preserve">, </t>
    </r>
    <r>
      <rPr>
        <sz val="9"/>
        <color rgb="FF000000"/>
        <rFont val="Noto Sans CJK SC"/>
        <family val="2"/>
      </rPr>
      <t xml:space="preserve">소재 </t>
    </r>
    <r>
      <rPr>
        <sz val="9"/>
        <color rgb="FF000000"/>
        <rFont val="Arial"/>
        <family val="0"/>
        <charset val="1"/>
      </rPr>
      <t xml:space="preserve">α</t>
    </r>
    <r>
      <rPr>
        <sz val="9"/>
        <color rgb="FF000000"/>
        <rFont val="Noto Sans CJK SC"/>
        <family val="2"/>
      </rPr>
      <t xml:space="preserve">값</t>
    </r>
  </si>
  <si>
    <t xml:space="preserve">교과서 수준 검증</t>
  </si>
  <si>
    <r>
      <rPr>
        <b val="true"/>
        <sz val="10"/>
        <color rgb="FFFFFFFF"/>
        <rFont val="Arial"/>
        <family val="0"/>
        <charset val="1"/>
      </rPr>
      <t xml:space="preserve">3</t>
    </r>
    <r>
      <rPr>
        <b val="true"/>
        <sz val="10"/>
        <color rgb="FFFFFFFF"/>
        <rFont val="Noto Sans CJK SC"/>
        <family val="2"/>
      </rPr>
      <t xml:space="preserve">등급
간접 근거</t>
    </r>
  </si>
  <si>
    <t xml:space="preserve">★★★☆☆</t>
  </si>
  <si>
    <t xml:space="preserve">복수 자료에서 공통 제시되는 일반 범위</t>
  </si>
  <si>
    <r>
      <rPr>
        <sz val="9"/>
        <color rgb="FF000000"/>
        <rFont val="Arial"/>
        <family val="0"/>
        <charset val="1"/>
      </rPr>
      <t xml:space="preserve">Rowe 2014 + Klocke 2009 </t>
    </r>
    <r>
      <rPr>
        <sz val="9"/>
        <color rgb="FF000000"/>
        <rFont val="Noto Sans CJK SC"/>
        <family val="2"/>
      </rPr>
      <t xml:space="preserve">일치 범위</t>
    </r>
  </si>
  <si>
    <t xml:space="preserve">소재별 Vc 범위 (초경 제외)</t>
  </si>
  <si>
    <t xml:space="preserve">중간 신뢰도</t>
  </si>
  <si>
    <r>
      <rPr>
        <b val="true"/>
        <sz val="10"/>
        <color rgb="FF000000"/>
        <rFont val="Arial"/>
        <family val="0"/>
        <charset val="1"/>
      </rPr>
      <t xml:space="preserve">4</t>
    </r>
    <r>
      <rPr>
        <b val="true"/>
        <sz val="10"/>
        <color rgb="FF000000"/>
        <rFont val="Noto Sans CJK SC"/>
        <family val="2"/>
      </rPr>
      <t xml:space="preserve">등급
보수 가정</t>
    </r>
  </si>
  <si>
    <t xml:space="preserve">★★☆☆☆</t>
  </si>
  <si>
    <t xml:space="preserve">범위 중간값으로 추정한 보수적 값</t>
  </si>
  <si>
    <r>
      <rPr>
        <sz val="9"/>
        <color rgb="FF000000"/>
        <rFont val="Arial"/>
        <family val="0"/>
        <charset val="1"/>
      </rPr>
      <t xml:space="preserve">Resin bond α=45 (30–60 </t>
    </r>
    <r>
      <rPr>
        <sz val="9"/>
        <color rgb="FF000000"/>
        <rFont val="Noto Sans CJK SC"/>
        <family val="2"/>
      </rPr>
      <t xml:space="preserve">범위 중간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</si>
  <si>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Arial"/>
        <family val="0"/>
        <charset val="1"/>
      </rPr>
      <t xml:space="preserve">Hybrid bond </t>
    </r>
    <r>
      <rPr>
        <sz val="9"/>
        <color rgb="FF000000"/>
        <rFont val="Noto Sans CJK SC"/>
        <family val="2"/>
      </rPr>
      <t xml:space="preserve">열팽창계수</t>
    </r>
  </si>
  <si>
    <t xml:space="preserve">실측 데이터로 보정 권장</t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</si>
  <si>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Noto Sans CJK SC"/>
        <family val="2"/>
      </rPr>
      <t xml:space="preserve">등급
현장 가정</t>
    </r>
  </si>
  <si>
    <t xml:space="preserve">★☆☆☆☆</t>
  </si>
  <si>
    <t xml:space="preserve">사내 운영 경험 기반 — 문헌 없음</t>
  </si>
  <si>
    <t xml:space="preserve">특정 머신 환경 설정값</t>
  </si>
  <si>
    <t xml:space="preserve">사내 칠러 setpoint 등</t>
  </si>
  <si>
    <t xml:space="preserve">내부 검증 필요</t>
  </si>
  <si>
    <r>
      <rPr>
        <b val="true"/>
        <sz val="12"/>
        <color rgb="FFFFFFFF"/>
        <rFont val="Noto Sans CJK SC"/>
        <family val="2"/>
      </rPr>
      <t xml:space="preserve">홍익다이아</t>
    </r>
    <r>
      <rPr>
        <b val="true"/>
        <sz val="12"/>
        <color rgb="FFFFFFFF"/>
        <rFont val="Arial"/>
        <family val="0"/>
        <charset val="1"/>
      </rPr>
      <t xml:space="preserve">(HID) </t>
    </r>
    <r>
      <rPr>
        <b val="true"/>
        <sz val="12"/>
        <color rgb="FFFFFFFF"/>
        <rFont val="Noto Sans CJK SC"/>
        <family val="2"/>
      </rPr>
      <t xml:space="preserve">형식별 권장 </t>
    </r>
    <r>
      <rPr>
        <b val="true"/>
        <sz val="12"/>
        <color rgb="FFFFFFFF"/>
        <rFont val="Arial"/>
        <family val="0"/>
        <charset val="1"/>
      </rPr>
      <t xml:space="preserve">RPM </t>
    </r>
    <r>
      <rPr>
        <b val="true"/>
        <sz val="12"/>
        <color rgb="FFFFFFFF"/>
        <rFont val="Noto Sans CJK SC"/>
        <family val="2"/>
      </rPr>
      <t xml:space="preserve">매핑표  —  </t>
    </r>
    <r>
      <rPr>
        <b val="true"/>
        <sz val="12"/>
        <color rgb="FFFFFFFF"/>
        <rFont val="Arial"/>
        <family val="0"/>
        <charset val="1"/>
      </rPr>
      <t xml:space="preserve">Resin/Hybrid: Vc 25~35 m/s  |  Vitrified: Vc 25~45 m/s  |  Metal: Vc 18~35 m/s</t>
    </r>
  </si>
  <si>
    <r>
      <rPr>
        <sz val="9"/>
        <color rgb="FFFFFFFF"/>
        <rFont val="Noto Sans CJK SC"/>
        <family val="2"/>
      </rPr>
      <t xml:space="preserve">공식</t>
    </r>
    <r>
      <rPr>
        <sz val="9"/>
        <color rgb="FFFFFFFF"/>
        <rFont val="Arial"/>
        <family val="0"/>
        <charset val="1"/>
      </rPr>
      <t xml:space="preserve">: N [RPM] = 60,000 × Vc [m/s] / (π × D [mm])  |  </t>
    </r>
    <r>
      <rPr>
        <sz val="9"/>
        <color rgb="FFFFFFFF"/>
        <rFont val="Noto Sans CJK SC"/>
        <family val="2"/>
      </rPr>
      <t xml:space="preserve">출처</t>
    </r>
    <r>
      <rPr>
        <sz val="9"/>
        <color rgb="FFFFFFFF"/>
        <rFont val="Arial"/>
        <family val="0"/>
        <charset val="1"/>
      </rPr>
      <t xml:space="preserve">: Marinescu et al. (2016) CRC Press ch.4 / Rowe (2014) Elsevier ch.6 / ISO 12413:2019</t>
    </r>
  </si>
  <si>
    <r>
      <rPr>
        <sz val="9"/>
        <color rgb="FF44546A"/>
        <rFont val="Arial"/>
        <family val="0"/>
        <charset val="1"/>
      </rPr>
      <t xml:space="preserve">D = Diamond </t>
    </r>
    <r>
      <rPr>
        <sz val="9"/>
        <color rgb="FF44546A"/>
        <rFont val="Noto Sans CJK SC"/>
        <family val="2"/>
      </rPr>
      <t xml:space="preserve">그릿 </t>
    </r>
    <r>
      <rPr>
        <sz val="9"/>
        <color rgb="FF44546A"/>
        <rFont val="Arial"/>
        <family val="0"/>
        <charset val="1"/>
      </rPr>
      <t xml:space="preserve">(</t>
    </r>
    <r>
      <rPr>
        <sz val="9"/>
        <color rgb="FF44546A"/>
        <rFont val="Noto Sans CJK SC"/>
        <family val="2"/>
      </rPr>
      <t xml:space="preserve">초경 </t>
    </r>
    <r>
      <rPr>
        <sz val="9"/>
        <color rgb="FF44546A"/>
        <rFont val="Arial"/>
        <family val="0"/>
        <charset val="1"/>
      </rPr>
      <t xml:space="preserve">WC-Co </t>
    </r>
    <r>
      <rPr>
        <sz val="9"/>
        <color rgb="FF44546A"/>
        <rFont val="Noto Sans CJK SC"/>
        <family val="2"/>
      </rPr>
      <t xml:space="preserve">가공용</t>
    </r>
    <r>
      <rPr>
        <sz val="9"/>
        <color rgb="FF44546A"/>
        <rFont val="Arial"/>
        <family val="0"/>
        <charset val="1"/>
      </rPr>
      <t xml:space="preserve">)  |  B = CBN </t>
    </r>
    <r>
      <rPr>
        <sz val="9"/>
        <color rgb="FF44546A"/>
        <rFont val="Noto Sans CJK SC"/>
        <family val="2"/>
      </rPr>
      <t xml:space="preserve">그릿 </t>
    </r>
    <r>
      <rPr>
        <sz val="9"/>
        <color rgb="FF44546A"/>
        <rFont val="Arial"/>
        <family val="0"/>
        <charset val="1"/>
      </rPr>
      <t xml:space="preserve">(HSS / </t>
    </r>
    <r>
      <rPr>
        <sz val="9"/>
        <color rgb="FF44546A"/>
        <rFont val="Noto Sans CJK SC"/>
        <family val="2"/>
      </rPr>
      <t xml:space="preserve">공구강 가공용</t>
    </r>
    <r>
      <rPr>
        <sz val="9"/>
        <color rgb="FF44546A"/>
        <rFont val="Arial"/>
        <family val="0"/>
        <charset val="1"/>
      </rPr>
      <t xml:space="preserve">)  |  ★ = Sweet Spot (Vc=30 m/s, Resin/Hybrid </t>
    </r>
    <r>
      <rPr>
        <sz val="9"/>
        <color rgb="FF44546A"/>
        <rFont val="Noto Sans CJK SC"/>
        <family val="2"/>
      </rPr>
      <t xml:space="preserve">기준</t>
    </r>
    <r>
      <rPr>
        <sz val="9"/>
        <color rgb="FF44546A"/>
        <rFont val="Arial"/>
        <family val="0"/>
        <charset val="1"/>
      </rPr>
      <t xml:space="preserve">)</t>
    </r>
  </si>
  <si>
    <r>
      <rPr>
        <b val="true"/>
        <sz val="9"/>
        <color rgb="FFFFFFFF"/>
        <rFont val="Noto Sans CJK SC"/>
        <family val="2"/>
      </rPr>
      <t xml:space="preserve">형식
</t>
    </r>
    <r>
      <rPr>
        <b val="true"/>
        <sz val="9"/>
        <color rgb="FFFFFFFF"/>
        <rFont val="Arial"/>
        <family val="0"/>
        <charset val="1"/>
      </rPr>
      <t xml:space="preserve">(Shape)</t>
    </r>
  </si>
  <si>
    <r>
      <rPr>
        <b val="true"/>
        <sz val="9"/>
        <color rgb="FFFFFFFF"/>
        <rFont val="Noto Sans CJK SC"/>
        <family val="2"/>
      </rPr>
      <t xml:space="preserve">본드
</t>
    </r>
    <r>
      <rPr>
        <b val="true"/>
        <sz val="9"/>
        <color rgb="FFFFFFFF"/>
        <rFont val="Arial"/>
        <family val="0"/>
        <charset val="1"/>
      </rPr>
      <t xml:space="preserve">(Bond)</t>
    </r>
  </si>
  <si>
    <t xml:space="preserve">용도</t>
  </si>
  <si>
    <t xml:space="preserve">주 피삭재</t>
  </si>
  <si>
    <t xml:space="preserve">사용 그릿</t>
  </si>
  <si>
    <t xml:space="preserve">Vc_min
(m/s)</t>
  </si>
  <si>
    <t xml:space="preserve">RPM
(Vc_min)</t>
  </si>
  <si>
    <t xml:space="preserve">Vc_opt ★
(m/s)</t>
  </si>
  <si>
    <t xml:space="preserve">RPM
★Sweet Spot</t>
  </si>
  <si>
    <t xml:space="preserve">Vc_max
(m/s)</t>
  </si>
  <si>
    <t xml:space="preserve">RPM
(Vc_max)</t>
  </si>
  <si>
    <r>
      <rPr>
        <b val="true"/>
        <sz val="9"/>
        <color rgb="FFFFFFFF"/>
        <rFont val="Arial"/>
        <family val="0"/>
        <charset val="1"/>
      </rPr>
      <t xml:space="preserve">Vmax</t>
    </r>
    <r>
      <rPr>
        <b val="true"/>
        <sz val="9"/>
        <color rgb="FFFFFFFF"/>
        <rFont val="Noto Sans CJK SC"/>
        <family val="2"/>
      </rPr>
      <t xml:space="preserve">정격
</t>
    </r>
    <r>
      <rPr>
        <b val="true"/>
        <sz val="9"/>
        <color rgb="FFFFFFFF"/>
        <rFont val="Arial"/>
        <family val="0"/>
        <charset val="1"/>
      </rPr>
      <t xml:space="preserve">(m/s)</t>
    </r>
  </si>
  <si>
    <r>
      <rPr>
        <b val="true"/>
        <sz val="9"/>
        <color rgb="FFFFFFFF"/>
        <rFont val="Noto Sans CJK SC"/>
        <family val="2"/>
      </rPr>
      <t xml:space="preserve">비고 </t>
    </r>
    <r>
      <rPr>
        <b val="true"/>
        <sz val="9"/>
        <color rgb="FFFFFFFF"/>
        <rFont val="Arial"/>
        <family val="0"/>
        <charset val="1"/>
      </rPr>
      <t xml:space="preserve">/ </t>
    </r>
    <r>
      <rPr>
        <b val="true"/>
        <sz val="9"/>
        <color rgb="FFFFFFFF"/>
        <rFont val="Noto Sans CJK SC"/>
        <family val="2"/>
      </rPr>
      <t xml:space="preserve">특이사항</t>
    </r>
  </si>
  <si>
    <r>
      <rPr>
        <b val="true"/>
        <sz val="10"/>
        <color rgb="FFFFFFFF"/>
        <rFont val="Noto Sans CJK SC"/>
        <family val="2"/>
      </rPr>
      <t xml:space="preserve">▌ 엔드투스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엣지클리어링</t>
    </r>
  </si>
  <si>
    <t xml:space="preserve">11V9</t>
  </si>
  <si>
    <t xml:space="preserve">Resin / Hybrid</t>
  </si>
  <si>
    <r>
      <rPr>
        <sz val="9"/>
        <color rgb="FF000000"/>
        <rFont val="Noto Sans CJK SC"/>
        <family val="2"/>
      </rPr>
      <t xml:space="preserve">엔드투스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엣지클리어링</t>
    </r>
  </si>
  <si>
    <r>
      <rPr>
        <sz val="9"/>
        <color rgb="FF000000"/>
        <rFont val="Noto Sans CJK SC"/>
        <family val="2"/>
      </rPr>
      <t xml:space="preserve">초경</t>
    </r>
    <r>
      <rPr>
        <sz val="9"/>
        <color rgb="FF000000"/>
        <rFont val="Arial"/>
        <family val="0"/>
        <charset val="1"/>
      </rPr>
      <t xml:space="preserve">(WC-Co) / HSS</t>
    </r>
  </si>
  <si>
    <r>
      <rPr>
        <sz val="9"/>
        <color rgb="FF44546A"/>
        <rFont val="Arial"/>
        <family val="0"/>
        <charset val="1"/>
      </rPr>
      <t xml:space="preserve">D: D91, D76, D64, D54, D46 … (9</t>
    </r>
    <r>
      <rPr>
        <sz val="9"/>
        <color rgb="FF44546A"/>
        <rFont val="Noto Sans CJK SC"/>
        <family val="2"/>
      </rPr>
      <t xml:space="preserve">종</t>
    </r>
    <r>
      <rPr>
        <sz val="9"/>
        <color rgb="FF44546A"/>
        <rFont val="Arial"/>
        <family val="0"/>
        <charset val="1"/>
      </rPr>
      <t xml:space="preserve">)
B: B126, B107, B91, B76 … (7</t>
    </r>
    <r>
      <rPr>
        <sz val="9"/>
        <color rgb="FF44546A"/>
        <rFont val="Noto Sans CJK SC"/>
        <family val="2"/>
      </rPr>
      <t xml:space="preserve">종</t>
    </r>
    <r>
      <rPr>
        <sz val="9"/>
        <color rgb="FF44546A"/>
        <rFont val="Arial"/>
        <family val="0"/>
        <charset val="1"/>
      </rPr>
      <t xml:space="preserve">)</t>
    </r>
  </si>
  <si>
    <t xml:space="preserve">D75: 6,366
D100: 4,775
D125: 3,820
D150: 3,183</t>
  </si>
  <si>
    <t xml:space="preserve">D75: 7,639
D100: 5,730
D125: 4,584
D150: 3,820</t>
  </si>
  <si>
    <t xml:space="preserve">D75: 8,913
D100: 6,685
D125: 5,348
D150: 4,456</t>
  </si>
  <si>
    <r>
      <rPr>
        <sz val="8"/>
        <color rgb="FF44546A"/>
        <rFont val="Noto Sans CJK SC"/>
        <family val="2"/>
      </rPr>
      <t xml:space="preserve">컵형 </t>
    </r>
    <r>
      <rPr>
        <sz val="8"/>
        <color rgb="FF44546A"/>
        <rFont val="Arial"/>
        <family val="0"/>
        <charset val="1"/>
      </rPr>
      <t xml:space="preserve">11V9 — </t>
    </r>
    <r>
      <rPr>
        <sz val="8"/>
        <color rgb="FF44546A"/>
        <rFont val="Noto Sans CJK SC"/>
        <family val="2"/>
      </rPr>
      <t xml:space="preserve">엔드밀 바닥날 연삭</t>
    </r>
    <r>
      <rPr>
        <sz val="8"/>
        <color rgb="FF44546A"/>
        <rFont val="Arial"/>
        <family val="0"/>
        <charset val="1"/>
      </rPr>
      <t xml:space="preserve">. D=</t>
    </r>
    <r>
      <rPr>
        <sz val="8"/>
        <color rgb="FF44546A"/>
        <rFont val="Noto Sans CJK SC"/>
        <family val="2"/>
      </rPr>
      <t xml:space="preserve">다이아</t>
    </r>
    <r>
      <rPr>
        <sz val="8"/>
        <color rgb="FF44546A"/>
        <rFont val="Arial"/>
        <family val="0"/>
        <charset val="1"/>
      </rPr>
      <t xml:space="preserve">(</t>
    </r>
    <r>
      <rPr>
        <sz val="8"/>
        <color rgb="FF44546A"/>
        <rFont val="Noto Sans CJK SC"/>
        <family val="2"/>
      </rPr>
      <t xml:space="preserve">초경</t>
    </r>
    <r>
      <rPr>
        <sz val="8"/>
        <color rgb="FF44546A"/>
        <rFont val="Arial"/>
        <family val="0"/>
        <charset val="1"/>
      </rPr>
      <t xml:space="preserve">), B=CBN(HSS)</t>
    </r>
  </si>
  <si>
    <r>
      <rPr>
        <sz val="8"/>
        <color rgb="FF595959"/>
        <rFont val="Arial"/>
        <family val="0"/>
        <charset val="1"/>
      </rPr>
      <t xml:space="preserve">Marinescu 2016 ch.4; </t>
    </r>
    <r>
      <rPr>
        <sz val="8"/>
        <color rgb="FF595959"/>
        <rFont val="Noto Sans CJK SC"/>
        <family val="2"/>
      </rPr>
      <t xml:space="preserve">홍익 카탈로그 </t>
    </r>
    <r>
      <rPr>
        <sz val="8"/>
        <color rgb="FF595959"/>
        <rFont val="Arial"/>
        <family val="0"/>
        <charset val="1"/>
      </rPr>
      <t xml:space="preserve">p.1/9</t>
    </r>
  </si>
  <si>
    <t xml:space="preserve">12V9</t>
  </si>
  <si>
    <r>
      <rPr>
        <sz val="9"/>
        <color rgb="FF000000"/>
        <rFont val="Noto Sans CJK SC"/>
        <family val="2"/>
      </rPr>
      <t xml:space="preserve">초경</t>
    </r>
    <r>
      <rPr>
        <sz val="9"/>
        <color rgb="FF000000"/>
        <rFont val="Arial"/>
        <family val="0"/>
        <charset val="1"/>
      </rPr>
      <t xml:space="preserve">(WC-Co)</t>
    </r>
  </si>
  <si>
    <r>
      <rPr>
        <sz val="9"/>
        <color rgb="FF44546A"/>
        <rFont val="Arial"/>
        <family val="0"/>
        <charset val="1"/>
      </rPr>
      <t xml:space="preserve">D: D91, D76, D64, D54, D46 … (9</t>
    </r>
    <r>
      <rPr>
        <sz val="9"/>
        <color rgb="FF44546A"/>
        <rFont val="Noto Sans CJK SC"/>
        <family val="2"/>
      </rPr>
      <t xml:space="preserve">종</t>
    </r>
    <r>
      <rPr>
        <sz val="9"/>
        <color rgb="FF44546A"/>
        <rFont val="Arial"/>
        <family val="0"/>
        <charset val="1"/>
      </rPr>
      <t xml:space="preserve">)</t>
    </r>
  </si>
  <si>
    <t xml:space="preserve">D100: 4,775
D125: 3,820
D150: 3,183</t>
  </si>
  <si>
    <t xml:space="preserve">D100: 5,730
D125: 4,584
D150: 3,820</t>
  </si>
  <si>
    <t xml:space="preserve">D100: 6,685
D125: 5,348
D150: 4,456</t>
  </si>
  <si>
    <r>
      <rPr>
        <sz val="8"/>
        <color rgb="FF44546A"/>
        <rFont val="Arial"/>
        <family val="0"/>
        <charset val="1"/>
      </rPr>
      <t xml:space="preserve">12V9 — </t>
    </r>
    <r>
      <rPr>
        <sz val="8"/>
        <color rgb="FF44546A"/>
        <rFont val="Noto Sans CJK SC"/>
        <family val="2"/>
      </rPr>
      <t xml:space="preserve">더 큰 </t>
    </r>
    <r>
      <rPr>
        <sz val="8"/>
        <color rgb="FF44546A"/>
        <rFont val="Arial"/>
        <family val="0"/>
        <charset val="1"/>
      </rPr>
      <t xml:space="preserve">V</t>
    </r>
    <r>
      <rPr>
        <sz val="8"/>
        <color rgb="FF44546A"/>
        <rFont val="Noto Sans CJK SC"/>
        <family val="2"/>
      </rPr>
      <t xml:space="preserve">각도</t>
    </r>
    <r>
      <rPr>
        <sz val="8"/>
        <color rgb="FF44546A"/>
        <rFont val="Arial"/>
        <family val="0"/>
        <charset val="1"/>
      </rPr>
      <t xml:space="preserve">(45°). </t>
    </r>
    <r>
      <rPr>
        <sz val="8"/>
        <color rgb="FF44546A"/>
        <rFont val="Noto Sans CJK SC"/>
        <family val="2"/>
      </rPr>
      <t xml:space="preserve">초경 전용</t>
    </r>
    <r>
      <rPr>
        <sz val="8"/>
        <color rgb="FF44546A"/>
        <rFont val="Arial"/>
        <family val="0"/>
        <charset val="1"/>
      </rPr>
      <t xml:space="preserve">(Diamond grit</t>
    </r>
    <r>
      <rPr>
        <sz val="8"/>
        <color rgb="FF44546A"/>
        <rFont val="Noto Sans CJK SC"/>
        <family val="2"/>
      </rPr>
      <t xml:space="preserve">만 제공</t>
    </r>
    <r>
      <rPr>
        <sz val="8"/>
        <color rgb="FF44546A"/>
        <rFont val="Arial"/>
        <family val="0"/>
        <charset val="1"/>
      </rPr>
      <t xml:space="preserve">)</t>
    </r>
  </si>
  <si>
    <r>
      <rPr>
        <sz val="8"/>
        <color rgb="FF595959"/>
        <rFont val="Arial"/>
        <family val="0"/>
        <charset val="1"/>
      </rPr>
      <t xml:space="preserve">Marinescu 2016 ch.4; </t>
    </r>
    <r>
      <rPr>
        <sz val="8"/>
        <color rgb="FF595959"/>
        <rFont val="Noto Sans CJK SC"/>
        <family val="2"/>
      </rPr>
      <t xml:space="preserve">홍익 카탈로그 </t>
    </r>
    <r>
      <rPr>
        <sz val="8"/>
        <color rgb="FF595959"/>
        <rFont val="Arial"/>
        <family val="0"/>
        <charset val="1"/>
      </rPr>
      <t xml:space="preserve">p.2/10</t>
    </r>
  </si>
  <si>
    <r>
      <rPr>
        <b val="true"/>
        <sz val="10"/>
        <color rgb="FFFFFFFF"/>
        <rFont val="Noto Sans CJK SC"/>
        <family val="2"/>
      </rPr>
      <t xml:space="preserve">▌ 플루트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게시 연삭</t>
    </r>
  </si>
  <si>
    <t xml:space="preserve">1A1</t>
  </si>
  <si>
    <r>
      <rPr>
        <sz val="9"/>
        <color rgb="FF000000"/>
        <rFont val="Noto Sans CJK SC"/>
        <family val="2"/>
      </rPr>
      <t xml:space="preserve">플루트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게시 연삭</t>
    </r>
  </si>
  <si>
    <r>
      <rPr>
        <sz val="9"/>
        <color rgb="FF44546A"/>
        <rFont val="Arial"/>
        <family val="0"/>
        <charset val="1"/>
      </rPr>
      <t xml:space="preserve">D: D91, D76, D64, D54, D46
B: B126, B107, B91, B76 … (7</t>
    </r>
    <r>
      <rPr>
        <sz val="9"/>
        <color rgb="FF44546A"/>
        <rFont val="Noto Sans CJK SC"/>
        <family val="2"/>
      </rPr>
      <t xml:space="preserve">종</t>
    </r>
    <r>
      <rPr>
        <sz val="9"/>
        <color rgb="FF44546A"/>
        <rFont val="Arial"/>
        <family val="0"/>
        <charset val="1"/>
      </rPr>
      <t xml:space="preserve">)</t>
    </r>
  </si>
  <si>
    <r>
      <rPr>
        <sz val="8"/>
        <color rgb="FF44546A"/>
        <rFont val="Noto Sans CJK SC"/>
        <family val="2"/>
      </rPr>
      <t xml:space="preserve">평형</t>
    </r>
    <r>
      <rPr>
        <sz val="8"/>
        <color rgb="FF44546A"/>
        <rFont val="Arial"/>
        <family val="0"/>
        <charset val="1"/>
      </rPr>
      <t xml:space="preserve">(Flat) </t>
    </r>
    <r>
      <rPr>
        <sz val="8"/>
        <color rgb="FF44546A"/>
        <rFont val="Noto Sans CJK SC"/>
        <family val="2"/>
      </rPr>
      <t xml:space="preserve">휠 — 플루트 연삭 기본형</t>
    </r>
    <r>
      <rPr>
        <sz val="8"/>
        <color rgb="FF44546A"/>
        <rFont val="Arial"/>
        <family val="0"/>
        <charset val="1"/>
      </rPr>
      <t xml:space="preserve">. D/B </t>
    </r>
    <r>
      <rPr>
        <sz val="8"/>
        <color rgb="FF44546A"/>
        <rFont val="Noto Sans CJK SC"/>
        <family val="2"/>
      </rPr>
      <t xml:space="preserve">그릿 동시 제공</t>
    </r>
  </si>
  <si>
    <r>
      <rPr>
        <sz val="8"/>
        <color rgb="FF595959"/>
        <rFont val="Arial"/>
        <family val="0"/>
        <charset val="1"/>
      </rPr>
      <t xml:space="preserve">Marinescu 2016 ch.4; Malkin 2008; </t>
    </r>
    <r>
      <rPr>
        <sz val="8"/>
        <color rgb="FF595959"/>
        <rFont val="Noto Sans CJK SC"/>
        <family val="2"/>
      </rPr>
      <t xml:space="preserve">홍익 카탈로그 </t>
    </r>
    <r>
      <rPr>
        <sz val="8"/>
        <color rgb="FF595959"/>
        <rFont val="Arial"/>
        <family val="0"/>
        <charset val="1"/>
      </rPr>
      <t xml:space="preserve">p.3</t>
    </r>
  </si>
  <si>
    <t xml:space="preserve">3A1</t>
  </si>
  <si>
    <r>
      <rPr>
        <sz val="9"/>
        <color rgb="FF44546A"/>
        <rFont val="Arial"/>
        <family val="0"/>
        <charset val="1"/>
      </rPr>
      <t xml:space="preserve">D: D91, D76, D64, D54, D46 … (9</t>
    </r>
    <r>
      <rPr>
        <sz val="9"/>
        <color rgb="FF44546A"/>
        <rFont val="Noto Sans CJK SC"/>
        <family val="2"/>
      </rPr>
      <t xml:space="preserve">종</t>
    </r>
    <r>
      <rPr>
        <sz val="9"/>
        <color rgb="FF44546A"/>
        <rFont val="Arial"/>
        <family val="0"/>
        <charset val="1"/>
      </rPr>
      <t xml:space="preserve">)
B: B91, B76, B64, B54 … (5</t>
    </r>
    <r>
      <rPr>
        <sz val="9"/>
        <color rgb="FF44546A"/>
        <rFont val="Noto Sans CJK SC"/>
        <family val="2"/>
      </rPr>
      <t xml:space="preserve">종</t>
    </r>
    <r>
      <rPr>
        <sz val="9"/>
        <color rgb="FF44546A"/>
        <rFont val="Arial"/>
        <family val="0"/>
        <charset val="1"/>
      </rPr>
      <t xml:space="preserve">)</t>
    </r>
  </si>
  <si>
    <r>
      <rPr>
        <sz val="8"/>
        <color rgb="FF44546A"/>
        <rFont val="Noto Sans CJK SC"/>
        <family val="2"/>
      </rPr>
      <t xml:space="preserve">엣지 포함 복합형</t>
    </r>
    <r>
      <rPr>
        <sz val="8"/>
        <color rgb="FF44546A"/>
        <rFont val="Arial"/>
        <family val="0"/>
        <charset val="1"/>
      </rPr>
      <t xml:space="preserve">. U</t>
    </r>
    <r>
      <rPr>
        <sz val="8"/>
        <color rgb="FF44546A"/>
        <rFont val="Noto Sans CJK SC"/>
        <family val="2"/>
      </rPr>
      <t xml:space="preserve">홈</t>
    </r>
    <r>
      <rPr>
        <sz val="8"/>
        <color rgb="FF44546A"/>
        <rFont val="Arial"/>
        <family val="0"/>
        <charset val="1"/>
      </rPr>
      <t xml:space="preserve">(1~6mm) → </t>
    </r>
    <r>
      <rPr>
        <sz val="8"/>
        <color rgb="FF44546A"/>
        <rFont val="Noto Sans CJK SC"/>
        <family val="2"/>
      </rPr>
      <t xml:space="preserve">소경</t>
    </r>
    <r>
      <rPr>
        <sz val="8"/>
        <color rgb="FF44546A"/>
        <rFont val="Arial"/>
        <family val="0"/>
        <charset val="1"/>
      </rPr>
      <t xml:space="preserve">~</t>
    </r>
    <r>
      <rPr>
        <sz val="8"/>
        <color rgb="FF44546A"/>
        <rFont val="Noto Sans CJK SC"/>
        <family val="2"/>
      </rPr>
      <t xml:space="preserve">중경 엔드밀 플루트</t>
    </r>
  </si>
  <si>
    <r>
      <rPr>
        <sz val="8"/>
        <color rgb="FF595959"/>
        <rFont val="Arial"/>
        <family val="0"/>
        <charset val="1"/>
      </rPr>
      <t xml:space="preserve">Marinescu 2016 ch.4; </t>
    </r>
    <r>
      <rPr>
        <sz val="8"/>
        <color rgb="FF595959"/>
        <rFont val="Noto Sans CJK SC"/>
        <family val="2"/>
      </rPr>
      <t xml:space="preserve">홍익 카탈로그 </t>
    </r>
    <r>
      <rPr>
        <sz val="8"/>
        <color rgb="FF595959"/>
        <rFont val="Arial"/>
        <family val="0"/>
        <charset val="1"/>
      </rPr>
      <t xml:space="preserve">p.4</t>
    </r>
  </si>
  <si>
    <t xml:space="preserve">14A1</t>
  </si>
  <si>
    <r>
      <rPr>
        <sz val="8"/>
        <color rgb="FF44546A"/>
        <rFont val="Arial"/>
        <family val="0"/>
        <charset val="1"/>
      </rPr>
      <t xml:space="preserve">14° </t>
    </r>
    <r>
      <rPr>
        <sz val="8"/>
        <color rgb="FF44546A"/>
        <rFont val="Noto Sans CJK SC"/>
        <family val="2"/>
      </rPr>
      <t xml:space="preserve">경사면 포함 — 레이크각 제어 정밀 플루트 연삭</t>
    </r>
  </si>
  <si>
    <r>
      <rPr>
        <sz val="8"/>
        <color rgb="FF595959"/>
        <rFont val="Arial"/>
        <family val="0"/>
        <charset val="1"/>
      </rPr>
      <t xml:space="preserve">Marinescu 2016 ch.4; </t>
    </r>
    <r>
      <rPr>
        <sz val="8"/>
        <color rgb="FF595959"/>
        <rFont val="Noto Sans CJK SC"/>
        <family val="2"/>
      </rPr>
      <t xml:space="preserve">홍익 카탈로그 </t>
    </r>
    <r>
      <rPr>
        <sz val="8"/>
        <color rgb="FF595959"/>
        <rFont val="Arial"/>
        <family val="0"/>
        <charset val="1"/>
      </rPr>
      <t xml:space="preserve">p.5</t>
    </r>
  </si>
  <si>
    <t xml:space="preserve">1V1</t>
  </si>
  <si>
    <r>
      <rPr>
        <sz val="8"/>
        <color rgb="FF44546A"/>
        <rFont val="Arial"/>
        <family val="0"/>
        <charset val="1"/>
      </rPr>
      <t xml:space="preserve">V</t>
    </r>
    <r>
      <rPr>
        <sz val="8"/>
        <color rgb="FF44546A"/>
        <rFont val="Noto Sans CJK SC"/>
        <family val="2"/>
      </rPr>
      <t xml:space="preserve">홈</t>
    </r>
    <r>
      <rPr>
        <sz val="8"/>
        <color rgb="FF44546A"/>
        <rFont val="Arial"/>
        <family val="0"/>
        <charset val="1"/>
      </rPr>
      <t xml:space="preserve">(5~45mm) </t>
    </r>
    <r>
      <rPr>
        <sz val="8"/>
        <color rgb="FF44546A"/>
        <rFont val="Noto Sans CJK SC"/>
        <family val="2"/>
      </rPr>
      <t xml:space="preserve">일체형</t>
    </r>
    <r>
      <rPr>
        <sz val="8"/>
        <color rgb="FF44546A"/>
        <rFont val="Arial"/>
        <family val="0"/>
        <charset val="1"/>
      </rPr>
      <t xml:space="preserve">. </t>
    </r>
    <r>
      <rPr>
        <sz val="8"/>
        <color rgb="FF44546A"/>
        <rFont val="Noto Sans CJK SC"/>
        <family val="2"/>
      </rPr>
      <t xml:space="preserve">플루트 깊이 제어 용이</t>
    </r>
  </si>
  <si>
    <r>
      <rPr>
        <sz val="8"/>
        <color rgb="FF595959"/>
        <rFont val="Arial"/>
        <family val="0"/>
        <charset val="1"/>
      </rPr>
      <t xml:space="preserve">Marinescu 2016 ch.4; </t>
    </r>
    <r>
      <rPr>
        <sz val="8"/>
        <color rgb="FF595959"/>
        <rFont val="Noto Sans CJK SC"/>
        <family val="2"/>
      </rPr>
      <t xml:space="preserve">홍익 카탈로그 </t>
    </r>
    <r>
      <rPr>
        <sz val="8"/>
        <color rgb="FF595959"/>
        <rFont val="Arial"/>
        <family val="0"/>
        <charset val="1"/>
      </rPr>
      <t xml:space="preserve">p.6</t>
    </r>
  </si>
  <si>
    <t xml:space="preserve">3V1</t>
  </si>
  <si>
    <r>
      <rPr>
        <sz val="8"/>
        <color rgb="FF44546A"/>
        <rFont val="Arial"/>
        <family val="0"/>
        <charset val="1"/>
      </rPr>
      <t xml:space="preserve">V+U </t>
    </r>
    <r>
      <rPr>
        <sz val="8"/>
        <color rgb="FF44546A"/>
        <rFont val="Noto Sans CJK SC"/>
        <family val="2"/>
      </rPr>
      <t xml:space="preserve">복합홈</t>
    </r>
    <r>
      <rPr>
        <sz val="8"/>
        <color rgb="FF44546A"/>
        <rFont val="Arial"/>
        <family val="0"/>
        <charset val="1"/>
      </rPr>
      <t xml:space="preserve">. 3A1 </t>
    </r>
    <r>
      <rPr>
        <sz val="8"/>
        <color rgb="FF44546A"/>
        <rFont val="Noto Sans CJK SC"/>
        <family val="2"/>
      </rPr>
      <t xml:space="preserve">대비 </t>
    </r>
    <r>
      <rPr>
        <sz val="8"/>
        <color rgb="FF44546A"/>
        <rFont val="Arial"/>
        <family val="0"/>
        <charset val="1"/>
      </rPr>
      <t xml:space="preserve">V</t>
    </r>
    <r>
      <rPr>
        <sz val="8"/>
        <color rgb="FF44546A"/>
        <rFont val="Noto Sans CJK SC"/>
        <family val="2"/>
      </rPr>
      <t xml:space="preserve">홈 추가 → 복잡형상 플루트</t>
    </r>
  </si>
  <si>
    <r>
      <rPr>
        <sz val="8"/>
        <color rgb="FF595959"/>
        <rFont val="Arial"/>
        <family val="0"/>
        <charset val="1"/>
      </rPr>
      <t xml:space="preserve">Marinescu 2016 ch.4; </t>
    </r>
    <r>
      <rPr>
        <sz val="8"/>
        <color rgb="FF595959"/>
        <rFont val="Noto Sans CJK SC"/>
        <family val="2"/>
      </rPr>
      <t xml:space="preserve">홍익 카탈로그 </t>
    </r>
    <r>
      <rPr>
        <sz val="8"/>
        <color rgb="FF595959"/>
        <rFont val="Arial"/>
        <family val="0"/>
        <charset val="1"/>
      </rPr>
      <t xml:space="preserve">p.7</t>
    </r>
  </si>
  <si>
    <t xml:space="preserve">14V1</t>
  </si>
  <si>
    <r>
      <rPr>
        <sz val="8"/>
        <color rgb="FF44546A"/>
        <rFont val="Arial"/>
        <family val="0"/>
        <charset val="1"/>
      </rPr>
      <t xml:space="preserve">14° + V</t>
    </r>
    <r>
      <rPr>
        <sz val="8"/>
        <color rgb="FF44546A"/>
        <rFont val="Noto Sans CJK SC"/>
        <family val="2"/>
      </rPr>
      <t xml:space="preserve">홈 조합</t>
    </r>
    <r>
      <rPr>
        <sz val="8"/>
        <color rgb="FF44546A"/>
        <rFont val="Arial"/>
        <family val="0"/>
        <charset val="1"/>
      </rPr>
      <t xml:space="preserve">. </t>
    </r>
    <r>
      <rPr>
        <sz val="8"/>
        <color rgb="FF44546A"/>
        <rFont val="Noto Sans CJK SC"/>
        <family val="2"/>
      </rPr>
      <t xml:space="preserve">레이크각 </t>
    </r>
    <r>
      <rPr>
        <sz val="8"/>
        <color rgb="FF44546A"/>
        <rFont val="Arial"/>
        <family val="0"/>
        <charset val="1"/>
      </rPr>
      <t xml:space="preserve">+ </t>
    </r>
    <r>
      <rPr>
        <sz val="8"/>
        <color rgb="FF44546A"/>
        <rFont val="Noto Sans CJK SC"/>
        <family val="2"/>
      </rPr>
      <t xml:space="preserve">플루트 깊이 동시 제어</t>
    </r>
  </si>
  <si>
    <r>
      <rPr>
        <sz val="8"/>
        <color rgb="FF595959"/>
        <rFont val="Arial"/>
        <family val="0"/>
        <charset val="1"/>
      </rPr>
      <t xml:space="preserve">Marinescu 2016 ch.4; </t>
    </r>
    <r>
      <rPr>
        <sz val="8"/>
        <color rgb="FF595959"/>
        <rFont val="Noto Sans CJK SC"/>
        <family val="2"/>
      </rPr>
      <t xml:space="preserve">홍익 카탈로그 </t>
    </r>
    <r>
      <rPr>
        <sz val="8"/>
        <color rgb="FF595959"/>
        <rFont val="Arial"/>
        <family val="0"/>
        <charset val="1"/>
      </rPr>
      <t xml:space="preserve">p.8</t>
    </r>
  </si>
  <si>
    <t xml:space="preserve">6A2</t>
  </si>
  <si>
    <t xml:space="preserve">Vitrified</t>
  </si>
  <si>
    <r>
      <rPr>
        <sz val="9"/>
        <color rgb="FF000000"/>
        <rFont val="Noto Sans CJK SC"/>
        <family val="2"/>
      </rPr>
      <t xml:space="preserve">초경</t>
    </r>
    <r>
      <rPr>
        <sz val="9"/>
        <color rgb="FF000000"/>
        <rFont val="Arial"/>
        <family val="0"/>
        <charset val="1"/>
      </rPr>
      <t xml:space="preserve">(WC-Co) / </t>
    </r>
    <r>
      <rPr>
        <sz val="9"/>
        <color rgb="FF000000"/>
        <rFont val="Noto Sans CJK SC"/>
        <family val="2"/>
      </rPr>
      <t xml:space="preserve">세라믹</t>
    </r>
  </si>
  <si>
    <r>
      <rPr>
        <sz val="9"/>
        <color rgb="FF44546A"/>
        <rFont val="Arial"/>
        <family val="0"/>
        <charset val="1"/>
      </rPr>
      <t xml:space="preserve">D: D46, D30, D20, D15, D12 … (7</t>
    </r>
    <r>
      <rPr>
        <sz val="9"/>
        <color rgb="FF44546A"/>
        <rFont val="Noto Sans CJK SC"/>
        <family val="2"/>
      </rPr>
      <t xml:space="preserve">종</t>
    </r>
    <r>
      <rPr>
        <sz val="9"/>
        <color rgb="FF44546A"/>
        <rFont val="Arial"/>
        <family val="0"/>
        <charset val="1"/>
      </rPr>
      <t xml:space="preserve">)</t>
    </r>
  </si>
  <si>
    <t xml:space="preserve">D150: 3,183</t>
  </si>
  <si>
    <t xml:space="preserve">D150: 4,456</t>
  </si>
  <si>
    <t xml:space="preserve">D150: 5,730</t>
  </si>
  <si>
    <r>
      <rPr>
        <sz val="8"/>
        <color rgb="FF44546A"/>
        <rFont val="Arial"/>
        <family val="0"/>
        <charset val="1"/>
      </rPr>
      <t xml:space="preserve">⚡ Vitrified — Vc </t>
    </r>
    <r>
      <rPr>
        <sz val="8"/>
        <color rgb="FF44546A"/>
        <rFont val="Noto Sans CJK SC"/>
        <family val="2"/>
      </rPr>
      <t xml:space="preserve">범위 </t>
    </r>
    <r>
      <rPr>
        <sz val="8"/>
        <color rgb="FF44546A"/>
        <rFont val="Arial"/>
        <family val="0"/>
        <charset val="1"/>
      </rPr>
      <t xml:space="preserve">Resin</t>
    </r>
    <r>
      <rPr>
        <sz val="8"/>
        <color rgb="FF44546A"/>
        <rFont val="Noto Sans CJK SC"/>
        <family val="2"/>
      </rPr>
      <t xml:space="preserve">과 다름</t>
    </r>
    <r>
      <rPr>
        <sz val="8"/>
        <color rgb="FF44546A"/>
        <rFont val="Arial"/>
        <family val="0"/>
        <charset val="1"/>
      </rPr>
      <t xml:space="preserve">. </t>
    </r>
    <r>
      <rPr>
        <sz val="8"/>
        <color rgb="FF44546A"/>
        <rFont val="Noto Sans CJK SC"/>
        <family val="2"/>
      </rPr>
      <t xml:space="preserve">고속 가능하나 </t>
    </r>
    <r>
      <rPr>
        <sz val="8"/>
        <color rgb="FF44546A"/>
        <rFont val="Arial"/>
        <family val="0"/>
        <charset val="1"/>
      </rPr>
      <t xml:space="preserve">Vmax </t>
    </r>
    <r>
      <rPr>
        <sz val="8"/>
        <color rgb="FF44546A"/>
        <rFont val="Noto Sans CJK SC"/>
        <family val="2"/>
      </rPr>
      <t xml:space="preserve">스티커 필수 확인</t>
    </r>
  </si>
  <si>
    <r>
      <rPr>
        <sz val="8"/>
        <color rgb="FF595959"/>
        <rFont val="Arial"/>
        <family val="0"/>
        <charset val="1"/>
      </rPr>
      <t xml:space="preserve">Rowe 2014 ch.6; ISO 12413:2019; </t>
    </r>
    <r>
      <rPr>
        <sz val="8"/>
        <color rgb="FF595959"/>
        <rFont val="Noto Sans CJK SC"/>
        <family val="2"/>
      </rPr>
      <t xml:space="preserve">홍익 카탈로그 </t>
    </r>
    <r>
      <rPr>
        <sz val="8"/>
        <color rgb="FF595959"/>
        <rFont val="Arial"/>
        <family val="0"/>
        <charset val="1"/>
      </rPr>
      <t xml:space="preserve">p.13</t>
    </r>
  </si>
  <si>
    <r>
      <rPr>
        <b val="true"/>
        <sz val="10"/>
        <color rgb="FFFFFFFF"/>
        <rFont val="Arial"/>
        <family val="0"/>
        <charset val="1"/>
      </rPr>
      <t xml:space="preserve">▌ OD / </t>
    </r>
    <r>
      <rPr>
        <b val="true"/>
        <sz val="10"/>
        <color rgb="FFFFFFFF"/>
        <rFont val="Noto Sans CJK SC"/>
        <family val="2"/>
      </rPr>
      <t xml:space="preserve">외경 연삭</t>
    </r>
  </si>
  <si>
    <t xml:space="preserve">11V5</t>
  </si>
  <si>
    <t xml:space="preserve">Resin</t>
  </si>
  <si>
    <r>
      <rPr>
        <sz val="9"/>
        <color rgb="FF000000"/>
        <rFont val="Arial"/>
        <family val="0"/>
        <charset val="1"/>
      </rPr>
      <t xml:space="preserve">OD / </t>
    </r>
    <r>
      <rPr>
        <sz val="9"/>
        <color rgb="FF000000"/>
        <rFont val="Noto Sans CJK SC"/>
        <family val="2"/>
      </rPr>
      <t xml:space="preserve">외경 연삭</t>
    </r>
  </si>
  <si>
    <r>
      <rPr>
        <sz val="9"/>
        <color rgb="FF44546A"/>
        <rFont val="Arial"/>
        <family val="0"/>
        <charset val="1"/>
      </rPr>
      <t xml:space="preserve">D: D64, D54, D46, D38, D35 … (8</t>
    </r>
    <r>
      <rPr>
        <sz val="9"/>
        <color rgb="FF44546A"/>
        <rFont val="Noto Sans CJK SC"/>
        <family val="2"/>
      </rPr>
      <t xml:space="preserve">종</t>
    </r>
    <r>
      <rPr>
        <sz val="9"/>
        <color rgb="FF44546A"/>
        <rFont val="Arial"/>
        <family val="0"/>
        <charset val="1"/>
      </rPr>
      <t xml:space="preserve">)
B: B91, B76, B64, B54 … (5</t>
    </r>
    <r>
      <rPr>
        <sz val="9"/>
        <color rgb="FF44546A"/>
        <rFont val="Noto Sans CJK SC"/>
        <family val="2"/>
      </rPr>
      <t xml:space="preserve">종</t>
    </r>
    <r>
      <rPr>
        <sz val="9"/>
        <color rgb="FF44546A"/>
        <rFont val="Arial"/>
        <family val="0"/>
        <charset val="1"/>
      </rPr>
      <t xml:space="preserve">)</t>
    </r>
  </si>
  <si>
    <t xml:space="preserve">D75: 6,366
D100: 4,775
D125: 3,820</t>
  </si>
  <si>
    <t xml:space="preserve">D75: 7,639
D100: 5,730
D125: 4,584</t>
  </si>
  <si>
    <t xml:space="preserve">D75: 8,913
D100: 6,685
D125: 5,348</t>
  </si>
  <si>
    <r>
      <rPr>
        <sz val="8"/>
        <color rgb="FF44546A"/>
        <rFont val="Noto Sans CJK SC"/>
        <family val="2"/>
      </rPr>
      <t xml:space="preserve">외경 연삭 전용</t>
    </r>
    <r>
      <rPr>
        <sz val="8"/>
        <color rgb="FF44546A"/>
        <rFont val="Arial"/>
        <family val="0"/>
        <charset val="1"/>
      </rPr>
      <t xml:space="preserve">. W(</t>
    </r>
    <r>
      <rPr>
        <sz val="8"/>
        <color rgb="FF44546A"/>
        <rFont val="Noto Sans CJK SC"/>
        <family val="2"/>
      </rPr>
      <t xml:space="preserve">폭</t>
    </r>
    <r>
      <rPr>
        <sz val="8"/>
        <color rgb="FF44546A"/>
        <rFont val="Arial"/>
        <family val="0"/>
        <charset val="1"/>
      </rPr>
      <t xml:space="preserve">) 3~10mm </t>
    </r>
    <r>
      <rPr>
        <sz val="8"/>
        <color rgb="FF44546A"/>
        <rFont val="Noto Sans CJK SC"/>
        <family val="2"/>
      </rPr>
      <t xml:space="preserve">선택 → 접촉면적 제어</t>
    </r>
  </si>
  <si>
    <r>
      <rPr>
        <sz val="8"/>
        <color rgb="FF595959"/>
        <rFont val="Arial"/>
        <family val="0"/>
        <charset val="1"/>
      </rPr>
      <t xml:space="preserve">Marinescu 2016 ch.4; </t>
    </r>
    <r>
      <rPr>
        <sz val="8"/>
        <color rgb="FF595959"/>
        <rFont val="Noto Sans CJK SC"/>
        <family val="2"/>
      </rPr>
      <t xml:space="preserve">홍익 카탈로그 </t>
    </r>
    <r>
      <rPr>
        <sz val="8"/>
        <color rgb="FF595959"/>
        <rFont val="Arial"/>
        <family val="0"/>
        <charset val="1"/>
      </rPr>
      <t xml:space="preserve">p.11</t>
    </r>
  </si>
  <si>
    <r>
      <rPr>
        <b val="true"/>
        <sz val="10"/>
        <color rgb="FFFFFFFF"/>
        <rFont val="Noto Sans CJK SC"/>
        <family val="2"/>
      </rPr>
      <t xml:space="preserve">▌ 원통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단차 연삭</t>
    </r>
  </si>
  <si>
    <t xml:space="preserve">4B1</t>
  </si>
  <si>
    <t xml:space="preserve">Resin / Metal</t>
  </si>
  <si>
    <r>
      <rPr>
        <sz val="9"/>
        <color rgb="FF000000"/>
        <rFont val="Noto Sans CJK SC"/>
        <family val="2"/>
      </rPr>
      <t xml:space="preserve">원통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단차 연삭</t>
    </r>
  </si>
  <si>
    <r>
      <rPr>
        <sz val="9"/>
        <color rgb="FF44546A"/>
        <rFont val="Arial"/>
        <family val="0"/>
        <charset val="1"/>
      </rPr>
      <t xml:space="preserve">D: D91, D76, D64, D30, D20 … (8</t>
    </r>
    <r>
      <rPr>
        <sz val="9"/>
        <color rgb="FF44546A"/>
        <rFont val="Noto Sans CJK SC"/>
        <family val="2"/>
      </rPr>
      <t xml:space="preserve">종</t>
    </r>
    <r>
      <rPr>
        <sz val="9"/>
        <color rgb="FF44546A"/>
        <rFont val="Arial"/>
        <family val="0"/>
        <charset val="1"/>
      </rPr>
      <t xml:space="preserve">)</t>
    </r>
  </si>
  <si>
    <t xml:space="preserve">D150: 2,292
D200: 1,719
D250: 1,375</t>
  </si>
  <si>
    <t xml:space="preserve">D150: 3,183
D200: 2,387
D250: 1,910</t>
  </si>
  <si>
    <t xml:space="preserve">D150: 4,456
D200: 3,342
D250: 2,674</t>
  </si>
  <si>
    <r>
      <rPr>
        <sz val="8"/>
        <color rgb="FF44546A"/>
        <rFont val="Arial"/>
        <family val="0"/>
        <charset val="1"/>
      </rPr>
      <t xml:space="preserve">⚠ Metal bond </t>
    </r>
    <r>
      <rPr>
        <sz val="8"/>
        <color rgb="FF44546A"/>
        <rFont val="Noto Sans CJK SC"/>
        <family val="2"/>
      </rPr>
      <t xml:space="preserve">포함 → </t>
    </r>
    <r>
      <rPr>
        <sz val="8"/>
        <color rgb="FF44546A"/>
        <rFont val="Arial"/>
        <family val="0"/>
        <charset val="1"/>
      </rPr>
      <t xml:space="preserve">Vc </t>
    </r>
    <r>
      <rPr>
        <sz val="8"/>
        <color rgb="FF44546A"/>
        <rFont val="Noto Sans CJK SC"/>
        <family val="2"/>
      </rPr>
      <t xml:space="preserve">하한 </t>
    </r>
    <r>
      <rPr>
        <sz val="8"/>
        <color rgb="FF44546A"/>
        <rFont val="Arial"/>
        <family val="0"/>
        <charset val="1"/>
      </rPr>
      <t xml:space="preserve">18 m/s. </t>
    </r>
    <r>
      <rPr>
        <sz val="8"/>
        <color rgb="FF44546A"/>
        <rFont val="Noto Sans CJK SC"/>
        <family val="2"/>
      </rPr>
      <t xml:space="preserve">황삭</t>
    </r>
    <r>
      <rPr>
        <sz val="8"/>
        <color rgb="FF44546A"/>
        <rFont val="Arial"/>
        <family val="0"/>
        <charset val="1"/>
      </rPr>
      <t xml:space="preserve">(D91~D76) + </t>
    </r>
    <r>
      <rPr>
        <sz val="8"/>
        <color rgb="FF44546A"/>
        <rFont val="Noto Sans CJK SC"/>
        <family val="2"/>
      </rPr>
      <t xml:space="preserve">정삭</t>
    </r>
    <r>
      <rPr>
        <sz val="8"/>
        <color rgb="FF44546A"/>
        <rFont val="Arial"/>
        <family val="0"/>
        <charset val="1"/>
      </rPr>
      <t xml:space="preserve">(D30~D8) </t>
    </r>
    <r>
      <rPr>
        <sz val="8"/>
        <color rgb="FF44546A"/>
        <rFont val="Noto Sans CJK SC"/>
        <family val="2"/>
      </rPr>
      <t xml:space="preserve">분리 운용</t>
    </r>
  </si>
  <si>
    <r>
      <rPr>
        <sz val="8"/>
        <color rgb="FF595959"/>
        <rFont val="Arial"/>
        <family val="0"/>
        <charset val="1"/>
      </rPr>
      <t xml:space="preserve">Marinescu 2016; Rowe 2014; </t>
    </r>
    <r>
      <rPr>
        <sz val="8"/>
        <color rgb="FF595959"/>
        <rFont val="Noto Sans CJK SC"/>
        <family val="2"/>
      </rPr>
      <t xml:space="preserve">홍익 카탈로그 </t>
    </r>
    <r>
      <rPr>
        <sz val="8"/>
        <color rgb="FF595959"/>
        <rFont val="Arial"/>
        <family val="0"/>
        <charset val="1"/>
      </rPr>
      <t xml:space="preserve">p.12</t>
    </r>
  </si>
  <si>
    <r>
      <rPr>
        <b val="true"/>
        <sz val="10"/>
        <color rgb="FFFFFFFF"/>
        <rFont val="Noto Sans CJK SC"/>
        <family val="2"/>
      </rPr>
      <t xml:space="preserve">▌ 엣지 </t>
    </r>
    <r>
      <rPr>
        <b val="true"/>
        <sz val="10"/>
        <color rgb="FFFFFFFF"/>
        <rFont val="Arial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주변 연삭</t>
    </r>
  </si>
  <si>
    <t xml:space="preserve">12A2</t>
  </si>
  <si>
    <r>
      <rPr>
        <sz val="9"/>
        <color rgb="FF000000"/>
        <rFont val="Noto Sans CJK SC"/>
        <family val="2"/>
      </rPr>
      <t xml:space="preserve">엣지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주변 연삭</t>
    </r>
  </si>
  <si>
    <t xml:space="preserve">D: D91, D76, D64, D54, D46</t>
  </si>
  <si>
    <t xml:space="preserve">D125: 3,820
D150: 3,183</t>
  </si>
  <si>
    <t xml:space="preserve">D125: 4,584
D150: 3,820</t>
  </si>
  <si>
    <t xml:space="preserve">D125: 5,348
D150: 4,456</t>
  </si>
  <si>
    <r>
      <rPr>
        <sz val="8"/>
        <color rgb="FF44546A"/>
        <rFont val="Noto Sans CJK SC"/>
        <family val="2"/>
      </rPr>
      <t xml:space="preserve">접시형</t>
    </r>
    <r>
      <rPr>
        <sz val="8"/>
        <color rgb="FF44546A"/>
        <rFont val="Arial"/>
        <family val="0"/>
        <charset val="1"/>
      </rPr>
      <t xml:space="preserve">(Dish). </t>
    </r>
    <r>
      <rPr>
        <sz val="8"/>
        <color rgb="FF44546A"/>
        <rFont val="Noto Sans CJK SC"/>
        <family val="2"/>
      </rPr>
      <t xml:space="preserve">엣지</t>
    </r>
    <r>
      <rPr>
        <sz val="8"/>
        <color rgb="FF44546A"/>
        <rFont val="Arial"/>
        <family val="0"/>
        <charset val="1"/>
      </rPr>
      <t xml:space="preserve">/</t>
    </r>
    <r>
      <rPr>
        <sz val="8"/>
        <color rgb="FF44546A"/>
        <rFont val="Noto Sans CJK SC"/>
        <family val="2"/>
      </rPr>
      <t xml:space="preserve">주변 마무리 연삭</t>
    </r>
    <r>
      <rPr>
        <sz val="8"/>
        <color rgb="FF44546A"/>
        <rFont val="Arial"/>
        <family val="0"/>
        <charset val="1"/>
      </rPr>
      <t xml:space="preserve">. </t>
    </r>
    <r>
      <rPr>
        <sz val="8"/>
        <color rgb="FF44546A"/>
        <rFont val="Noto Sans CJK SC"/>
        <family val="2"/>
      </rPr>
      <t xml:space="preserve">정삭 그릿 중심</t>
    </r>
  </si>
  <si>
    <r>
      <rPr>
        <sz val="8"/>
        <color rgb="FF595959"/>
        <rFont val="Arial"/>
        <family val="0"/>
        <charset val="1"/>
      </rPr>
      <t xml:space="preserve">Marinescu 2016 ch.4; </t>
    </r>
    <r>
      <rPr>
        <sz val="8"/>
        <color rgb="FF595959"/>
        <rFont val="Noto Sans CJK SC"/>
        <family val="2"/>
      </rPr>
      <t xml:space="preserve">홍익 카탈로그 </t>
    </r>
    <r>
      <rPr>
        <sz val="8"/>
        <color rgb="FF595959"/>
        <rFont val="Arial"/>
        <family val="0"/>
        <charset val="1"/>
      </rPr>
      <t xml:space="preserve">p.14</t>
    </r>
  </si>
  <si>
    <r>
      <rPr>
        <b val="true"/>
        <sz val="10"/>
        <color rgb="FFFFFFFF"/>
        <rFont val="Noto Sans CJK SC"/>
        <family val="2"/>
      </rPr>
      <t xml:space="preserve">▌ 보조표 — 형식 </t>
    </r>
    <r>
      <rPr>
        <b val="true"/>
        <sz val="10"/>
        <color rgb="FFFFFFFF"/>
        <rFont val="Arial"/>
        <family val="0"/>
        <charset val="1"/>
      </rPr>
      <t xml:space="preserve">× </t>
    </r>
    <r>
      <rPr>
        <b val="true"/>
        <sz val="10"/>
        <color rgb="FFFFFFFF"/>
        <rFont val="Noto Sans CJK SC"/>
        <family val="2"/>
      </rPr>
      <t xml:space="preserve">직경 전체 조합 </t>
    </r>
    <r>
      <rPr>
        <b val="true"/>
        <sz val="10"/>
        <color rgb="FFFFFFFF"/>
        <rFont val="Arial"/>
        <family val="0"/>
        <charset val="1"/>
      </rPr>
      <t xml:space="preserve">RPM (Vc = 25 / 30 / 35 m/s, Resin/Hybrid </t>
    </r>
    <r>
      <rPr>
        <b val="true"/>
        <sz val="10"/>
        <color rgb="FFFFFFFF"/>
        <rFont val="Noto Sans CJK SC"/>
        <family val="2"/>
      </rPr>
      <t xml:space="preserve">기준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</si>
  <si>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형식</t>
  </si>
  <si>
    <t xml:space="preserve">본드</t>
  </si>
  <si>
    <r>
      <rPr>
        <b val="true"/>
        <sz val="9"/>
        <color rgb="FFFFFFFF"/>
        <rFont val="Noto Sans CJK SC"/>
        <family val="2"/>
      </rPr>
      <t xml:space="preserve">직경 </t>
    </r>
    <r>
      <rPr>
        <b val="true"/>
        <sz val="9"/>
        <color rgb="FFFFFFFF"/>
        <rFont val="Arial"/>
        <family val="0"/>
        <charset val="1"/>
      </rPr>
      <t xml:space="preserve">D (mm)</t>
    </r>
  </si>
  <si>
    <r>
      <rPr>
        <b val="true"/>
        <sz val="9"/>
        <color rgb="FFFFFFFF"/>
        <rFont val="Arial"/>
        <family val="0"/>
        <charset val="1"/>
      </rPr>
      <t xml:space="preserve">Vc=25 RPM
(</t>
    </r>
    <r>
      <rPr>
        <b val="true"/>
        <sz val="9"/>
        <color rgb="FFFFFFFF"/>
        <rFont val="Noto Sans CJK SC"/>
        <family val="2"/>
      </rPr>
      <t xml:space="preserve">권장 최저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</si>
  <si>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Vc=28 RPM</t>
  </si>
  <si>
    <t xml:space="preserve">Vc=30 RPM
★Sweet Spot</t>
  </si>
  <si>
    <t xml:space="preserve">Vc=32 RPM</t>
  </si>
  <si>
    <r>
      <rPr>
        <b val="true"/>
        <sz val="9"/>
        <color rgb="FFFFFFFF"/>
        <rFont val="Arial"/>
        <family val="0"/>
        <charset val="1"/>
      </rPr>
      <t xml:space="preserve">Vc=35 RPM
(</t>
    </r>
    <r>
      <rPr>
        <b val="true"/>
        <sz val="9"/>
        <color rgb="FFFFFFFF"/>
        <rFont val="Noto Sans CJK SC"/>
        <family val="2"/>
      </rPr>
      <t xml:space="preserve">권장 상한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</si>
  <si>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Vc=40 RPM
(</t>
    </r>
    <r>
      <rPr>
        <b val="true"/>
        <sz val="9"/>
        <color rgb="FFFFFFFF"/>
        <rFont val="Noto Sans CJK SC"/>
        <family val="2"/>
      </rPr>
      <t xml:space="preserve">주의</t>
    </r>
    <r>
      <rPr>
        <b val="true"/>
        <sz val="9"/>
        <color rgb="FFFFFFFF"/>
        <rFont val="Arial"/>
        <family val="0"/>
        <charset val="1"/>
      </rPr>
      <t xml:space="preserve">)</t>
    </r>
  </si>
  <si>
    <r>
      <rPr>
        <b val="true"/>
        <sz val="9"/>
        <color rgb="FFFFFFFF"/>
        <rFont val="Arial"/>
        <family val="0"/>
        <charset val="1"/>
      </rPr>
      <t xml:space="preserve">Vmax</t>
    </r>
    <r>
      <rPr>
        <b val="true"/>
        <sz val="9"/>
        <color rgb="FFFFFFFF"/>
        <rFont val="Noto Sans CJK SC"/>
        <family val="2"/>
      </rPr>
      <t xml:space="preserve">초과
여부</t>
    </r>
    <r>
      <rPr>
        <b val="true"/>
        <sz val="9"/>
        <color rgb="FFFFFFFF"/>
        <rFont val="Arial"/>
        <family val="0"/>
        <charset val="1"/>
      </rPr>
      <t xml:space="preserve">(&gt;40)</t>
    </r>
  </si>
  <si>
    <t xml:space="preserve">그릿 예시</t>
  </si>
  <si>
    <r>
      <rPr>
        <b val="true"/>
        <sz val="9"/>
        <color rgb="FF006400"/>
        <rFont val="Noto Sans CJK SC"/>
        <family val="2"/>
      </rPr>
      <t xml:space="preserve">정격내</t>
    </r>
    <r>
      <rPr>
        <b val="true"/>
        <sz val="9"/>
        <color rgb="FF006400"/>
        <rFont val="Arial"/>
        <family val="0"/>
        <charset val="1"/>
      </rPr>
      <t xml:space="preserve">(OK)</t>
    </r>
  </si>
  <si>
    <r>
      <rPr>
        <sz val="8"/>
        <color rgb="FF000000"/>
        <rFont val="Noto Sans CJK SC"/>
        <family val="2"/>
      </rPr>
      <t xml:space="preserve">초경</t>
    </r>
    <r>
      <rPr>
        <sz val="8"/>
        <color rgb="FF000000"/>
        <rFont val="Arial"/>
        <family val="0"/>
        <charset val="1"/>
      </rPr>
      <t xml:space="preserve">(WC-Co) / HSS</t>
    </r>
  </si>
  <si>
    <t xml:space="preserve">D91, D76, D64, B126, B107</t>
  </si>
  <si>
    <r>
      <rPr>
        <sz val="8"/>
        <color rgb="FF000000"/>
        <rFont val="Noto Sans CJK SC"/>
        <family val="2"/>
      </rPr>
      <t xml:space="preserve">초경</t>
    </r>
    <r>
      <rPr>
        <sz val="8"/>
        <color rgb="FF000000"/>
        <rFont val="Arial"/>
        <family val="0"/>
        <charset val="1"/>
      </rPr>
      <t xml:space="preserve">(WC-Co)</t>
    </r>
  </si>
  <si>
    <t xml:space="preserve">D91, D76, D64</t>
  </si>
  <si>
    <t xml:space="preserve">D91, D76, D64, B91, B76</t>
  </si>
  <si>
    <t xml:space="preserve">D64, D54, D46, B91, B76</t>
  </si>
  <si>
    <r>
      <rPr>
        <b val="true"/>
        <sz val="10"/>
        <color rgb="FFFFFFFF"/>
        <rFont val="Noto Sans CJK SC"/>
        <family val="2"/>
      </rPr>
      <t xml:space="preserve">▌ 보조표 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별도</t>
    </r>
    <r>
      <rPr>
        <b val="true"/>
        <sz val="10"/>
        <color rgb="FFFFFFFF"/>
        <rFont val="Arial"/>
        <family val="0"/>
        <charset val="1"/>
      </rPr>
      <t xml:space="preserve">) — Vitrified / Metal Bond </t>
    </r>
    <r>
      <rPr>
        <b val="true"/>
        <sz val="10"/>
        <color rgb="FFFFFFFF"/>
        <rFont val="Noto Sans CJK SC"/>
        <family val="2"/>
      </rPr>
      <t xml:space="preserve">형식 </t>
    </r>
    <r>
      <rPr>
        <b val="true"/>
        <sz val="10"/>
        <color rgb="FFFFFFFF"/>
        <rFont val="Arial"/>
        <family val="0"/>
        <charset val="1"/>
      </rPr>
      <t xml:space="preserve">RPM  (Vc </t>
    </r>
    <r>
      <rPr>
        <b val="true"/>
        <sz val="10"/>
        <color rgb="FFFFFFFF"/>
        <rFont val="Noto Sans CJK SC"/>
        <family val="2"/>
      </rPr>
      <t xml:space="preserve">범위가 </t>
    </r>
    <r>
      <rPr>
        <b val="true"/>
        <sz val="10"/>
        <color rgb="FFFFFFFF"/>
        <rFont val="Arial"/>
        <family val="0"/>
        <charset val="1"/>
      </rPr>
      <t xml:space="preserve">Resin</t>
    </r>
    <r>
      <rPr>
        <b val="true"/>
        <sz val="10"/>
        <color rgb="FFFFFFFF"/>
        <rFont val="Noto Sans CJK SC"/>
        <family val="2"/>
      </rPr>
      <t xml:space="preserve">과 다름 — </t>
    </r>
    <r>
      <rPr>
        <b val="true"/>
        <sz val="10"/>
        <color rgb="FFFFFFFF"/>
        <rFont val="Arial"/>
        <family val="0"/>
        <charset val="1"/>
      </rPr>
      <t xml:space="preserve">ISO 12413:2019)</t>
    </r>
  </si>
  <si>
    <r>
      <rPr>
        <b val="true"/>
        <sz val="9"/>
        <color rgb="FFFFFFFF"/>
        <rFont val="Arial"/>
        <family val="0"/>
        <charset val="1"/>
      </rPr>
      <t xml:space="preserve">Vc=18 RPM
(Metal </t>
    </r>
    <r>
      <rPr>
        <b val="true"/>
        <sz val="9"/>
        <color rgb="FFFFFFFF"/>
        <rFont val="Noto Sans CJK SC"/>
        <family val="2"/>
      </rPr>
      <t xml:space="preserve">최저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</si>
  <si>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Vc=30 RPM</t>
  </si>
  <si>
    <t xml:space="preserve">Vc=40 RPM</t>
  </si>
  <si>
    <r>
      <rPr>
        <b val="true"/>
        <sz val="9"/>
        <color rgb="FFFFFFFF"/>
        <rFont val="Arial"/>
        <family val="0"/>
        <charset val="1"/>
      </rPr>
      <t xml:space="preserve">Vc=45 RPM
(Vitr.</t>
    </r>
    <r>
      <rPr>
        <b val="true"/>
        <sz val="9"/>
        <color rgb="FFFFFFFF"/>
        <rFont val="Noto Sans CJK SC"/>
        <family val="2"/>
      </rPr>
      <t xml:space="preserve">상한</t>
    </r>
    <r>
      <rPr>
        <b val="true"/>
        <sz val="9"/>
        <color rgb="FFFFFFFF"/>
        <rFont val="Arial"/>
        <family val="0"/>
        <charset val="1"/>
      </rPr>
      <t xml:space="preserve">)</t>
    </r>
  </si>
  <si>
    <t xml:space="preserve">주의사항</t>
  </si>
  <si>
    <r>
      <rPr>
        <sz val="8"/>
        <color rgb="FF000000"/>
        <rFont val="Noto Sans CJK SC"/>
        <family val="2"/>
      </rPr>
      <t xml:space="preserve">초경</t>
    </r>
    <r>
      <rPr>
        <sz val="8"/>
        <color rgb="FF000000"/>
        <rFont val="Arial"/>
        <family val="0"/>
        <charset val="1"/>
      </rPr>
      <t xml:space="preserve">(WC-Co) / </t>
    </r>
    <r>
      <rPr>
        <sz val="8"/>
        <color rgb="FF000000"/>
        <rFont val="Noto Sans CJK SC"/>
        <family val="2"/>
      </rPr>
      <t xml:space="preserve">세라믹</t>
    </r>
  </si>
  <si>
    <r>
      <rPr>
        <sz val="8"/>
        <color rgb="FF595959"/>
        <rFont val="Arial"/>
        <family val="0"/>
        <charset val="1"/>
      </rPr>
      <t xml:space="preserve">⚡ Vitrified — Vc </t>
    </r>
    <r>
      <rPr>
        <sz val="8"/>
        <color rgb="FF595959"/>
        <rFont val="Noto Sans CJK SC"/>
        <family val="2"/>
      </rPr>
      <t xml:space="preserve">범위 </t>
    </r>
    <r>
      <rPr>
        <sz val="8"/>
        <color rgb="FF595959"/>
        <rFont val="Arial"/>
        <family val="0"/>
        <charset val="1"/>
      </rPr>
      <t xml:space="preserve">Resin</t>
    </r>
    <r>
      <rPr>
        <sz val="8"/>
        <color rgb="FF595959"/>
        <rFont val="Noto Sans CJK SC"/>
        <family val="2"/>
      </rPr>
      <t xml:space="preserve">과 다름</t>
    </r>
    <r>
      <rPr>
        <sz val="8"/>
        <color rgb="FF595959"/>
        <rFont val="Arial"/>
        <family val="0"/>
        <charset val="1"/>
      </rPr>
      <t xml:space="preserve">. </t>
    </r>
    <r>
      <rPr>
        <sz val="8"/>
        <color rgb="FF595959"/>
        <rFont val="Noto Sans CJK SC"/>
        <family val="2"/>
      </rPr>
      <t xml:space="preserve">고속 가능하나 </t>
    </r>
    <r>
      <rPr>
        <sz val="8"/>
        <color rgb="FF595959"/>
        <rFont val="Arial"/>
        <family val="0"/>
        <charset val="1"/>
      </rPr>
      <t xml:space="preserve">Vmax </t>
    </r>
    <r>
      <rPr>
        <sz val="8"/>
        <color rgb="FF595959"/>
        <rFont val="Noto Sans CJK SC"/>
        <family val="2"/>
      </rPr>
      <t xml:space="preserve">스티커 필수 확인</t>
    </r>
  </si>
  <si>
    <t xml:space="preserve">5,730 ⚠</t>
  </si>
  <si>
    <r>
      <rPr>
        <sz val="8"/>
        <color rgb="FF595959"/>
        <rFont val="Arial"/>
        <family val="0"/>
        <charset val="1"/>
      </rPr>
      <t xml:space="preserve">⚠ Metal bond </t>
    </r>
    <r>
      <rPr>
        <sz val="8"/>
        <color rgb="FF595959"/>
        <rFont val="Noto Sans CJK SC"/>
        <family val="2"/>
      </rPr>
      <t xml:space="preserve">포함 → </t>
    </r>
    <r>
      <rPr>
        <sz val="8"/>
        <color rgb="FF595959"/>
        <rFont val="Arial"/>
        <family val="0"/>
        <charset val="1"/>
      </rPr>
      <t xml:space="preserve">Vc </t>
    </r>
    <r>
      <rPr>
        <sz val="8"/>
        <color rgb="FF595959"/>
        <rFont val="Noto Sans CJK SC"/>
        <family val="2"/>
      </rPr>
      <t xml:space="preserve">하한 </t>
    </r>
    <r>
      <rPr>
        <sz val="8"/>
        <color rgb="FF595959"/>
        <rFont val="Arial"/>
        <family val="0"/>
        <charset val="1"/>
      </rPr>
      <t xml:space="preserve">18 m/s. </t>
    </r>
    <r>
      <rPr>
        <sz val="8"/>
        <color rgb="FF595959"/>
        <rFont val="Noto Sans CJK SC"/>
        <family val="2"/>
      </rPr>
      <t xml:space="preserve">황삭</t>
    </r>
    <r>
      <rPr>
        <sz val="8"/>
        <color rgb="FF595959"/>
        <rFont val="Arial"/>
        <family val="0"/>
        <charset val="1"/>
      </rPr>
      <t xml:space="preserve">(D91~D76) + </t>
    </r>
    <r>
      <rPr>
        <sz val="8"/>
        <color rgb="FF595959"/>
        <rFont val="Noto Sans CJK SC"/>
        <family val="2"/>
      </rPr>
      <t xml:space="preserve">정삭</t>
    </r>
    <r>
      <rPr>
        <sz val="8"/>
        <color rgb="FF595959"/>
        <rFont val="Arial"/>
        <family val="0"/>
        <charset val="1"/>
      </rPr>
      <t xml:space="preserve">(D30~D8) </t>
    </r>
    <r>
      <rPr>
        <sz val="8"/>
        <color rgb="FF595959"/>
        <rFont val="Noto Sans CJK SC"/>
        <family val="2"/>
      </rPr>
      <t xml:space="preserve">분리 …</t>
    </r>
  </si>
  <si>
    <t xml:space="preserve">1,719</t>
  </si>
  <si>
    <t xml:space="preserve">4,297 ⚠</t>
  </si>
  <si>
    <t xml:space="preserve">1,375</t>
  </si>
  <si>
    <t xml:space="preserve">3,438 ⚠</t>
  </si>
  <si>
    <r>
      <rPr>
        <sz val="9"/>
        <color rgb="FF000000"/>
        <rFont val="Noto Sans CJK SC"/>
        <family val="2"/>
      </rPr>
      <t xml:space="preserve">녹색 </t>
    </r>
    <r>
      <rPr>
        <sz val="9"/>
        <color rgb="FF000000"/>
        <rFont val="Arial"/>
        <family val="0"/>
        <charset val="1"/>
      </rPr>
      <t xml:space="preserve">: Vc = 30 m/s — </t>
    </r>
    <r>
      <rPr>
        <sz val="9"/>
        <color rgb="FF000000"/>
        <rFont val="Noto Sans CJK SC"/>
        <family val="2"/>
      </rPr>
      <t xml:space="preserve">권장 </t>
    </r>
    <r>
      <rPr>
        <sz val="9"/>
        <color rgb="FF000000"/>
        <rFont val="Arial"/>
        <family val="0"/>
        <charset val="1"/>
      </rPr>
      <t xml:space="preserve">Sweet Spot (Marinescu 2016 ch.4 </t>
    </r>
    <r>
      <rPr>
        <sz val="9"/>
        <color rgb="FF000000"/>
        <rFont val="Noto Sans CJK SC"/>
        <family val="2"/>
      </rPr>
      <t xml:space="preserve">핵심 권장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</si>
  <si>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연녹색 </t>
    </r>
    <r>
      <rPr>
        <sz val="9"/>
        <color rgb="FF000000"/>
        <rFont val="Arial"/>
        <family val="0"/>
        <charset val="1"/>
      </rPr>
      <t xml:space="preserve">: Vc = 32~35 m/s — </t>
    </r>
    <r>
      <rPr>
        <sz val="9"/>
        <color rgb="FF000000"/>
        <rFont val="Noto Sans CJK SC"/>
        <family val="2"/>
      </rPr>
      <t xml:space="preserve">권장 범위 상한</t>
    </r>
  </si>
  <si>
    <r>
      <rPr>
        <sz val="9"/>
        <color rgb="FF000000"/>
        <rFont val="Noto Sans CJK SC"/>
        <family val="2"/>
      </rPr>
      <t xml:space="preserve">진황색 </t>
    </r>
    <r>
      <rPr>
        <sz val="9"/>
        <color rgb="FF000000"/>
        <rFont val="Arial"/>
        <family val="0"/>
        <charset val="1"/>
      </rPr>
      <t xml:space="preserve">: Vc = 25~28 m/s — </t>
    </r>
    <r>
      <rPr>
        <sz val="9"/>
        <color rgb="FF000000"/>
        <rFont val="Noto Sans CJK SC"/>
        <family val="2"/>
      </rPr>
      <t xml:space="preserve">권장 최저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Noto Sans CJK SC"/>
        <family val="2"/>
      </rPr>
      <t xml:space="preserve">주의 경계</t>
    </r>
  </si>
  <si>
    <r>
      <rPr>
        <sz val="9"/>
        <color rgb="FF000000"/>
        <rFont val="Noto Sans CJK SC"/>
        <family val="2"/>
      </rPr>
      <t xml:space="preserve">주황색 </t>
    </r>
    <r>
      <rPr>
        <sz val="9"/>
        <color rgb="FF000000"/>
        <rFont val="Arial"/>
        <family val="0"/>
        <charset val="1"/>
      </rPr>
      <t xml:space="preserve">: Vc = 18~20 m/s (Metal bond </t>
    </r>
    <r>
      <rPr>
        <sz val="9"/>
        <color rgb="FF000000"/>
        <rFont val="Noto Sans CJK SC"/>
        <family val="2"/>
      </rPr>
      <t xml:space="preserve">전용</t>
    </r>
    <r>
      <rPr>
        <sz val="9"/>
        <color rgb="FF000000"/>
        <rFont val="Arial"/>
        <family val="0"/>
        <charset val="1"/>
      </rPr>
      <t xml:space="preserve">) / Vc = 40 m/s (</t>
    </r>
    <r>
      <rPr>
        <sz val="9"/>
        <color rgb="FF000000"/>
        <rFont val="Noto Sans CJK SC"/>
        <family val="2"/>
      </rPr>
      <t xml:space="preserve">주의</t>
    </r>
    <r>
      <rPr>
        <sz val="9"/>
        <color rgb="FF000000"/>
        <rFont val="Arial"/>
        <family val="0"/>
        <charset val="1"/>
      </rPr>
      <t xml:space="preserve">)</t>
    </r>
  </si>
  <si>
    <r>
      <rPr>
        <sz val="9"/>
        <color rgb="FF000000"/>
        <rFont val="Noto Sans CJK SC"/>
        <family val="2"/>
      </rPr>
      <t xml:space="preserve">연적색 </t>
    </r>
    <r>
      <rPr>
        <sz val="9"/>
        <color rgb="FF000000"/>
        <rFont val="Arial"/>
        <family val="0"/>
        <charset val="1"/>
      </rPr>
      <t xml:space="preserve">+ ⚠ : </t>
    </r>
    <r>
      <rPr>
        <sz val="9"/>
        <color rgb="FF000000"/>
        <rFont val="Noto Sans CJK SC"/>
        <family val="2"/>
      </rPr>
      <t xml:space="preserve">해당 </t>
    </r>
    <r>
      <rPr>
        <sz val="9"/>
        <color rgb="FF000000"/>
        <rFont val="Arial"/>
        <family val="0"/>
        <charset val="1"/>
      </rPr>
      <t xml:space="preserve">Vc</t>
    </r>
    <r>
      <rPr>
        <sz val="9"/>
        <color rgb="FF000000"/>
        <rFont val="Noto Sans CJK SC"/>
        <family val="2"/>
      </rPr>
      <t xml:space="preserve">가 </t>
    </r>
    <r>
      <rPr>
        <sz val="9"/>
        <color rgb="FF000000"/>
        <rFont val="Arial"/>
        <family val="0"/>
        <charset val="1"/>
      </rPr>
      <t xml:space="preserve">Vmax </t>
    </r>
    <r>
      <rPr>
        <sz val="9"/>
        <color rgb="FF000000"/>
        <rFont val="Noto Sans CJK SC"/>
        <family val="2"/>
      </rPr>
      <t xml:space="preserve">정격 초과 — 절대 사용 불가 </t>
    </r>
    <r>
      <rPr>
        <sz val="9"/>
        <color rgb="FF000000"/>
        <rFont val="Arial"/>
        <family val="0"/>
        <charset val="1"/>
      </rPr>
      <t xml:space="preserve">(ISO 12413:2019)</t>
    </r>
  </si>
  <si>
    <r>
      <rPr>
        <sz val="9"/>
        <color rgb="FF000000"/>
        <rFont val="Noto Sans CJK SC"/>
        <family val="2"/>
      </rPr>
      <t xml:space="preserve">보라색 </t>
    </r>
    <r>
      <rPr>
        <sz val="9"/>
        <color rgb="FF000000"/>
        <rFont val="Arial"/>
        <family val="0"/>
        <charset val="1"/>
      </rPr>
      <t xml:space="preserve">: Vitrified / Metal bond </t>
    </r>
    <r>
      <rPr>
        <sz val="9"/>
        <color rgb="FF000000"/>
        <rFont val="Noto Sans CJK SC"/>
        <family val="2"/>
      </rPr>
      <t xml:space="preserve">전용 보조표 구분</t>
    </r>
  </si>
  <si>
    <r>
      <rPr>
        <sz val="9"/>
        <color rgb="FF000000"/>
        <rFont val="Noto Sans CJK SC"/>
        <family val="2"/>
      </rPr>
      <t xml:space="preserve">진남색 </t>
    </r>
    <r>
      <rPr>
        <sz val="9"/>
        <color rgb="FF000000"/>
        <rFont val="Arial"/>
        <family val="0"/>
        <charset val="1"/>
      </rPr>
      <t xml:space="preserve">: </t>
    </r>
    <r>
      <rPr>
        <sz val="9"/>
        <color rgb="FF000000"/>
        <rFont val="Noto Sans CJK SC"/>
        <family val="2"/>
      </rPr>
      <t xml:space="preserve">형식</t>
    </r>
    <r>
      <rPr>
        <sz val="9"/>
        <color rgb="FF000000"/>
        <rFont val="Arial"/>
        <family val="0"/>
        <charset val="1"/>
      </rPr>
      <t xml:space="preserve">(Shape) </t>
    </r>
    <r>
      <rPr>
        <sz val="9"/>
        <color rgb="FF000000"/>
        <rFont val="Noto Sans CJK SC"/>
        <family val="2"/>
      </rPr>
      <t xml:space="preserve">식별 열</t>
    </r>
  </si>
  <si>
    <r>
      <rPr>
        <sz val="9"/>
        <color rgb="FF7F3F00"/>
        <rFont val="Noto Sans CJK SC"/>
        <family val="2"/>
      </rPr>
      <t xml:space="preserve">※ 본 매핑표는 공개 카탈로그</t>
    </r>
    <r>
      <rPr>
        <sz val="9"/>
        <color rgb="FF7F3F00"/>
        <rFont val="Arial"/>
        <family val="0"/>
        <charset val="1"/>
      </rPr>
      <t xml:space="preserve">(</t>
    </r>
    <r>
      <rPr>
        <sz val="9"/>
        <color rgb="FF7F3F00"/>
        <rFont val="Noto Sans CJK SC"/>
        <family val="2"/>
      </rPr>
      <t xml:space="preserve">홍익다이아 </t>
    </r>
    <r>
      <rPr>
        <sz val="9"/>
        <color rgb="FF7F3F00"/>
        <rFont val="Arial"/>
        <family val="0"/>
        <charset val="1"/>
      </rPr>
      <t xml:space="preserve">Product Brochure) + Marinescu 2016 / Rowe 2014 / ISO 12413:2019 </t>
    </r>
    <r>
      <rPr>
        <sz val="9"/>
        <color rgb="FF7F3F00"/>
        <rFont val="Noto Sans CJK SC"/>
        <family val="2"/>
      </rPr>
      <t xml:space="preserve">기반 계산값입니다</t>
    </r>
    <r>
      <rPr>
        <sz val="9"/>
        <color rgb="FF7F3F00"/>
        <rFont val="Arial"/>
        <family val="0"/>
        <charset val="1"/>
      </rPr>
      <t xml:space="preserve">. </t>
    </r>
    <r>
      <rPr>
        <sz val="9"/>
        <color rgb="FF7F3F00"/>
        <rFont val="Noto Sans CJK SC"/>
        <family val="2"/>
      </rPr>
      <t xml:space="preserve">실제 운용 전 ① 휠 </t>
    </r>
    <r>
      <rPr>
        <sz val="9"/>
        <color rgb="FF7F3F00"/>
        <rFont val="Arial"/>
        <family val="0"/>
        <charset val="1"/>
      </rPr>
      <t xml:space="preserve">Vmax </t>
    </r>
    <r>
      <rPr>
        <sz val="9"/>
        <color rgb="FF7F3F00"/>
        <rFont val="Noto Sans CJK SC"/>
        <family val="2"/>
      </rPr>
      <t xml:space="preserve">스티커 확인 ② 소경</t>
    </r>
    <r>
      <rPr>
        <sz val="9"/>
        <color rgb="FF7F3F00"/>
        <rFont val="Arial"/>
        <family val="0"/>
        <charset val="1"/>
      </rPr>
      <t xml:space="preserve">(D&lt;6mm) </t>
    </r>
    <r>
      <rPr>
        <sz val="9"/>
        <color rgb="FF7F3F00"/>
        <rFont val="Noto Sans CJK SC"/>
        <family val="2"/>
      </rPr>
      <t xml:space="preserve">고</t>
    </r>
    <r>
      <rPr>
        <sz val="9"/>
        <color rgb="FF7F3F00"/>
        <rFont val="Arial"/>
        <family val="0"/>
        <charset val="1"/>
      </rPr>
      <t xml:space="preserve">RPM </t>
    </r>
    <r>
      <rPr>
        <sz val="9"/>
        <color rgb="FF7F3F00"/>
        <rFont val="Noto Sans CJK SC"/>
        <family val="2"/>
      </rPr>
      <t xml:space="preserve">시 스핀들 런아웃</t>
    </r>
    <r>
      <rPr>
        <sz val="9"/>
        <color rgb="FF7F3F00"/>
        <rFont val="Arial"/>
        <family val="0"/>
        <charset val="1"/>
      </rPr>
      <t xml:space="preserve">·</t>
    </r>
    <r>
      <rPr>
        <sz val="9"/>
        <color rgb="FF7F3F00"/>
        <rFont val="Noto Sans CJK SC"/>
        <family val="2"/>
      </rPr>
      <t xml:space="preserve">밸런스 점검 필수 </t>
    </r>
    <r>
      <rPr>
        <sz val="9"/>
        <color rgb="FF7F3F00"/>
        <rFont val="Arial"/>
        <family val="0"/>
        <charset val="1"/>
      </rPr>
      <t xml:space="preserve">(ISO 16089:2015).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</si>
</sst>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4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Noto Sans CJK SC"/>
      <family val="2"/>
      <charset val="1"/>
    </font>
    <font>
      <sz val="10"/>
      <color rgb="FFFFFFFF"/>
      <name val="Noto Sans CJK SC"/>
      <family val="2"/>
      <charset val="1"/>
    </font>
    <font>
      <sz val="9"/>
      <color rgb="FF44546A"/>
      <name val="Noto Sans CJK SC"/>
      <family val="2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9"/>
      <color rgb="FFFFFFFF"/>
      <name val="Noto Sans CJK SC"/>
      <family val="2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Noto Sans CJK SC"/>
      <family val="2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6400"/>
      <name val="Noto Sans CJK SC"/>
      <family val="2"/>
      <charset val="1"/>
    </font>
    <font>
      <sz val="8"/>
      <color rgb="FF000000"/>
      <name val="Noto Sans CJK SC"/>
      <family val="2"/>
      <charset val="1"/>
    </font>
    <font>
      <sz val="9"/>
      <color rgb="FFFFFFFF"/>
      <name val="Noto Sans CJK SC"/>
      <family val="2"/>
    </font>
    <font>
      <b val="true"/>
      <sz val="9"/>
      <color rgb="FFCC0000"/>
      <name val="Arial"/>
      <family val="0"/>
      <charset val="1"/>
    </font>
    <font>
      <b val="true"/>
      <sz val="9"/>
      <color rgb="FFCC0000"/>
      <name val="Noto Sans CJK SC"/>
      <family val="2"/>
    </font>
    <font>
      <b val="true"/>
      <sz val="9"/>
      <color rgb="FF000000"/>
      <name val="Noto Sans CJK SC"/>
      <family val="2"/>
      <charset val="1"/>
    </font>
    <font>
      <sz val="9"/>
      <color rgb="FF000000"/>
      <name val="Noto Sans CJK SC"/>
      <family val="2"/>
      <charset val="1"/>
    </font>
    <font>
      <sz val="9"/>
      <color rgb="FF44546A"/>
      <name val="Arial"/>
      <family val="0"/>
      <charset val="1"/>
    </font>
    <font>
      <sz val="9"/>
      <color rgb="FF000000"/>
      <name val="Noto Sans CJK SC"/>
      <family val="2"/>
    </font>
    <font>
      <sz val="9"/>
      <color rgb="FF7F3F00"/>
      <name val="Noto Sans CJK SC"/>
      <family val="2"/>
      <charset val="1"/>
    </font>
    <font>
      <b val="true"/>
      <sz val="12"/>
      <color rgb="FFFFFFFF"/>
      <name val="Noto Sans CJK SC"/>
      <family val="2"/>
      <charset val="1"/>
    </font>
    <font>
      <b val="true"/>
      <sz val="10"/>
      <color rgb="FFFFFFFF"/>
      <name val="Noto Sans CJK SC"/>
      <family val="2"/>
      <charset val="1"/>
    </font>
    <font>
      <b val="true"/>
      <sz val="10"/>
      <color rgb="FF000000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9"/>
      <color rgb="FF000000"/>
      <name val="Arial"/>
      <family val="0"/>
      <charset val="1"/>
    </font>
    <font>
      <b val="true"/>
      <sz val="10"/>
      <color rgb="FF000000"/>
      <name val="Noto Sans CJK SC"/>
      <family val="2"/>
    </font>
    <font>
      <b val="true"/>
      <sz val="12"/>
      <color rgb="FFFFFFFF"/>
      <name val="Noto Sans CJK SC"/>
      <family val="2"/>
    </font>
    <font>
      <b val="true"/>
      <sz val="12"/>
      <color rgb="FFFFFFFF"/>
      <name val="Arial"/>
      <family val="0"/>
      <charset val="1"/>
    </font>
    <font>
      <sz val="9"/>
      <color rgb="FF44546A"/>
      <name val="Noto Sans CJK SC"/>
      <family val="2"/>
    </font>
    <font>
      <b val="true"/>
      <sz val="8"/>
      <color rgb="FF000000"/>
      <name val="Arial"/>
      <family val="0"/>
      <charset val="1"/>
    </font>
    <font>
      <sz val="8"/>
      <color rgb="FF44546A"/>
      <name val="Noto Sans CJK SC"/>
      <family val="2"/>
    </font>
    <font>
      <sz val="8"/>
      <color rgb="FF44546A"/>
      <name val="Arial"/>
      <family val="0"/>
      <charset val="1"/>
    </font>
    <font>
      <sz val="8"/>
      <color rgb="FF595959"/>
      <name val="Arial"/>
      <family val="0"/>
      <charset val="1"/>
    </font>
    <font>
      <sz val="8"/>
      <color rgb="FF595959"/>
      <name val="Noto Sans CJK SC"/>
      <family val="2"/>
    </font>
    <font>
      <b val="true"/>
      <sz val="9"/>
      <color rgb="FF006400"/>
      <name val="Noto Sans CJK SC"/>
      <family val="2"/>
    </font>
    <font>
      <b val="true"/>
      <sz val="9"/>
      <color rgb="FF006400"/>
      <name val="Arial"/>
      <family val="0"/>
      <charset val="1"/>
    </font>
    <font>
      <sz val="8"/>
      <color rgb="FF000000"/>
      <name val="Noto Sans CJK SC"/>
      <family val="2"/>
    </font>
    <font>
      <sz val="8"/>
      <color rgb="FF000000"/>
      <name val="Arial"/>
      <family val="0"/>
      <charset val="1"/>
    </font>
    <font>
      <b val="true"/>
      <sz val="9"/>
      <color rgb="FF000000"/>
      <name val="Noto Sans CJK SC"/>
      <family val="2"/>
    </font>
    <font>
      <sz val="9"/>
      <color rgb="FF7F3F00"/>
      <name val="Noto Sans CJK SC"/>
      <family val="2"/>
    </font>
    <font>
      <sz val="9"/>
      <color rgb="FF7F3F00"/>
      <name val="Arial"/>
      <family val="0"/>
      <charset val="1"/>
    </font>
  </fonts>
  <fills count="24">
    <fill>
      <patternFill patternType="none"/>
    </fill>
    <fill>
      <patternFill patternType="gray125"/>
    </fill>
    <fill>
      <patternFill patternType="solid">
        <fgColor rgb="FF1F3864"/>
        <bgColor rgb="FF344F6E"/>
      </patternFill>
    </fill>
    <fill>
      <patternFill patternType="solid">
        <fgColor rgb="FF2E75B6"/>
        <bgColor rgb="FF0066CC"/>
      </patternFill>
    </fill>
    <fill>
      <patternFill patternType="solid">
        <fgColor rgb="FFD6DCE4"/>
        <bgColor rgb="FFD9E1F2"/>
      </patternFill>
    </fill>
    <fill>
      <patternFill patternType="solid">
        <fgColor rgb="FFEEF2F9"/>
        <bgColor rgb="FFF2F2F2"/>
      </patternFill>
    </fill>
    <fill>
      <patternFill patternType="solid">
        <fgColor rgb="FFFF0000"/>
        <bgColor rgb="FFCC0000"/>
      </patternFill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8080"/>
      </patternFill>
    </fill>
    <fill>
      <patternFill patternType="solid">
        <fgColor rgb="FF92D050"/>
        <bgColor rgb="FF70AD47"/>
      </patternFill>
    </fill>
    <fill>
      <patternFill patternType="solid">
        <fgColor rgb="FFFF7F00"/>
        <bgColor rgb="FFFF9900"/>
      </patternFill>
    </fill>
    <fill>
      <patternFill patternType="solid">
        <fgColor rgb="FFFFFFFF"/>
        <bgColor rgb="FFFAFAFA"/>
      </patternFill>
    </fill>
    <fill>
      <patternFill patternType="solid">
        <fgColor rgb="FFFF4D4D"/>
        <bgColor rgb="FFFF7F00"/>
      </patternFill>
    </fill>
    <fill>
      <patternFill patternType="solid">
        <fgColor rgb="FFFAFAFA"/>
        <bgColor rgb="FFFFFFFF"/>
      </patternFill>
    </fill>
    <fill>
      <patternFill patternType="solid">
        <fgColor rgb="FFF2F2F2"/>
        <bgColor rgb="FFEEF2F9"/>
      </patternFill>
    </fill>
    <fill>
      <patternFill patternType="solid">
        <fgColor rgb="FFFFF2CC"/>
        <bgColor rgb="FFF2F2F2"/>
      </patternFill>
    </fill>
    <fill>
      <patternFill patternType="solid">
        <fgColor rgb="FF70AD47"/>
        <bgColor rgb="FF92D050"/>
      </patternFill>
    </fill>
    <fill>
      <patternFill patternType="solid">
        <fgColor rgb="FF344F6E"/>
        <bgColor rgb="FF44546A"/>
      </patternFill>
    </fill>
    <fill>
      <patternFill patternType="solid">
        <fgColor rgb="FFD9E1F2"/>
        <bgColor rgb="FFD6DCE4"/>
      </patternFill>
    </fill>
    <fill>
      <patternFill patternType="solid">
        <fgColor rgb="FF375623"/>
        <bgColor rgb="FF44546A"/>
      </patternFill>
    </fill>
    <fill>
      <patternFill patternType="solid">
        <fgColor rgb="FF7030A0"/>
        <bgColor rgb="FF800080"/>
      </patternFill>
    </fill>
    <fill>
      <patternFill patternType="solid">
        <fgColor rgb="FF843C0C"/>
        <bgColor rgb="FF7F3F00"/>
      </patternFill>
    </fill>
    <fill>
      <patternFill patternType="solid">
        <fgColor rgb="FFF3EEFA"/>
        <bgColor rgb="FFF2F2F2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1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9" fillId="1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4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7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1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64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2CC"/>
      <rgbColor rgb="FFEEF2F9"/>
      <rgbColor rgb="FF660066"/>
      <rgbColor rgb="FFFF4D4D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9E1F2"/>
      <rgbColor rgb="FFFAFAFA"/>
      <rgbColor rgb="FF99CCFF"/>
      <rgbColor rgb="FFFF99CC"/>
      <rgbColor rgb="FFCC99FF"/>
      <rgbColor rgb="FFF3EEFA"/>
      <rgbColor rgb="FF2E75B6"/>
      <rgbColor rgb="FF33CCCC"/>
      <rgbColor rgb="FF92D050"/>
      <rgbColor rgb="FFFFC000"/>
      <rgbColor rgb="FFFF9900"/>
      <rgbColor rgb="FFFF7F00"/>
      <rgbColor rgb="FF595959"/>
      <rgbColor rgb="FF70AD47"/>
      <rgbColor rgb="FF1F3864"/>
      <rgbColor rgb="FF00B050"/>
      <rgbColor rgb="FF003300"/>
      <rgbColor rgb="FF44546A"/>
      <rgbColor rgb="FF843C0C"/>
      <rgbColor rgb="FF7F3F00"/>
      <rgbColor rgb="FF344F6E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1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0"/>
    <col collapsed="false" customWidth="true" hidden="false" outlineLevel="0" max="10" min="3" style="1" width="14"/>
    <col collapsed="false" customWidth="true" hidden="false" outlineLevel="0" max="11" min="11" style="1" width="22"/>
    <col collapsed="false" customWidth="true" hidden="false" outlineLevel="0" max="12" min="12" style="1" width="28"/>
  </cols>
  <sheetData>
    <row r="1" customFormat="false" ht="18" hidden="false" customHeight="true" outlineLevel="0" collapsed="false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8" hidden="false" customHeight="true" outlineLevel="0" collapsed="false">
      <c r="B3" s="4" t="s">
        <v>2</v>
      </c>
      <c r="C3" s="4"/>
      <c r="D3" s="4"/>
      <c r="E3" s="4"/>
      <c r="F3" s="4"/>
      <c r="G3" s="4"/>
      <c r="H3" s="4"/>
      <c r="I3" s="4"/>
      <c r="J3" s="4"/>
      <c r="K3" s="4"/>
      <c r="L3" s="4"/>
    </row>
    <row r="4" customFormat="false" ht="18" hidden="false" customHeight="true" outlineLevel="0" collapsed="false"/>
    <row r="5" customFormat="false" ht="18" hidden="false" customHeight="true" outlineLevel="0" collapsed="false">
      <c r="B5" s="5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</row>
    <row r="6" customFormat="false" ht="36" hidden="false" customHeight="true" outlineLevel="0" collapsed="false">
      <c r="B6" s="6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6" t="s">
        <v>15</v>
      </c>
    </row>
    <row r="7" customFormat="false" ht="18" hidden="false" customHeight="true" outlineLevel="0" collapsed="false">
      <c r="B7" s="8" t="n">
        <v>25</v>
      </c>
      <c r="C7" s="9" t="n">
        <v>45</v>
      </c>
      <c r="D7" s="10" t="s">
        <v>16</v>
      </c>
      <c r="E7" s="11" t="s">
        <v>17</v>
      </c>
      <c r="F7" s="12" t="s">
        <v>18</v>
      </c>
      <c r="G7" s="13" t="s">
        <v>19</v>
      </c>
      <c r="H7" s="14" t="s">
        <v>20</v>
      </c>
      <c r="I7" s="11" t="s">
        <v>21</v>
      </c>
      <c r="J7" s="15" t="s">
        <v>22</v>
      </c>
      <c r="K7" s="10" t="s">
        <v>23</v>
      </c>
      <c r="L7" s="16" t="s">
        <v>24</v>
      </c>
      <c r="M7" s="17" t="s">
        <v>25</v>
      </c>
    </row>
    <row r="8" customFormat="false" ht="18" hidden="false" customHeight="true" outlineLevel="0" collapsed="false">
      <c r="B8" s="18" t="n">
        <v>30</v>
      </c>
      <c r="C8" s="19" t="n">
        <v>45</v>
      </c>
      <c r="D8" s="10" t="s">
        <v>26</v>
      </c>
      <c r="E8" s="11" t="s">
        <v>27</v>
      </c>
      <c r="F8" s="12" t="s">
        <v>28</v>
      </c>
      <c r="G8" s="13" t="s">
        <v>17</v>
      </c>
      <c r="H8" s="14" t="s">
        <v>29</v>
      </c>
      <c r="I8" s="11" t="s">
        <v>30</v>
      </c>
      <c r="J8" s="15" t="s">
        <v>31</v>
      </c>
      <c r="K8" s="10" t="s">
        <v>32</v>
      </c>
      <c r="L8" s="20" t="s">
        <v>24</v>
      </c>
      <c r="M8" s="21" t="s">
        <v>25</v>
      </c>
    </row>
    <row r="9" customFormat="false" ht="18" hidden="false" customHeight="true" outlineLevel="0" collapsed="false">
      <c r="B9" s="8" t="n">
        <v>40</v>
      </c>
      <c r="C9" s="9" t="n">
        <v>45</v>
      </c>
      <c r="D9" s="10" t="s">
        <v>33</v>
      </c>
      <c r="E9" s="11" t="s">
        <v>34</v>
      </c>
      <c r="F9" s="12" t="s">
        <v>35</v>
      </c>
      <c r="G9" s="13" t="s">
        <v>36</v>
      </c>
      <c r="H9" s="14" t="s">
        <v>16</v>
      </c>
      <c r="I9" s="11" t="s">
        <v>37</v>
      </c>
      <c r="J9" s="15" t="s">
        <v>17</v>
      </c>
      <c r="K9" s="10" t="s">
        <v>38</v>
      </c>
      <c r="L9" s="16" t="s">
        <v>24</v>
      </c>
      <c r="M9" s="17" t="s">
        <v>25</v>
      </c>
    </row>
    <row r="10" customFormat="false" ht="18" hidden="false" customHeight="true" outlineLevel="0" collapsed="false">
      <c r="B10" s="18" t="n">
        <v>50</v>
      </c>
      <c r="C10" s="19" t="n">
        <v>45</v>
      </c>
      <c r="D10" s="10" t="s">
        <v>39</v>
      </c>
      <c r="E10" s="11" t="s">
        <v>33</v>
      </c>
      <c r="F10" s="12" t="s">
        <v>40</v>
      </c>
      <c r="G10" s="13" t="s">
        <v>41</v>
      </c>
      <c r="H10" s="14" t="s">
        <v>42</v>
      </c>
      <c r="I10" s="11" t="s">
        <v>35</v>
      </c>
      <c r="J10" s="15" t="s">
        <v>16</v>
      </c>
      <c r="K10" s="10" t="s">
        <v>43</v>
      </c>
      <c r="L10" s="20" t="s">
        <v>24</v>
      </c>
      <c r="M10" s="21" t="s">
        <v>25</v>
      </c>
    </row>
    <row r="11" customFormat="false" ht="18" hidden="false" customHeight="true" outlineLevel="0" collapsed="false">
      <c r="B11" s="8" t="n">
        <v>60</v>
      </c>
      <c r="C11" s="9" t="n">
        <v>45</v>
      </c>
      <c r="D11" s="10" t="s">
        <v>44</v>
      </c>
      <c r="E11" s="11" t="s">
        <v>45</v>
      </c>
      <c r="F11" s="12" t="s">
        <v>46</v>
      </c>
      <c r="G11" s="13" t="s">
        <v>33</v>
      </c>
      <c r="H11" s="14" t="s">
        <v>47</v>
      </c>
      <c r="I11" s="11" t="s">
        <v>48</v>
      </c>
      <c r="J11" s="15" t="s">
        <v>26</v>
      </c>
      <c r="K11" s="10" t="s">
        <v>36</v>
      </c>
      <c r="L11" s="16" t="s">
        <v>24</v>
      </c>
      <c r="M11" s="17" t="s">
        <v>49</v>
      </c>
    </row>
    <row r="12" customFormat="false" ht="18" hidden="false" customHeight="true" outlineLevel="0" collapsed="false">
      <c r="B12" s="18" t="n">
        <v>75</v>
      </c>
      <c r="C12" s="19" t="n">
        <v>45</v>
      </c>
      <c r="D12" s="10" t="s">
        <v>50</v>
      </c>
      <c r="E12" s="11" t="s">
        <v>44</v>
      </c>
      <c r="F12" s="12" t="s">
        <v>51</v>
      </c>
      <c r="G12" s="13" t="s">
        <v>39</v>
      </c>
      <c r="H12" s="14" t="s">
        <v>52</v>
      </c>
      <c r="I12" s="11" t="s">
        <v>46</v>
      </c>
      <c r="J12" s="15" t="s">
        <v>47</v>
      </c>
      <c r="K12" s="10" t="s">
        <v>41</v>
      </c>
      <c r="L12" s="20" t="s">
        <v>24</v>
      </c>
      <c r="M12" s="21" t="s">
        <v>49</v>
      </c>
    </row>
    <row r="13" customFormat="false" ht="18" hidden="false" customHeight="true" outlineLevel="0" collapsed="false">
      <c r="B13" s="8" t="n">
        <v>100</v>
      </c>
      <c r="C13" s="9" t="n">
        <v>45</v>
      </c>
      <c r="D13" s="10" t="s">
        <v>53</v>
      </c>
      <c r="E13" s="11" t="s">
        <v>54</v>
      </c>
      <c r="F13" s="12" t="s">
        <v>55</v>
      </c>
      <c r="G13" s="13" t="s">
        <v>56</v>
      </c>
      <c r="H13" s="14" t="s">
        <v>57</v>
      </c>
      <c r="I13" s="11" t="s">
        <v>58</v>
      </c>
      <c r="J13" s="15" t="s">
        <v>39</v>
      </c>
      <c r="K13" s="10" t="s">
        <v>59</v>
      </c>
      <c r="L13" s="16" t="s">
        <v>24</v>
      </c>
      <c r="M13" s="17" t="s">
        <v>49</v>
      </c>
    </row>
    <row r="14" customFormat="false" ht="18" hidden="false" customHeight="true" outlineLevel="0" collapsed="false">
      <c r="B14" s="18" t="n">
        <v>125</v>
      </c>
      <c r="C14" s="19" t="n">
        <v>45</v>
      </c>
      <c r="D14" s="10" t="s">
        <v>60</v>
      </c>
      <c r="E14" s="11" t="s">
        <v>53</v>
      </c>
      <c r="F14" s="12" t="s">
        <v>61</v>
      </c>
      <c r="G14" s="13" t="s">
        <v>62</v>
      </c>
      <c r="H14" s="14" t="s">
        <v>63</v>
      </c>
      <c r="I14" s="11" t="s">
        <v>55</v>
      </c>
      <c r="J14" s="15" t="s">
        <v>57</v>
      </c>
      <c r="K14" s="10" t="s">
        <v>64</v>
      </c>
      <c r="L14" s="20" t="s">
        <v>24</v>
      </c>
      <c r="M14" s="21" t="s">
        <v>49</v>
      </c>
    </row>
    <row r="15" customFormat="false" ht="18" hidden="false" customHeight="true" outlineLevel="0" collapsed="false">
      <c r="B15" s="8" t="n">
        <v>150</v>
      </c>
      <c r="C15" s="9" t="n">
        <v>45</v>
      </c>
      <c r="D15" s="10" t="s">
        <v>65</v>
      </c>
      <c r="E15" s="11" t="s">
        <v>66</v>
      </c>
      <c r="F15" s="12" t="s">
        <v>67</v>
      </c>
      <c r="G15" s="13" t="s">
        <v>53</v>
      </c>
      <c r="H15" s="14" t="s">
        <v>68</v>
      </c>
      <c r="I15" s="11" t="s">
        <v>69</v>
      </c>
      <c r="J15" s="15" t="s">
        <v>50</v>
      </c>
      <c r="K15" s="10" t="s">
        <v>56</v>
      </c>
      <c r="L15" s="16" t="s">
        <v>24</v>
      </c>
      <c r="M15" s="17" t="s">
        <v>49</v>
      </c>
    </row>
    <row r="16" customFormat="false" ht="18" hidden="false" customHeight="true" outlineLevel="0" collapsed="false">
      <c r="B16" s="18" t="n">
        <v>175</v>
      </c>
      <c r="C16" s="19" t="n">
        <v>45</v>
      </c>
      <c r="D16" s="10" t="s">
        <v>70</v>
      </c>
      <c r="E16" s="11" t="s">
        <v>71</v>
      </c>
      <c r="F16" s="12" t="s">
        <v>60</v>
      </c>
      <c r="G16" s="13" t="s">
        <v>72</v>
      </c>
      <c r="H16" s="14" t="s">
        <v>73</v>
      </c>
      <c r="I16" s="11" t="s">
        <v>53</v>
      </c>
      <c r="J16" s="15" t="s">
        <v>74</v>
      </c>
      <c r="K16" s="10" t="s">
        <v>75</v>
      </c>
      <c r="L16" s="20" t="s">
        <v>24</v>
      </c>
      <c r="M16" s="21" t="s">
        <v>76</v>
      </c>
    </row>
    <row r="17" customFormat="false" ht="18" hidden="false" customHeight="true" outlineLevel="0" collapsed="false">
      <c r="B17" s="8" t="n">
        <v>200</v>
      </c>
      <c r="C17" s="9" t="n">
        <v>40</v>
      </c>
      <c r="D17" s="10" t="s">
        <v>77</v>
      </c>
      <c r="E17" s="11" t="s">
        <v>78</v>
      </c>
      <c r="F17" s="12" t="s">
        <v>79</v>
      </c>
      <c r="G17" s="13" t="s">
        <v>80</v>
      </c>
      <c r="H17" s="14" t="s">
        <v>60</v>
      </c>
      <c r="I17" s="11" t="s">
        <v>81</v>
      </c>
      <c r="J17" s="15" t="s">
        <v>53</v>
      </c>
      <c r="K17" s="22" t="s">
        <v>82</v>
      </c>
      <c r="L17" s="23" t="s">
        <v>83</v>
      </c>
      <c r="M17" s="17" t="s">
        <v>76</v>
      </c>
    </row>
    <row r="18" customFormat="false" ht="18" hidden="false" customHeight="true" outlineLevel="0" collapsed="false">
      <c r="B18" s="18" t="n">
        <v>250</v>
      </c>
      <c r="C18" s="19" t="n">
        <v>40</v>
      </c>
      <c r="D18" s="10" t="s">
        <v>84</v>
      </c>
      <c r="E18" s="11" t="s">
        <v>77</v>
      </c>
      <c r="F18" s="12" t="s">
        <v>85</v>
      </c>
      <c r="G18" s="13" t="s">
        <v>86</v>
      </c>
      <c r="H18" s="14" t="s">
        <v>87</v>
      </c>
      <c r="I18" s="11" t="s">
        <v>79</v>
      </c>
      <c r="J18" s="15" t="s">
        <v>60</v>
      </c>
      <c r="K18" s="22" t="s">
        <v>88</v>
      </c>
      <c r="L18" s="24" t="s">
        <v>83</v>
      </c>
      <c r="M18" s="21" t="s">
        <v>76</v>
      </c>
    </row>
    <row r="19" customFormat="false" ht="18" hidden="false" customHeight="true" outlineLevel="0" collapsed="false">
      <c r="B19" s="8" t="n">
        <v>300</v>
      </c>
      <c r="C19" s="9" t="n">
        <v>36</v>
      </c>
      <c r="D19" s="10" t="s">
        <v>89</v>
      </c>
      <c r="E19" s="11" t="s">
        <v>90</v>
      </c>
      <c r="F19" s="12" t="s">
        <v>91</v>
      </c>
      <c r="G19" s="13" t="s">
        <v>77</v>
      </c>
      <c r="H19" s="14" t="s">
        <v>92</v>
      </c>
      <c r="I19" s="11" t="s">
        <v>93</v>
      </c>
      <c r="J19" s="22" t="s">
        <v>94</v>
      </c>
      <c r="K19" s="22" t="s">
        <v>95</v>
      </c>
      <c r="L19" s="23" t="s">
        <v>96</v>
      </c>
      <c r="M19" s="17" t="s">
        <v>76</v>
      </c>
    </row>
    <row r="20" customFormat="false" ht="18" hidden="false" customHeight="true" outlineLevel="0" collapsed="false">
      <c r="B20" s="18" t="n">
        <v>350</v>
      </c>
      <c r="C20" s="19" t="n">
        <v>36</v>
      </c>
      <c r="D20" s="10" t="s">
        <v>97</v>
      </c>
      <c r="E20" s="11" t="s">
        <v>98</v>
      </c>
      <c r="F20" s="12" t="s">
        <v>84</v>
      </c>
      <c r="G20" s="13" t="s">
        <v>99</v>
      </c>
      <c r="H20" s="14" t="s">
        <v>100</v>
      </c>
      <c r="I20" s="11" t="s">
        <v>77</v>
      </c>
      <c r="J20" s="22" t="s">
        <v>101</v>
      </c>
      <c r="K20" s="22" t="s">
        <v>102</v>
      </c>
      <c r="L20" s="24" t="s">
        <v>96</v>
      </c>
      <c r="M20" s="21" t="s">
        <v>76</v>
      </c>
    </row>
    <row r="21" customFormat="false" ht="18" hidden="false" customHeight="true" outlineLevel="0" collapsed="false">
      <c r="B21" s="8" t="n">
        <v>400</v>
      </c>
      <c r="C21" s="9" t="n">
        <v>32</v>
      </c>
      <c r="D21" s="10" t="s">
        <v>103</v>
      </c>
      <c r="E21" s="11" t="s">
        <v>104</v>
      </c>
      <c r="F21" s="12" t="s">
        <v>105</v>
      </c>
      <c r="G21" s="13" t="s">
        <v>106</v>
      </c>
      <c r="H21" s="14" t="s">
        <v>84</v>
      </c>
      <c r="I21" s="22" t="s">
        <v>107</v>
      </c>
      <c r="J21" s="22" t="s">
        <v>108</v>
      </c>
      <c r="K21" s="22" t="s">
        <v>109</v>
      </c>
      <c r="L21" s="23" t="s">
        <v>110</v>
      </c>
      <c r="M21" s="17" t="s">
        <v>76</v>
      </c>
    </row>
    <row r="22" customFormat="false" ht="18" hidden="false" customHeight="true" outlineLevel="0" collapsed="false">
      <c r="B22" s="18" t="n">
        <v>450</v>
      </c>
      <c r="C22" s="19" t="n">
        <v>32</v>
      </c>
      <c r="D22" s="10" t="s">
        <v>111</v>
      </c>
      <c r="E22" s="11" t="s">
        <v>112</v>
      </c>
      <c r="F22" s="12" t="s">
        <v>113</v>
      </c>
      <c r="G22" s="13" t="s">
        <v>89</v>
      </c>
      <c r="H22" s="14" t="s">
        <v>114</v>
      </c>
      <c r="I22" s="22" t="s">
        <v>115</v>
      </c>
      <c r="J22" s="22" t="s">
        <v>116</v>
      </c>
      <c r="K22" s="22" t="s">
        <v>108</v>
      </c>
      <c r="L22" s="24" t="s">
        <v>110</v>
      </c>
      <c r="M22" s="21" t="s">
        <v>76</v>
      </c>
    </row>
    <row r="23" customFormat="false" ht="18" hidden="false" customHeight="true" outlineLevel="0" collapsed="false">
      <c r="B23" s="8" t="n">
        <v>500</v>
      </c>
      <c r="C23" s="9" t="n">
        <v>32</v>
      </c>
      <c r="D23" s="10" t="s">
        <v>117</v>
      </c>
      <c r="E23" s="11" t="s">
        <v>103</v>
      </c>
      <c r="F23" s="12" t="s">
        <v>118</v>
      </c>
      <c r="G23" s="13" t="s">
        <v>119</v>
      </c>
      <c r="H23" s="14" t="s">
        <v>120</v>
      </c>
      <c r="I23" s="22" t="s">
        <v>121</v>
      </c>
      <c r="J23" s="22" t="s">
        <v>122</v>
      </c>
      <c r="K23" s="22" t="s">
        <v>123</v>
      </c>
      <c r="L23" s="23" t="s">
        <v>110</v>
      </c>
      <c r="M23" s="17" t="s">
        <v>76</v>
      </c>
    </row>
    <row r="24" customFormat="false" ht="18" hidden="false" customHeight="true" outlineLevel="0" collapsed="false"/>
    <row r="25" customFormat="false" ht="18" hidden="false" customHeight="true" outlineLevel="0" collapsed="false">
      <c r="B25" s="25" t="s">
        <v>124</v>
      </c>
      <c r="C25" s="25"/>
      <c r="D25" s="25"/>
    </row>
    <row r="26" customFormat="false" ht="18" hidden="false" customHeight="true" outlineLevel="0" collapsed="false">
      <c r="B26" s="26" t="s">
        <v>125</v>
      </c>
      <c r="C26" s="27" t="s">
        <v>126</v>
      </c>
      <c r="D26" s="27"/>
      <c r="E26" s="27"/>
      <c r="F26" s="27"/>
      <c r="G26" s="27"/>
      <c r="H26" s="27"/>
      <c r="I26" s="27"/>
      <c r="J26" s="27"/>
      <c r="K26" s="27"/>
      <c r="L26" s="27"/>
    </row>
    <row r="27" customFormat="false" ht="18" hidden="false" customHeight="true" outlineLevel="0" collapsed="false">
      <c r="B27" s="28" t="s">
        <v>125</v>
      </c>
      <c r="C27" s="27" t="s">
        <v>127</v>
      </c>
      <c r="D27" s="27"/>
      <c r="E27" s="27"/>
      <c r="F27" s="27"/>
      <c r="G27" s="27"/>
      <c r="H27" s="27"/>
      <c r="I27" s="27"/>
      <c r="J27" s="27"/>
      <c r="K27" s="27"/>
      <c r="L27" s="27"/>
    </row>
    <row r="28" customFormat="false" ht="18" hidden="false" customHeight="true" outlineLevel="0" collapsed="false">
      <c r="B28" s="29" t="s">
        <v>125</v>
      </c>
      <c r="C28" s="27" t="s">
        <v>128</v>
      </c>
      <c r="D28" s="27"/>
      <c r="E28" s="27"/>
      <c r="F28" s="27"/>
      <c r="G28" s="27"/>
      <c r="H28" s="27"/>
      <c r="I28" s="27"/>
      <c r="J28" s="27"/>
      <c r="K28" s="27"/>
      <c r="L28" s="27"/>
    </row>
    <row r="29" customFormat="false" ht="18" hidden="false" customHeight="true" outlineLevel="0" collapsed="false">
      <c r="B29" s="30" t="s">
        <v>125</v>
      </c>
      <c r="C29" s="27" t="s">
        <v>129</v>
      </c>
      <c r="D29" s="27"/>
      <c r="E29" s="27"/>
      <c r="F29" s="27"/>
      <c r="G29" s="27"/>
      <c r="H29" s="27"/>
      <c r="I29" s="27"/>
      <c r="J29" s="27"/>
      <c r="K29" s="27"/>
      <c r="L29" s="27"/>
    </row>
    <row r="30" customFormat="false" ht="18" hidden="false" customHeight="true" outlineLevel="0" collapsed="false">
      <c r="B30" s="31" t="s">
        <v>125</v>
      </c>
      <c r="C30" s="27" t="s">
        <v>130</v>
      </c>
      <c r="D30" s="27"/>
      <c r="E30" s="27"/>
      <c r="F30" s="27"/>
      <c r="G30" s="27"/>
      <c r="H30" s="27"/>
      <c r="I30" s="27"/>
      <c r="J30" s="27"/>
      <c r="K30" s="27"/>
      <c r="L30" s="27"/>
    </row>
    <row r="31" customFormat="false" ht="18" hidden="false" customHeight="true" outlineLevel="0" collapsed="false">
      <c r="B31" s="32" t="s">
        <v>125</v>
      </c>
      <c r="C31" s="27" t="s">
        <v>131</v>
      </c>
      <c r="D31" s="27"/>
      <c r="E31" s="27"/>
      <c r="F31" s="27"/>
      <c r="G31" s="27"/>
      <c r="H31" s="27"/>
      <c r="I31" s="27"/>
      <c r="J31" s="27"/>
      <c r="K31" s="27"/>
      <c r="L31" s="27"/>
    </row>
    <row r="32" customFormat="false" ht="18" hidden="false" customHeight="true" outlineLevel="0" collapsed="false">
      <c r="B32" s="33" t="s">
        <v>125</v>
      </c>
      <c r="C32" s="27" t="s">
        <v>132</v>
      </c>
      <c r="D32" s="27"/>
      <c r="E32" s="27"/>
      <c r="F32" s="27"/>
      <c r="G32" s="27"/>
      <c r="H32" s="27"/>
      <c r="I32" s="27"/>
      <c r="J32" s="27"/>
      <c r="K32" s="27"/>
      <c r="L32" s="27"/>
    </row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>
      <c r="B35" s="5" t="s">
        <v>133</v>
      </c>
      <c r="C35" s="5"/>
      <c r="D35" s="5"/>
      <c r="E35" s="5"/>
      <c r="F35" s="5"/>
      <c r="G35" s="5"/>
      <c r="H35" s="5"/>
      <c r="I35" s="5"/>
      <c r="J35" s="5"/>
      <c r="K35" s="5"/>
      <c r="L35" s="5"/>
    </row>
    <row r="36" customFormat="false" ht="30" hidden="false" customHeight="true" outlineLevel="0" collapsed="false">
      <c r="C36" s="6" t="s">
        <v>134</v>
      </c>
      <c r="D36" s="6" t="s">
        <v>135</v>
      </c>
      <c r="E36" s="6" t="s">
        <v>136</v>
      </c>
      <c r="F36" s="6" t="s">
        <v>137</v>
      </c>
      <c r="G36" s="6" t="s">
        <v>138</v>
      </c>
      <c r="H36" s="6" t="s">
        <v>139</v>
      </c>
      <c r="I36" s="6" t="s">
        <v>140</v>
      </c>
      <c r="J36" s="6" t="s">
        <v>141</v>
      </c>
    </row>
    <row r="37" customFormat="false" ht="18" hidden="false" customHeight="true" outlineLevel="0" collapsed="false">
      <c r="C37" s="34" t="s">
        <v>142</v>
      </c>
      <c r="D37" s="35" t="s">
        <v>143</v>
      </c>
      <c r="E37" s="36" t="n">
        <v>25</v>
      </c>
      <c r="F37" s="11" t="n">
        <v>30</v>
      </c>
      <c r="G37" s="22" t="n">
        <v>35</v>
      </c>
      <c r="H37" s="35" t="s">
        <v>144</v>
      </c>
      <c r="I37" s="37" t="s">
        <v>145</v>
      </c>
      <c r="J37" s="38" t="s">
        <v>146</v>
      </c>
    </row>
    <row r="38" customFormat="false" ht="18" hidden="false" customHeight="true" outlineLevel="0" collapsed="false">
      <c r="C38" s="39" t="s">
        <v>142</v>
      </c>
      <c r="D38" s="40" t="s">
        <v>147</v>
      </c>
      <c r="E38" s="36" t="n">
        <v>18</v>
      </c>
      <c r="F38" s="11" t="n">
        <v>25</v>
      </c>
      <c r="G38" s="22" t="n">
        <v>35</v>
      </c>
      <c r="H38" s="40" t="s">
        <v>148</v>
      </c>
      <c r="I38" s="41" t="s">
        <v>149</v>
      </c>
      <c r="J38" s="38" t="s">
        <v>150</v>
      </c>
    </row>
    <row r="39" customFormat="false" ht="18" hidden="false" customHeight="true" outlineLevel="0" collapsed="false">
      <c r="C39" s="34" t="s">
        <v>142</v>
      </c>
      <c r="D39" s="35" t="s">
        <v>151</v>
      </c>
      <c r="E39" s="36" t="n">
        <v>25</v>
      </c>
      <c r="F39" s="11" t="n">
        <v>35</v>
      </c>
      <c r="G39" s="22" t="n">
        <v>45</v>
      </c>
      <c r="H39" s="35" t="s">
        <v>152</v>
      </c>
      <c r="I39" s="37" t="s">
        <v>153</v>
      </c>
      <c r="J39" s="38" t="s">
        <v>154</v>
      </c>
    </row>
    <row r="40" customFormat="false" ht="18" hidden="false" customHeight="true" outlineLevel="0" collapsed="false">
      <c r="C40" s="39" t="s">
        <v>155</v>
      </c>
      <c r="D40" s="40" t="s">
        <v>156</v>
      </c>
      <c r="E40" s="36" t="n">
        <v>25</v>
      </c>
      <c r="F40" s="11" t="n">
        <v>30</v>
      </c>
      <c r="G40" s="22" t="n">
        <v>40</v>
      </c>
      <c r="H40" s="40" t="s">
        <v>157</v>
      </c>
      <c r="I40" s="41" t="s">
        <v>158</v>
      </c>
      <c r="J40" s="38" t="s">
        <v>159</v>
      </c>
    </row>
    <row r="41" customFormat="false" ht="18" hidden="false" customHeight="true" outlineLevel="0" collapsed="false">
      <c r="C41" s="34" t="s">
        <v>155</v>
      </c>
      <c r="D41" s="35" t="s">
        <v>151</v>
      </c>
      <c r="E41" s="36" t="n">
        <v>25</v>
      </c>
      <c r="F41" s="11" t="n">
        <v>35</v>
      </c>
      <c r="G41" s="22" t="n">
        <v>45</v>
      </c>
      <c r="H41" s="35" t="s">
        <v>152</v>
      </c>
      <c r="I41" s="37" t="s">
        <v>160</v>
      </c>
      <c r="J41" s="38" t="s">
        <v>161</v>
      </c>
    </row>
    <row r="42" customFormat="false" ht="18" hidden="false" customHeight="true" outlineLevel="0" collapsed="false">
      <c r="C42" s="39" t="s">
        <v>162</v>
      </c>
      <c r="D42" s="40" t="s">
        <v>143</v>
      </c>
      <c r="E42" s="36" t="n">
        <v>25</v>
      </c>
      <c r="F42" s="11" t="n">
        <v>30</v>
      </c>
      <c r="G42" s="22" t="n">
        <v>35</v>
      </c>
      <c r="H42" s="40" t="s">
        <v>144</v>
      </c>
      <c r="I42" s="41" t="s">
        <v>163</v>
      </c>
      <c r="J42" s="38" t="s">
        <v>164</v>
      </c>
    </row>
    <row r="43" customFormat="false" ht="18" hidden="false" customHeight="true" outlineLevel="0" collapsed="false">
      <c r="C43" s="34" t="s">
        <v>165</v>
      </c>
      <c r="D43" s="35" t="s">
        <v>166</v>
      </c>
      <c r="E43" s="36" t="n">
        <v>20</v>
      </c>
      <c r="F43" s="11" t="n">
        <v>28</v>
      </c>
      <c r="G43" s="22" t="n">
        <v>35</v>
      </c>
      <c r="H43" s="35" t="s">
        <v>167</v>
      </c>
      <c r="I43" s="37" t="s">
        <v>168</v>
      </c>
      <c r="J43" s="38" t="s">
        <v>169</v>
      </c>
    </row>
    <row r="44" customFormat="false" ht="18" hidden="false" customHeight="true" outlineLevel="0" collapsed="false">
      <c r="C44" s="39" t="s">
        <v>170</v>
      </c>
      <c r="D44" s="40" t="s">
        <v>171</v>
      </c>
      <c r="E44" s="36" t="n">
        <v>15</v>
      </c>
      <c r="F44" s="11" t="n">
        <v>22</v>
      </c>
      <c r="G44" s="22" t="n">
        <v>30</v>
      </c>
      <c r="H44" s="40" t="s">
        <v>172</v>
      </c>
      <c r="I44" s="42" t="s">
        <v>173</v>
      </c>
      <c r="J44" s="38" t="s">
        <v>174</v>
      </c>
    </row>
    <row r="45" customFormat="false" ht="18" hidden="false" customHeight="true" outlineLevel="0" collapsed="false">
      <c r="C45" s="34" t="s">
        <v>175</v>
      </c>
      <c r="D45" s="35" t="s">
        <v>143</v>
      </c>
      <c r="E45" s="36" t="n">
        <v>10</v>
      </c>
      <c r="F45" s="11" t="n">
        <v>18</v>
      </c>
      <c r="G45" s="22" t="n">
        <v>25</v>
      </c>
      <c r="H45" s="35" t="s">
        <v>176</v>
      </c>
      <c r="I45" s="37" t="s">
        <v>177</v>
      </c>
      <c r="J45" s="38" t="s">
        <v>178</v>
      </c>
    </row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>
      <c r="B48" s="5" t="s">
        <v>179</v>
      </c>
      <c r="C48" s="5"/>
      <c r="D48" s="5"/>
      <c r="E48" s="5"/>
      <c r="F48" s="5"/>
      <c r="G48" s="5"/>
      <c r="H48" s="5"/>
      <c r="I48" s="5"/>
      <c r="J48" s="5"/>
      <c r="K48" s="5"/>
      <c r="L48" s="5"/>
    </row>
    <row r="49" customFormat="false" ht="30" hidden="false" customHeight="true" outlineLevel="0" collapsed="false">
      <c r="B49" s="6" t="s">
        <v>180</v>
      </c>
      <c r="C49" s="6" t="s">
        <v>181</v>
      </c>
      <c r="D49" s="6" t="s">
        <v>182</v>
      </c>
      <c r="E49" s="7" t="s">
        <v>183</v>
      </c>
      <c r="F49" s="7" t="s">
        <v>184</v>
      </c>
      <c r="G49" s="6" t="s">
        <v>140</v>
      </c>
    </row>
    <row r="50" customFormat="false" ht="18" hidden="false" customHeight="true" outlineLevel="0" collapsed="false">
      <c r="B50" s="35" t="n">
        <v>1</v>
      </c>
      <c r="C50" s="13" t="s">
        <v>185</v>
      </c>
      <c r="D50" s="10" t="s">
        <v>186</v>
      </c>
      <c r="E50" s="11" t="s">
        <v>187</v>
      </c>
      <c r="F50" s="14" t="s">
        <v>188</v>
      </c>
      <c r="G50" s="43" t="s">
        <v>189</v>
      </c>
    </row>
    <row r="51" customFormat="false" ht="18" hidden="false" customHeight="true" outlineLevel="0" collapsed="false">
      <c r="B51" s="40" t="n">
        <v>1.5</v>
      </c>
      <c r="C51" s="13" t="s">
        <v>190</v>
      </c>
      <c r="D51" s="10" t="s">
        <v>186</v>
      </c>
      <c r="E51" s="11" t="s">
        <v>191</v>
      </c>
      <c r="F51" s="14" t="s">
        <v>192</v>
      </c>
      <c r="G51" s="43" t="s">
        <v>189</v>
      </c>
    </row>
    <row r="52" customFormat="false" ht="18" hidden="false" customHeight="true" outlineLevel="0" collapsed="false">
      <c r="B52" s="35" t="n">
        <v>2</v>
      </c>
      <c r="C52" s="13" t="s">
        <v>193</v>
      </c>
      <c r="D52" s="10" t="s">
        <v>186</v>
      </c>
      <c r="E52" s="11" t="s">
        <v>194</v>
      </c>
      <c r="F52" s="14" t="s">
        <v>195</v>
      </c>
      <c r="G52" s="43" t="s">
        <v>189</v>
      </c>
    </row>
    <row r="53" customFormat="false" ht="18" hidden="false" customHeight="true" outlineLevel="0" collapsed="false">
      <c r="B53" s="40" t="n">
        <v>2.5</v>
      </c>
      <c r="C53" s="13" t="s">
        <v>196</v>
      </c>
      <c r="D53" s="10" t="s">
        <v>186</v>
      </c>
      <c r="E53" s="11" t="s">
        <v>197</v>
      </c>
      <c r="F53" s="14" t="s">
        <v>198</v>
      </c>
      <c r="G53" s="43" t="s">
        <v>189</v>
      </c>
    </row>
    <row r="54" customFormat="false" ht="18" hidden="false" customHeight="true" outlineLevel="0" collapsed="false">
      <c r="B54" s="35" t="n">
        <v>3</v>
      </c>
      <c r="C54" s="13" t="s">
        <v>197</v>
      </c>
      <c r="D54" s="10" t="s">
        <v>186</v>
      </c>
      <c r="E54" s="11" t="s">
        <v>199</v>
      </c>
      <c r="F54" s="14" t="s">
        <v>200</v>
      </c>
      <c r="G54" s="43" t="s">
        <v>201</v>
      </c>
    </row>
    <row r="55" customFormat="false" ht="18" hidden="false" customHeight="true" outlineLevel="0" collapsed="false">
      <c r="B55" s="40" t="n">
        <v>4</v>
      </c>
      <c r="C55" s="13" t="s">
        <v>202</v>
      </c>
      <c r="D55" s="10" t="s">
        <v>186</v>
      </c>
      <c r="E55" s="11" t="s">
        <v>203</v>
      </c>
      <c r="F55" s="14" t="s">
        <v>204</v>
      </c>
      <c r="G55" s="43" t="s">
        <v>201</v>
      </c>
    </row>
    <row r="56" customFormat="false" ht="18" hidden="false" customHeight="true" outlineLevel="0" collapsed="false">
      <c r="B56" s="35" t="n">
        <v>5</v>
      </c>
      <c r="C56" s="13" t="s">
        <v>205</v>
      </c>
      <c r="D56" s="10" t="s">
        <v>186</v>
      </c>
      <c r="E56" s="11" t="s">
        <v>206</v>
      </c>
      <c r="F56" s="14" t="s">
        <v>207</v>
      </c>
      <c r="G56" s="43" t="s">
        <v>201</v>
      </c>
    </row>
    <row r="57" customFormat="false" ht="18" hidden="false" customHeight="true" outlineLevel="0" collapsed="false">
      <c r="B57" s="40" t="n">
        <v>6</v>
      </c>
      <c r="C57" s="13" t="s">
        <v>206</v>
      </c>
      <c r="D57" s="10" t="s">
        <v>186</v>
      </c>
      <c r="E57" s="11" t="s">
        <v>208</v>
      </c>
      <c r="F57" s="14" t="s">
        <v>209</v>
      </c>
      <c r="G57" s="43" t="s">
        <v>201</v>
      </c>
    </row>
    <row r="58" customFormat="false" ht="18" hidden="false" customHeight="true" outlineLevel="0" collapsed="false">
      <c r="B58" s="35" t="n">
        <v>8</v>
      </c>
      <c r="C58" s="13" t="s">
        <v>210</v>
      </c>
      <c r="D58" s="10" t="s">
        <v>186</v>
      </c>
      <c r="E58" s="11" t="s">
        <v>211</v>
      </c>
      <c r="F58" s="14" t="s">
        <v>212</v>
      </c>
      <c r="G58" s="43" t="s">
        <v>201</v>
      </c>
    </row>
    <row r="59" customFormat="false" ht="18" hidden="false" customHeight="true" outlineLevel="0" collapsed="false">
      <c r="B59" s="40" t="n">
        <v>10</v>
      </c>
      <c r="C59" s="13" t="s">
        <v>213</v>
      </c>
      <c r="D59" s="15" t="s">
        <v>214</v>
      </c>
      <c r="E59" s="11" t="s">
        <v>215</v>
      </c>
      <c r="F59" s="14" t="s">
        <v>216</v>
      </c>
      <c r="G59" s="43" t="s">
        <v>217</v>
      </c>
    </row>
    <row r="60" customFormat="false" ht="18" hidden="false" customHeight="true" outlineLevel="0" collapsed="false">
      <c r="B60" s="35" t="n">
        <v>12</v>
      </c>
      <c r="C60" s="13" t="s">
        <v>215</v>
      </c>
      <c r="D60" s="15" t="s">
        <v>214</v>
      </c>
      <c r="E60" s="11" t="s">
        <v>218</v>
      </c>
      <c r="F60" s="14" t="s">
        <v>219</v>
      </c>
      <c r="G60" s="43" t="s">
        <v>217</v>
      </c>
    </row>
    <row r="61" customFormat="false" ht="18" hidden="false" customHeight="true" outlineLevel="0" collapsed="false">
      <c r="B61" s="40" t="n">
        <v>16</v>
      </c>
      <c r="C61" s="13" t="s">
        <v>220</v>
      </c>
      <c r="D61" s="15" t="s">
        <v>214</v>
      </c>
      <c r="E61" s="11" t="s">
        <v>221</v>
      </c>
      <c r="F61" s="14" t="s">
        <v>222</v>
      </c>
      <c r="G61" s="43" t="s">
        <v>217</v>
      </c>
    </row>
    <row r="62" customFormat="false" ht="18" hidden="false" customHeight="true" outlineLevel="0" collapsed="false">
      <c r="B62" s="35" t="n">
        <v>20</v>
      </c>
      <c r="C62" s="13" t="s">
        <v>32</v>
      </c>
      <c r="D62" s="11" t="s">
        <v>223</v>
      </c>
      <c r="E62" s="11" t="s">
        <v>224</v>
      </c>
      <c r="F62" s="14" t="s">
        <v>225</v>
      </c>
      <c r="G62" s="43" t="s">
        <v>217</v>
      </c>
    </row>
    <row r="63" customFormat="false" ht="18" hidden="false" customHeight="true" outlineLevel="0" collapsed="false"/>
    <row r="64" customFormat="false" ht="18" hidden="false" customHeight="true" outlineLevel="0" collapsed="false"/>
    <row r="65" customFormat="false" ht="18" hidden="false" customHeight="true" outlineLevel="0" collapsed="false">
      <c r="B65" s="5" t="s">
        <v>226</v>
      </c>
      <c r="C65" s="5"/>
      <c r="D65" s="5"/>
      <c r="E65" s="5"/>
      <c r="F65" s="5"/>
      <c r="G65" s="5"/>
      <c r="H65" s="5"/>
      <c r="I65" s="5"/>
      <c r="J65" s="5"/>
      <c r="K65" s="5"/>
      <c r="L65" s="5"/>
    </row>
    <row r="66" customFormat="false" ht="24" hidden="false" customHeight="true" outlineLevel="0" collapsed="false">
      <c r="B66" s="44" t="s">
        <v>227</v>
      </c>
      <c r="C66" s="45" t="s">
        <v>228</v>
      </c>
      <c r="D66" s="45" t="s">
        <v>229</v>
      </c>
      <c r="E66" s="45" t="s">
        <v>230</v>
      </c>
      <c r="F66" s="45" t="s">
        <v>231</v>
      </c>
    </row>
    <row r="67" customFormat="false" ht="18" hidden="false" customHeight="true" outlineLevel="0" collapsed="false">
      <c r="B67" s="46" t="s">
        <v>232</v>
      </c>
      <c r="C67" s="46" t="s">
        <v>233</v>
      </c>
      <c r="D67" s="46" t="s">
        <v>234</v>
      </c>
      <c r="E67" s="46" t="s">
        <v>235</v>
      </c>
      <c r="F67" s="46" t="s">
        <v>236</v>
      </c>
    </row>
    <row r="68" customFormat="false" ht="18" hidden="false" customHeight="true" outlineLevel="0" collapsed="false">
      <c r="B68" s="42" t="s">
        <v>237</v>
      </c>
      <c r="C68" s="42" t="s">
        <v>238</v>
      </c>
      <c r="D68" s="42" t="s">
        <v>239</v>
      </c>
      <c r="E68" s="42" t="s">
        <v>240</v>
      </c>
      <c r="F68" s="42" t="s">
        <v>241</v>
      </c>
    </row>
    <row r="69" customFormat="false" ht="18" hidden="false" customHeight="true" outlineLevel="0" collapsed="false">
      <c r="B69" s="46" t="s">
        <v>242</v>
      </c>
      <c r="C69" s="46" t="s">
        <v>243</v>
      </c>
      <c r="D69" s="46" t="s">
        <v>244</v>
      </c>
      <c r="E69" s="46" t="s">
        <v>245</v>
      </c>
      <c r="F69" s="46" t="s">
        <v>246</v>
      </c>
    </row>
    <row r="70" customFormat="false" ht="18" hidden="false" customHeight="true" outlineLevel="0" collapsed="false">
      <c r="B70" s="42" t="s">
        <v>247</v>
      </c>
      <c r="C70" s="42" t="s">
        <v>248</v>
      </c>
      <c r="D70" s="42" t="s">
        <v>249</v>
      </c>
      <c r="E70" s="42" t="s">
        <v>250</v>
      </c>
      <c r="F70" s="41" t="s">
        <v>251</v>
      </c>
    </row>
    <row r="71" customFormat="false" ht="18" hidden="false" customHeight="true" outlineLevel="0" collapsed="false">
      <c r="B71" s="46" t="s">
        <v>252</v>
      </c>
      <c r="C71" s="46" t="s">
        <v>253</v>
      </c>
      <c r="D71" s="46" t="s">
        <v>254</v>
      </c>
      <c r="E71" s="37" t="s">
        <v>255</v>
      </c>
      <c r="F71" s="46" t="s">
        <v>256</v>
      </c>
    </row>
    <row r="72" customFormat="false" ht="18" hidden="false" customHeight="true" outlineLevel="0" collapsed="false">
      <c r="B72" s="42" t="s">
        <v>257</v>
      </c>
      <c r="C72" s="42" t="s">
        <v>258</v>
      </c>
      <c r="D72" s="42" t="s">
        <v>259</v>
      </c>
      <c r="E72" s="41" t="s">
        <v>260</v>
      </c>
      <c r="F72" s="41" t="s">
        <v>261</v>
      </c>
    </row>
    <row r="73" customFormat="false" ht="18" hidden="false" customHeight="true" outlineLevel="0" collapsed="false">
      <c r="B73" s="46" t="s">
        <v>262</v>
      </c>
      <c r="C73" s="46" t="s">
        <v>263</v>
      </c>
      <c r="D73" s="46" t="s">
        <v>264</v>
      </c>
      <c r="E73" s="37" t="s">
        <v>265</v>
      </c>
      <c r="F73" s="37" t="s">
        <v>266</v>
      </c>
    </row>
    <row r="74" customFormat="false" ht="18" hidden="false" customHeight="true" outlineLevel="0" collapsed="false"/>
    <row r="75" customFormat="false" ht="30" hidden="false" customHeight="true" outlineLevel="0" collapsed="false">
      <c r="B75" s="47" t="s">
        <v>267</v>
      </c>
      <c r="C75" s="47"/>
      <c r="D75" s="47"/>
      <c r="E75" s="47"/>
      <c r="F75" s="47"/>
      <c r="G75" s="47"/>
      <c r="H75" s="47"/>
      <c r="I75" s="47"/>
      <c r="J75" s="47"/>
      <c r="K75" s="47"/>
      <c r="L75" s="47"/>
    </row>
    <row r="76" customFormat="false" ht="18" hidden="false" customHeight="true" outlineLevel="0" collapsed="false"/>
    <row r="77" customFormat="false" ht="18" hidden="false" customHeight="true" outlineLevel="0" collapsed="false"/>
    <row r="78" customFormat="false" ht="18" hidden="false" customHeight="true" outlineLevel="0" collapsed="false"/>
    <row r="79" customFormat="false" ht="18" hidden="false" customHeight="true" outlineLevel="0" collapsed="false"/>
    <row r="80" customFormat="false" ht="18" hidden="false" customHeight="true" outlineLevel="0" collapsed="false"/>
    <row r="81" customFormat="false" ht="18" hidden="false" customHeight="true" outlineLevel="0" collapsed="false"/>
    <row r="82" customFormat="false" ht="18" hidden="false" customHeight="true" outlineLevel="0" collapsed="false"/>
    <row r="83" customFormat="false" ht="18" hidden="false" customHeight="true" outlineLevel="0" collapsed="false"/>
    <row r="84" customFormat="false" ht="18" hidden="false" customHeight="true" outlineLevel="0" collapsed="false"/>
    <row r="85" customFormat="false" ht="18" hidden="false" customHeight="true" outlineLevel="0" collapsed="false"/>
    <row r="86" customFormat="false" ht="18" hidden="false" customHeight="true" outlineLevel="0" collapsed="false"/>
    <row r="87" customFormat="false" ht="18" hidden="false" customHeight="true" outlineLevel="0" collapsed="false"/>
    <row r="88" customFormat="false" ht="18" hidden="false" customHeight="true" outlineLevel="0" collapsed="false"/>
    <row r="89" customFormat="false" ht="18" hidden="false" customHeight="true" outlineLevel="0" collapsed="false"/>
    <row r="90" customFormat="false" ht="18" hidden="false" customHeight="true" outlineLevel="0" collapsed="false"/>
    <row r="91" customFormat="false" ht="18" hidden="false" customHeight="true" outlineLevel="0" collapsed="false"/>
    <row r="92" customFormat="false" ht="18" hidden="false" customHeight="true" outlineLevel="0" collapsed="false"/>
    <row r="93" customFormat="false" ht="18" hidden="false" customHeight="true" outlineLevel="0" collapsed="false"/>
    <row r="94" customFormat="false" ht="18" hidden="false" customHeight="true" outlineLevel="0" collapsed="false"/>
    <row r="95" customFormat="false" ht="18" hidden="false" customHeight="true" outlineLevel="0" collapsed="false"/>
    <row r="96" customFormat="false" ht="18" hidden="false" customHeight="true" outlineLevel="0" collapsed="false"/>
    <row r="97" customFormat="false" ht="18" hidden="false" customHeight="true" outlineLevel="0" collapsed="false"/>
    <row r="98" customFormat="false" ht="18" hidden="false" customHeight="true" outlineLevel="0" collapsed="false"/>
    <row r="99" customFormat="false" ht="18" hidden="false" customHeight="true" outlineLevel="0" collapsed="false"/>
    <row r="100" customFormat="false" ht="18" hidden="false" customHeight="true" outlineLevel="0" collapsed="false"/>
    <row r="101" customFormat="false" ht="18" hidden="false" customHeight="true" outlineLevel="0" collapsed="false"/>
    <row r="102" customFormat="false" ht="18" hidden="false" customHeight="true" outlineLevel="0" collapsed="false"/>
    <row r="103" customFormat="false" ht="18" hidden="false" customHeight="true" outlineLevel="0" collapsed="false"/>
    <row r="104" customFormat="false" ht="18" hidden="false" customHeight="true" outlineLevel="0" collapsed="false"/>
    <row r="105" customFormat="false" ht="18" hidden="false" customHeight="true" outlineLevel="0" collapsed="false"/>
    <row r="106" customFormat="false" ht="18" hidden="false" customHeight="true" outlineLevel="0" collapsed="false"/>
    <row r="107" customFormat="false" ht="18" hidden="false" customHeight="true" outlineLevel="0" collapsed="false"/>
    <row r="108" customFormat="false" ht="18" hidden="false" customHeight="true" outlineLevel="0" collapsed="false"/>
    <row r="109" customFormat="false" ht="18" hidden="false" customHeight="true" outlineLevel="0" collapsed="false"/>
    <row r="110" customFormat="false" ht="18" hidden="false" customHeight="true" outlineLevel="0" collapsed="false"/>
    <row r="111" customFormat="false" ht="18" hidden="false" customHeight="true" outlineLevel="0" collapsed="false"/>
    <row r="112" customFormat="false" ht="18" hidden="false" customHeight="true" outlineLevel="0" collapsed="false"/>
    <row r="113" customFormat="false" ht="18" hidden="false" customHeight="true" outlineLevel="0" collapsed="false"/>
    <row r="114" customFormat="false" ht="18" hidden="false" customHeight="true" outlineLevel="0" collapsed="false"/>
    <row r="115" customFormat="false" ht="18" hidden="false" customHeight="true" outlineLevel="0" collapsed="false"/>
    <row r="116" customFormat="false" ht="18" hidden="false" customHeight="true" outlineLevel="0" collapsed="false"/>
    <row r="117" customFormat="false" ht="18" hidden="false" customHeight="true" outlineLevel="0" collapsed="false"/>
    <row r="118" customFormat="false" ht="18" hidden="false" customHeight="true" outlineLevel="0" collapsed="false"/>
    <row r="119" customFormat="false" ht="18" hidden="false" customHeight="true" outlineLevel="0" collapsed="false"/>
  </sheetData>
  <mergeCells count="16">
    <mergeCell ref="B1:L1"/>
    <mergeCell ref="B2:L2"/>
    <mergeCell ref="B3:L3"/>
    <mergeCell ref="B5:L5"/>
    <mergeCell ref="B25:D25"/>
    <mergeCell ref="C26:L26"/>
    <mergeCell ref="C27:L27"/>
    <mergeCell ref="C28:L28"/>
    <mergeCell ref="C29:L29"/>
    <mergeCell ref="C30:L30"/>
    <mergeCell ref="C31:L31"/>
    <mergeCell ref="C32:L32"/>
    <mergeCell ref="B35:L35"/>
    <mergeCell ref="B48:L48"/>
    <mergeCell ref="B65:L65"/>
    <mergeCell ref="B75:L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6"/>
    <col collapsed="false" customWidth="true" hidden="false" outlineLevel="0" max="7" min="3" style="1" width="20"/>
    <col collapsed="false" customWidth="true" hidden="false" outlineLevel="0" max="8" min="8" style="1" width="26"/>
  </cols>
  <sheetData>
    <row r="1" customFormat="false" ht="18.75" hidden="false" customHeight="true" outlineLevel="0" collapsed="false">
      <c r="B1" s="48" t="s">
        <v>268</v>
      </c>
      <c r="C1" s="48"/>
      <c r="D1" s="48"/>
      <c r="E1" s="48"/>
      <c r="F1" s="48"/>
      <c r="G1" s="48"/>
      <c r="H1" s="48"/>
    </row>
    <row r="3" customFormat="false" ht="15" hidden="false" customHeight="true" outlineLevel="0" collapsed="false">
      <c r="B3" s="49" t="s">
        <v>269</v>
      </c>
      <c r="C3" s="49"/>
      <c r="D3" s="49"/>
      <c r="E3" s="49"/>
      <c r="F3" s="49"/>
      <c r="G3" s="49"/>
      <c r="H3" s="49"/>
    </row>
    <row r="4" customFormat="false" ht="15" hidden="false" customHeight="true" outlineLevel="0" collapsed="false">
      <c r="B4" s="50" t="s">
        <v>270</v>
      </c>
      <c r="C4" s="51" t="n">
        <v>150</v>
      </c>
      <c r="D4" s="50" t="s">
        <v>271</v>
      </c>
      <c r="E4" s="51" t="n">
        <v>4000</v>
      </c>
      <c r="F4" s="50" t="s">
        <v>272</v>
      </c>
      <c r="G4" s="52" t="n">
        <f aca="false">ROUND(PI()*C4*E4/60000,2)</f>
        <v>31.42</v>
      </c>
    </row>
    <row r="6" customFormat="false" ht="15" hidden="false" customHeight="true" outlineLevel="0" collapsed="false">
      <c r="B6" s="49" t="s">
        <v>273</v>
      </c>
      <c r="C6" s="49"/>
      <c r="D6" s="49"/>
      <c r="E6" s="49"/>
      <c r="F6" s="49"/>
      <c r="G6" s="49"/>
      <c r="H6" s="49"/>
    </row>
    <row r="7" customFormat="false" ht="15" hidden="false" customHeight="true" outlineLevel="0" collapsed="false">
      <c r="B7" s="50" t="s">
        <v>270</v>
      </c>
      <c r="C7" s="51" t="n">
        <v>125</v>
      </c>
      <c r="D7" s="50" t="s">
        <v>274</v>
      </c>
      <c r="E7" s="51" t="n">
        <v>30</v>
      </c>
      <c r="F7" s="50" t="s">
        <v>275</v>
      </c>
      <c r="G7" s="52" t="n">
        <f aca="false">ROUND(60000*E7/(PI()*C7),0)</f>
        <v>4584</v>
      </c>
    </row>
    <row r="9" customFormat="false" ht="15" hidden="false" customHeight="true" outlineLevel="0" collapsed="false">
      <c r="B9" s="49" t="s">
        <v>276</v>
      </c>
      <c r="C9" s="49"/>
      <c r="D9" s="49"/>
      <c r="E9" s="49"/>
      <c r="F9" s="49"/>
      <c r="G9" s="49"/>
      <c r="H9" s="49"/>
    </row>
    <row r="10" customFormat="false" ht="15" hidden="false" customHeight="true" outlineLevel="0" collapsed="false">
      <c r="B10" s="50" t="s">
        <v>271</v>
      </c>
      <c r="C10" s="51" t="n">
        <v>6000</v>
      </c>
      <c r="D10" s="50" t="s">
        <v>274</v>
      </c>
      <c r="E10" s="51" t="n">
        <v>30</v>
      </c>
      <c r="F10" s="50" t="s">
        <v>277</v>
      </c>
      <c r="G10" s="52" t="n">
        <f aca="false">ROUND(60000*E10/(PI()*C10),1)</f>
        <v>95.5</v>
      </c>
    </row>
    <row r="12" customFormat="false" ht="15" hidden="false" customHeight="true" outlineLevel="0" collapsed="false">
      <c r="B12" s="53" t="s">
        <v>278</v>
      </c>
      <c r="C12" s="53"/>
      <c r="D12" s="53"/>
      <c r="E12" s="53"/>
      <c r="F12" s="53"/>
      <c r="G12" s="53"/>
      <c r="H12" s="53"/>
    </row>
    <row r="13" customFormat="false" ht="21.75" hidden="false" customHeight="true" outlineLevel="0" collapsed="false">
      <c r="B13" s="7" t="s">
        <v>279</v>
      </c>
      <c r="C13" s="6" t="s">
        <v>280</v>
      </c>
      <c r="D13" s="54" t="s">
        <v>281</v>
      </c>
      <c r="E13" s="54" t="s">
        <v>282</v>
      </c>
      <c r="F13" s="54" t="s">
        <v>283</v>
      </c>
    </row>
    <row r="14" customFormat="false" ht="21.75" hidden="false" customHeight="true" outlineLevel="0" collapsed="false">
      <c r="B14" s="55" t="s">
        <v>284</v>
      </c>
      <c r="C14" s="39" t="s">
        <v>285</v>
      </c>
      <c r="D14" s="42" t="s">
        <v>286</v>
      </c>
      <c r="E14" s="41" t="s">
        <v>287</v>
      </c>
      <c r="F14" s="42" t="s">
        <v>288</v>
      </c>
    </row>
    <row r="15" customFormat="false" ht="21.75" hidden="false" customHeight="true" outlineLevel="0" collapsed="false">
      <c r="B15" s="56" t="s">
        <v>289</v>
      </c>
      <c r="C15" s="34" t="s">
        <v>290</v>
      </c>
      <c r="D15" s="46" t="s">
        <v>291</v>
      </c>
      <c r="E15" s="37" t="s">
        <v>292</v>
      </c>
      <c r="F15" s="46" t="s">
        <v>293</v>
      </c>
    </row>
    <row r="16" customFormat="false" ht="21.75" hidden="false" customHeight="true" outlineLevel="0" collapsed="false">
      <c r="B16" s="57" t="s">
        <v>294</v>
      </c>
      <c r="C16" s="39" t="s">
        <v>295</v>
      </c>
      <c r="D16" s="41" t="s">
        <v>296</v>
      </c>
      <c r="E16" s="41" t="s">
        <v>297</v>
      </c>
      <c r="F16" s="42" t="s">
        <v>298</v>
      </c>
    </row>
    <row r="17" customFormat="false" ht="21.75" hidden="false" customHeight="true" outlineLevel="0" collapsed="false">
      <c r="B17" s="13" t="s">
        <v>299</v>
      </c>
      <c r="C17" s="35" t="s">
        <v>300</v>
      </c>
      <c r="D17" s="37" t="s">
        <v>301</v>
      </c>
      <c r="E17" s="37" t="s">
        <v>302</v>
      </c>
      <c r="F17" s="46" t="s">
        <v>303</v>
      </c>
    </row>
    <row r="18" customFormat="false" ht="21.75" hidden="false" customHeight="true" outlineLevel="0" collapsed="false">
      <c r="B18" s="58" t="s">
        <v>304</v>
      </c>
      <c r="C18" s="39" t="s">
        <v>305</v>
      </c>
      <c r="D18" s="41" t="s">
        <v>306</v>
      </c>
      <c r="E18" s="42" t="s">
        <v>307</v>
      </c>
      <c r="F18" s="42" t="s">
        <v>161</v>
      </c>
    </row>
    <row r="19" customFormat="false" ht="21.75" hidden="false" customHeight="true" outlineLevel="0" collapsed="false">
      <c r="B19" s="57" t="s">
        <v>308</v>
      </c>
      <c r="C19" s="34" t="s">
        <v>309</v>
      </c>
      <c r="D19" s="46" t="s">
        <v>310</v>
      </c>
      <c r="E19" s="46" t="s">
        <v>311</v>
      </c>
      <c r="F19" s="46" t="s">
        <v>312</v>
      </c>
    </row>
    <row r="20" customFormat="false" ht="21.75" hidden="false" customHeight="true" outlineLevel="0" collapsed="false">
      <c r="B20" s="55" t="s">
        <v>313</v>
      </c>
      <c r="C20" s="39" t="s">
        <v>314</v>
      </c>
      <c r="D20" s="42" t="s">
        <v>315</v>
      </c>
      <c r="E20" s="42" t="s">
        <v>316</v>
      </c>
      <c r="F20" s="42" t="s">
        <v>317</v>
      </c>
    </row>
  </sheetData>
  <mergeCells count="5">
    <mergeCell ref="B1:H1"/>
    <mergeCell ref="B3:H3"/>
    <mergeCell ref="B6:H6"/>
    <mergeCell ref="B9:H9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8"/>
    <col collapsed="false" customWidth="true" hidden="false" outlineLevel="0" max="3" min="3" style="1" width="28"/>
    <col collapsed="false" customWidth="true" hidden="false" outlineLevel="0" max="4" min="4" style="1" width="42"/>
    <col collapsed="false" customWidth="true" hidden="false" outlineLevel="0" max="5" min="5" style="1" width="30"/>
    <col collapsed="false" customWidth="true" hidden="false" outlineLevel="0" max="6" min="6" style="1" width="16"/>
    <col collapsed="false" customWidth="true" hidden="false" outlineLevel="0" max="7" min="7" style="1" width="20"/>
  </cols>
  <sheetData>
    <row r="1" customFormat="false" ht="15" hidden="false" customHeight="true" outlineLevel="0" collapsed="false">
      <c r="B1" s="48" t="s">
        <v>318</v>
      </c>
      <c r="C1" s="48"/>
      <c r="D1" s="48"/>
      <c r="E1" s="48"/>
      <c r="F1" s="48"/>
      <c r="G1" s="48"/>
    </row>
    <row r="3" customFormat="false" ht="36" hidden="false" customHeight="true" outlineLevel="0" collapsed="false">
      <c r="B3" s="6" t="s">
        <v>319</v>
      </c>
      <c r="C3" s="6" t="s">
        <v>320</v>
      </c>
      <c r="D3" s="54" t="s">
        <v>321</v>
      </c>
      <c r="E3" s="54" t="s">
        <v>322</v>
      </c>
      <c r="F3" s="54" t="s">
        <v>323</v>
      </c>
      <c r="G3" s="54" t="s">
        <v>140</v>
      </c>
    </row>
    <row r="4" customFormat="false" ht="36" hidden="false" customHeight="true" outlineLevel="0" collapsed="false">
      <c r="B4" s="59" t="s">
        <v>324</v>
      </c>
      <c r="C4" s="40" t="s">
        <v>325</v>
      </c>
      <c r="D4" s="42" t="s">
        <v>326</v>
      </c>
      <c r="E4" s="42" t="s">
        <v>327</v>
      </c>
      <c r="F4" s="42" t="s">
        <v>328</v>
      </c>
      <c r="G4" s="41" t="s">
        <v>329</v>
      </c>
    </row>
    <row r="5" customFormat="false" ht="36" hidden="false" customHeight="true" outlineLevel="0" collapsed="false">
      <c r="B5" s="60" t="s">
        <v>330</v>
      </c>
      <c r="C5" s="35" t="s">
        <v>331</v>
      </c>
      <c r="D5" s="46" t="s">
        <v>332</v>
      </c>
      <c r="E5" s="46" t="s">
        <v>333</v>
      </c>
      <c r="F5" s="46" t="s">
        <v>334</v>
      </c>
      <c r="G5" s="37" t="s">
        <v>335</v>
      </c>
    </row>
    <row r="6" customFormat="false" ht="36" hidden="false" customHeight="true" outlineLevel="0" collapsed="false">
      <c r="B6" s="61" t="s">
        <v>336</v>
      </c>
      <c r="C6" s="40" t="s">
        <v>337</v>
      </c>
      <c r="D6" s="41" t="s">
        <v>338</v>
      </c>
      <c r="E6" s="42" t="s">
        <v>339</v>
      </c>
      <c r="F6" s="41" t="s">
        <v>340</v>
      </c>
      <c r="G6" s="41" t="s">
        <v>341</v>
      </c>
    </row>
    <row r="7" customFormat="false" ht="36" hidden="false" customHeight="true" outlineLevel="0" collapsed="false">
      <c r="B7" s="62" t="s">
        <v>342</v>
      </c>
      <c r="C7" s="35" t="s">
        <v>343</v>
      </c>
      <c r="D7" s="37" t="s">
        <v>344</v>
      </c>
      <c r="E7" s="46" t="s">
        <v>345</v>
      </c>
      <c r="F7" s="46" t="s">
        <v>346</v>
      </c>
      <c r="G7" s="37" t="s">
        <v>347</v>
      </c>
    </row>
    <row r="8" customFormat="false" ht="36" hidden="false" customHeight="true" outlineLevel="0" collapsed="false">
      <c r="B8" s="63" t="s">
        <v>348</v>
      </c>
      <c r="C8" s="40" t="s">
        <v>349</v>
      </c>
      <c r="D8" s="41" t="s">
        <v>350</v>
      </c>
      <c r="E8" s="41" t="s">
        <v>351</v>
      </c>
      <c r="F8" s="41" t="s">
        <v>352</v>
      </c>
      <c r="G8" s="41" t="s">
        <v>353</v>
      </c>
    </row>
  </sheetData>
  <mergeCells count="1">
    <mergeCell ref="B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5" min="4" style="0" width="20"/>
    <col collapsed="false" customWidth="true" hidden="false" outlineLevel="0" max="6" min="6" style="0" width="12"/>
    <col collapsed="false" customWidth="true" hidden="false" outlineLevel="0" max="12" min="7" style="0" width="13"/>
    <col collapsed="false" customWidth="true" hidden="false" outlineLevel="0" max="13" min="13" style="0" width="20"/>
    <col collapsed="false" customWidth="true" hidden="false" outlineLevel="0" max="14" min="14" style="0" width="34"/>
  </cols>
  <sheetData>
    <row r="1" customFormat="false" ht="25.5" hidden="false" customHeight="true" outlineLevel="0" collapsed="false">
      <c r="B1" s="64" t="s">
        <v>354</v>
      </c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</row>
    <row r="2" customFormat="false" ht="19.5" hidden="false" customHeight="true" outlineLevel="0" collapsed="false">
      <c r="B2" s="65" t="s">
        <v>355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customFormat="false" ht="18" hidden="false" customHeight="true" outlineLevel="0" collapsed="false">
      <c r="B3" s="66" t="s">
        <v>356</v>
      </c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</row>
    <row r="5" customFormat="false" ht="42" hidden="false" customHeight="true" outlineLevel="0" collapsed="false">
      <c r="B5" s="67" t="s">
        <v>357</v>
      </c>
      <c r="C5" s="67" t="s">
        <v>358</v>
      </c>
      <c r="D5" s="67" t="s">
        <v>359</v>
      </c>
      <c r="E5" s="67" t="s">
        <v>360</v>
      </c>
      <c r="F5" s="67" t="s">
        <v>361</v>
      </c>
      <c r="G5" s="7" t="s">
        <v>362</v>
      </c>
      <c r="H5" s="7" t="s">
        <v>363</v>
      </c>
      <c r="I5" s="7" t="s">
        <v>364</v>
      </c>
      <c r="J5" s="7" t="s">
        <v>365</v>
      </c>
      <c r="K5" s="7" t="s">
        <v>366</v>
      </c>
      <c r="L5" s="7" t="s">
        <v>367</v>
      </c>
      <c r="M5" s="7" t="s">
        <v>368</v>
      </c>
      <c r="N5" s="67" t="s">
        <v>369</v>
      </c>
      <c r="O5" s="67" t="s">
        <v>141</v>
      </c>
    </row>
    <row r="6" customFormat="false" ht="15.75" hidden="false" customHeight="true" outlineLevel="0" collapsed="false">
      <c r="B6" s="68" t="s">
        <v>370</v>
      </c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</row>
    <row r="7" customFormat="false" ht="43.5" hidden="false" customHeight="true" outlineLevel="0" collapsed="false">
      <c r="B7" s="7" t="s">
        <v>371</v>
      </c>
      <c r="C7" s="35" t="s">
        <v>372</v>
      </c>
      <c r="D7" s="69" t="s">
        <v>373</v>
      </c>
      <c r="E7" s="69" t="s">
        <v>374</v>
      </c>
      <c r="F7" s="70" t="s">
        <v>375</v>
      </c>
      <c r="G7" s="57" t="n">
        <v>25</v>
      </c>
      <c r="H7" s="11" t="s">
        <v>376</v>
      </c>
      <c r="I7" s="13" t="n">
        <v>30</v>
      </c>
      <c r="J7" s="13" t="s">
        <v>377</v>
      </c>
      <c r="K7" s="58" t="n">
        <v>35</v>
      </c>
      <c r="L7" s="14" t="s">
        <v>378</v>
      </c>
      <c r="M7" s="71" t="n">
        <v>40</v>
      </c>
      <c r="N7" s="72" t="s">
        <v>379</v>
      </c>
      <c r="O7" s="73" t="s">
        <v>380</v>
      </c>
    </row>
    <row r="8" customFormat="false" ht="43.5" hidden="false" customHeight="true" outlineLevel="0" collapsed="false">
      <c r="B8" s="7" t="s">
        <v>381</v>
      </c>
      <c r="C8" s="40" t="s">
        <v>372</v>
      </c>
      <c r="D8" s="74" t="s">
        <v>373</v>
      </c>
      <c r="E8" s="74" t="s">
        <v>382</v>
      </c>
      <c r="F8" s="75" t="s">
        <v>383</v>
      </c>
      <c r="G8" s="57" t="n">
        <v>25</v>
      </c>
      <c r="H8" s="11" t="s">
        <v>384</v>
      </c>
      <c r="I8" s="13" t="n">
        <v>30</v>
      </c>
      <c r="J8" s="13" t="s">
        <v>385</v>
      </c>
      <c r="K8" s="58" t="n">
        <v>35</v>
      </c>
      <c r="L8" s="14" t="s">
        <v>386</v>
      </c>
      <c r="M8" s="71" t="n">
        <v>40</v>
      </c>
      <c r="N8" s="76" t="s">
        <v>387</v>
      </c>
      <c r="O8" s="73" t="s">
        <v>388</v>
      </c>
    </row>
    <row r="9" customFormat="false" ht="15.75" hidden="false" customHeight="true" outlineLevel="0" collapsed="false">
      <c r="B9" s="77" t="s">
        <v>389</v>
      </c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</row>
    <row r="10" customFormat="false" ht="43.5" hidden="false" customHeight="true" outlineLevel="0" collapsed="false">
      <c r="B10" s="7" t="s">
        <v>390</v>
      </c>
      <c r="C10" s="35" t="s">
        <v>372</v>
      </c>
      <c r="D10" s="69" t="s">
        <v>391</v>
      </c>
      <c r="E10" s="69" t="s">
        <v>374</v>
      </c>
      <c r="F10" s="70" t="s">
        <v>392</v>
      </c>
      <c r="G10" s="57" t="n">
        <v>25</v>
      </c>
      <c r="H10" s="11" t="s">
        <v>384</v>
      </c>
      <c r="I10" s="13" t="n">
        <v>30</v>
      </c>
      <c r="J10" s="13" t="s">
        <v>385</v>
      </c>
      <c r="K10" s="58" t="n">
        <v>35</v>
      </c>
      <c r="L10" s="14" t="s">
        <v>386</v>
      </c>
      <c r="M10" s="71" t="n">
        <v>40</v>
      </c>
      <c r="N10" s="72" t="s">
        <v>393</v>
      </c>
      <c r="O10" s="73" t="s">
        <v>394</v>
      </c>
    </row>
    <row r="11" customFormat="false" ht="43.5" hidden="false" customHeight="true" outlineLevel="0" collapsed="false">
      <c r="B11" s="7" t="s">
        <v>395</v>
      </c>
      <c r="C11" s="40" t="s">
        <v>372</v>
      </c>
      <c r="D11" s="74" t="s">
        <v>391</v>
      </c>
      <c r="E11" s="74" t="s">
        <v>374</v>
      </c>
      <c r="F11" s="75" t="s">
        <v>396</v>
      </c>
      <c r="G11" s="57" t="n">
        <v>25</v>
      </c>
      <c r="H11" s="11" t="s">
        <v>384</v>
      </c>
      <c r="I11" s="13" t="n">
        <v>30</v>
      </c>
      <c r="J11" s="13" t="s">
        <v>385</v>
      </c>
      <c r="K11" s="58" t="n">
        <v>35</v>
      </c>
      <c r="L11" s="14" t="s">
        <v>386</v>
      </c>
      <c r="M11" s="71" t="n">
        <v>40</v>
      </c>
      <c r="N11" s="78" t="s">
        <v>397</v>
      </c>
      <c r="O11" s="73" t="s">
        <v>398</v>
      </c>
    </row>
    <row r="12" customFormat="false" ht="43.5" hidden="false" customHeight="true" outlineLevel="0" collapsed="false">
      <c r="B12" s="7" t="s">
        <v>399</v>
      </c>
      <c r="C12" s="35" t="s">
        <v>372</v>
      </c>
      <c r="D12" s="69" t="s">
        <v>391</v>
      </c>
      <c r="E12" s="69" t="s">
        <v>374</v>
      </c>
      <c r="F12" s="70" t="s">
        <v>396</v>
      </c>
      <c r="G12" s="57" t="n">
        <v>25</v>
      </c>
      <c r="H12" s="11" t="s">
        <v>384</v>
      </c>
      <c r="I12" s="13" t="n">
        <v>30</v>
      </c>
      <c r="J12" s="13" t="s">
        <v>385</v>
      </c>
      <c r="K12" s="58" t="n">
        <v>35</v>
      </c>
      <c r="L12" s="14" t="s">
        <v>386</v>
      </c>
      <c r="M12" s="71" t="n">
        <v>40</v>
      </c>
      <c r="N12" s="79" t="s">
        <v>400</v>
      </c>
      <c r="O12" s="73" t="s">
        <v>401</v>
      </c>
    </row>
    <row r="13" customFormat="false" ht="43.5" hidden="false" customHeight="true" outlineLevel="0" collapsed="false">
      <c r="B13" s="7" t="s">
        <v>402</v>
      </c>
      <c r="C13" s="40" t="s">
        <v>372</v>
      </c>
      <c r="D13" s="74" t="s">
        <v>391</v>
      </c>
      <c r="E13" s="74" t="s">
        <v>374</v>
      </c>
      <c r="F13" s="75" t="s">
        <v>392</v>
      </c>
      <c r="G13" s="57" t="n">
        <v>25</v>
      </c>
      <c r="H13" s="11" t="s">
        <v>384</v>
      </c>
      <c r="I13" s="13" t="n">
        <v>30</v>
      </c>
      <c r="J13" s="13" t="s">
        <v>385</v>
      </c>
      <c r="K13" s="58" t="n">
        <v>35</v>
      </c>
      <c r="L13" s="14" t="s">
        <v>386</v>
      </c>
      <c r="M13" s="71" t="n">
        <v>40</v>
      </c>
      <c r="N13" s="76" t="s">
        <v>403</v>
      </c>
      <c r="O13" s="73" t="s">
        <v>404</v>
      </c>
    </row>
    <row r="14" customFormat="false" ht="43.5" hidden="false" customHeight="true" outlineLevel="0" collapsed="false">
      <c r="B14" s="7" t="s">
        <v>405</v>
      </c>
      <c r="C14" s="35" t="s">
        <v>372</v>
      </c>
      <c r="D14" s="69" t="s">
        <v>391</v>
      </c>
      <c r="E14" s="69" t="s">
        <v>374</v>
      </c>
      <c r="F14" s="70" t="s">
        <v>396</v>
      </c>
      <c r="G14" s="57" t="n">
        <v>25</v>
      </c>
      <c r="H14" s="11" t="s">
        <v>384</v>
      </c>
      <c r="I14" s="13" t="n">
        <v>30</v>
      </c>
      <c r="J14" s="13" t="s">
        <v>385</v>
      </c>
      <c r="K14" s="58" t="n">
        <v>35</v>
      </c>
      <c r="L14" s="14" t="s">
        <v>386</v>
      </c>
      <c r="M14" s="71" t="n">
        <v>40</v>
      </c>
      <c r="N14" s="79" t="s">
        <v>406</v>
      </c>
      <c r="O14" s="73" t="s">
        <v>407</v>
      </c>
    </row>
    <row r="15" customFormat="false" ht="43.5" hidden="false" customHeight="true" outlineLevel="0" collapsed="false">
      <c r="B15" s="7" t="s">
        <v>408</v>
      </c>
      <c r="C15" s="40" t="s">
        <v>372</v>
      </c>
      <c r="D15" s="74" t="s">
        <v>391</v>
      </c>
      <c r="E15" s="74" t="s">
        <v>374</v>
      </c>
      <c r="F15" s="75" t="s">
        <v>396</v>
      </c>
      <c r="G15" s="57" t="n">
        <v>25</v>
      </c>
      <c r="H15" s="11" t="s">
        <v>384</v>
      </c>
      <c r="I15" s="13" t="n">
        <v>30</v>
      </c>
      <c r="J15" s="13" t="s">
        <v>385</v>
      </c>
      <c r="K15" s="58" t="n">
        <v>35</v>
      </c>
      <c r="L15" s="14" t="s">
        <v>386</v>
      </c>
      <c r="M15" s="71" t="n">
        <v>40</v>
      </c>
      <c r="N15" s="76" t="s">
        <v>409</v>
      </c>
      <c r="O15" s="73" t="s">
        <v>410</v>
      </c>
    </row>
    <row r="16" customFormat="false" ht="43.5" hidden="false" customHeight="true" outlineLevel="0" collapsed="false">
      <c r="B16" s="7" t="s">
        <v>411</v>
      </c>
      <c r="C16" s="35" t="s">
        <v>412</v>
      </c>
      <c r="D16" s="69" t="s">
        <v>391</v>
      </c>
      <c r="E16" s="69" t="s">
        <v>413</v>
      </c>
      <c r="F16" s="70" t="s">
        <v>414</v>
      </c>
      <c r="G16" s="57" t="n">
        <v>25</v>
      </c>
      <c r="H16" s="11" t="s">
        <v>415</v>
      </c>
      <c r="I16" s="13" t="n">
        <v>35</v>
      </c>
      <c r="J16" s="13" t="s">
        <v>416</v>
      </c>
      <c r="K16" s="57" t="n">
        <v>45</v>
      </c>
      <c r="L16" s="11" t="s">
        <v>417</v>
      </c>
      <c r="M16" s="80" t="n">
        <v>63</v>
      </c>
      <c r="N16" s="79" t="s">
        <v>418</v>
      </c>
      <c r="O16" s="73" t="s">
        <v>419</v>
      </c>
    </row>
    <row r="17" customFormat="false" ht="15.75" hidden="false" customHeight="true" outlineLevel="0" collapsed="false">
      <c r="B17" s="81" t="s">
        <v>420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</row>
    <row r="18" customFormat="false" ht="43.5" hidden="false" customHeight="true" outlineLevel="0" collapsed="false">
      <c r="B18" s="7" t="s">
        <v>421</v>
      </c>
      <c r="C18" s="40" t="s">
        <v>422</v>
      </c>
      <c r="D18" s="40" t="s">
        <v>423</v>
      </c>
      <c r="E18" s="74" t="s">
        <v>374</v>
      </c>
      <c r="F18" s="75" t="s">
        <v>424</v>
      </c>
      <c r="G18" s="57" t="n">
        <v>25</v>
      </c>
      <c r="H18" s="11" t="s">
        <v>425</v>
      </c>
      <c r="I18" s="13" t="n">
        <v>30</v>
      </c>
      <c r="J18" s="13" t="s">
        <v>426</v>
      </c>
      <c r="K18" s="58" t="n">
        <v>35</v>
      </c>
      <c r="L18" s="14" t="s">
        <v>427</v>
      </c>
      <c r="M18" s="71" t="n">
        <v>40</v>
      </c>
      <c r="N18" s="78" t="s">
        <v>428</v>
      </c>
      <c r="O18" s="73" t="s">
        <v>429</v>
      </c>
    </row>
    <row r="19" customFormat="false" ht="15.75" hidden="false" customHeight="true" outlineLevel="0" collapsed="false">
      <c r="B19" s="82" t="s">
        <v>430</v>
      </c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</row>
    <row r="20" customFormat="false" ht="43.5" hidden="false" customHeight="true" outlineLevel="0" collapsed="false">
      <c r="B20" s="7" t="s">
        <v>431</v>
      </c>
      <c r="C20" s="35" t="s">
        <v>432</v>
      </c>
      <c r="D20" s="69" t="s">
        <v>433</v>
      </c>
      <c r="E20" s="69" t="s">
        <v>382</v>
      </c>
      <c r="F20" s="70" t="s">
        <v>434</v>
      </c>
      <c r="G20" s="56" t="n">
        <v>18</v>
      </c>
      <c r="H20" s="15" t="s">
        <v>435</v>
      </c>
      <c r="I20" s="13" t="n">
        <v>25</v>
      </c>
      <c r="J20" s="13" t="s">
        <v>436</v>
      </c>
      <c r="K20" s="58" t="n">
        <v>35</v>
      </c>
      <c r="L20" s="14" t="s">
        <v>437</v>
      </c>
      <c r="M20" s="71" t="n">
        <v>40</v>
      </c>
      <c r="N20" s="79" t="s">
        <v>438</v>
      </c>
      <c r="O20" s="73" t="s">
        <v>439</v>
      </c>
    </row>
    <row r="21" customFormat="false" ht="15.75" hidden="false" customHeight="true" outlineLevel="0" collapsed="false">
      <c r="B21" s="83" t="s">
        <v>440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</row>
    <row r="22" customFormat="false" ht="43.5" hidden="false" customHeight="true" outlineLevel="0" collapsed="false">
      <c r="B22" s="7" t="s">
        <v>441</v>
      </c>
      <c r="C22" s="40" t="s">
        <v>422</v>
      </c>
      <c r="D22" s="74" t="s">
        <v>442</v>
      </c>
      <c r="E22" s="74" t="s">
        <v>382</v>
      </c>
      <c r="F22" s="75" t="s">
        <v>443</v>
      </c>
      <c r="G22" s="57" t="n">
        <v>25</v>
      </c>
      <c r="H22" s="11" t="s">
        <v>444</v>
      </c>
      <c r="I22" s="13" t="n">
        <v>30</v>
      </c>
      <c r="J22" s="13" t="s">
        <v>445</v>
      </c>
      <c r="K22" s="58" t="n">
        <v>35</v>
      </c>
      <c r="L22" s="14" t="s">
        <v>446</v>
      </c>
      <c r="M22" s="71" t="n">
        <v>40</v>
      </c>
      <c r="N22" s="78" t="s">
        <v>447</v>
      </c>
      <c r="O22" s="73" t="s">
        <v>448</v>
      </c>
    </row>
    <row r="25" customFormat="false" ht="15" hidden="false" customHeight="false" outlineLevel="0" collapsed="false">
      <c r="B25" s="77" t="s">
        <v>449</v>
      </c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</row>
    <row r="26" customFormat="false" ht="36" hidden="false" customHeight="true" outlineLevel="0" collapsed="false">
      <c r="B26" s="67" t="s">
        <v>450</v>
      </c>
      <c r="C26" s="67" t="s">
        <v>451</v>
      </c>
      <c r="D26" s="67" t="s">
        <v>452</v>
      </c>
      <c r="E26" s="7" t="s">
        <v>453</v>
      </c>
      <c r="F26" s="7" t="s">
        <v>454</v>
      </c>
      <c r="G26" s="7" t="s">
        <v>455</v>
      </c>
      <c r="H26" s="7" t="s">
        <v>456</v>
      </c>
      <c r="I26" s="7" t="s">
        <v>457</v>
      </c>
      <c r="J26" s="7" t="s">
        <v>458</v>
      </c>
      <c r="K26" s="7" t="s">
        <v>459</v>
      </c>
      <c r="L26" s="67" t="s">
        <v>134</v>
      </c>
      <c r="M26" s="67" t="s">
        <v>460</v>
      </c>
    </row>
    <row r="27" customFormat="false" ht="18" hidden="false" customHeight="true" outlineLevel="0" collapsed="false">
      <c r="B27" s="44" t="s">
        <v>371</v>
      </c>
      <c r="C27" s="84" t="s">
        <v>372</v>
      </c>
      <c r="D27" s="85" t="n">
        <v>75</v>
      </c>
      <c r="E27" s="29" t="s">
        <v>44</v>
      </c>
      <c r="F27" s="30" t="s">
        <v>51</v>
      </c>
      <c r="G27" s="86" t="s">
        <v>39</v>
      </c>
      <c r="H27" s="32" t="s">
        <v>52</v>
      </c>
      <c r="I27" s="29" t="s">
        <v>46</v>
      </c>
      <c r="J27" s="87" t="s">
        <v>47</v>
      </c>
      <c r="K27" s="88" t="s">
        <v>461</v>
      </c>
      <c r="L27" s="89" t="s">
        <v>462</v>
      </c>
      <c r="M27" s="90" t="s">
        <v>463</v>
      </c>
    </row>
    <row r="28" customFormat="false" ht="18" hidden="false" customHeight="true" outlineLevel="0" collapsed="false">
      <c r="B28" s="44" t="s">
        <v>371</v>
      </c>
      <c r="C28" s="91" t="s">
        <v>372</v>
      </c>
      <c r="D28" s="92" t="n">
        <v>100</v>
      </c>
      <c r="E28" s="29" t="s">
        <v>54</v>
      </c>
      <c r="F28" s="30" t="s">
        <v>55</v>
      </c>
      <c r="G28" s="86" t="s">
        <v>56</v>
      </c>
      <c r="H28" s="32" t="s">
        <v>57</v>
      </c>
      <c r="I28" s="29" t="s">
        <v>58</v>
      </c>
      <c r="J28" s="87" t="s">
        <v>39</v>
      </c>
      <c r="K28" s="93" t="s">
        <v>461</v>
      </c>
      <c r="L28" s="94" t="s">
        <v>462</v>
      </c>
      <c r="M28" s="90" t="s">
        <v>463</v>
      </c>
    </row>
    <row r="29" customFormat="false" ht="18" hidden="false" customHeight="true" outlineLevel="0" collapsed="false">
      <c r="B29" s="44" t="s">
        <v>371</v>
      </c>
      <c r="C29" s="84" t="s">
        <v>372</v>
      </c>
      <c r="D29" s="85" t="n">
        <v>125</v>
      </c>
      <c r="E29" s="29" t="s">
        <v>53</v>
      </c>
      <c r="F29" s="30" t="s">
        <v>61</v>
      </c>
      <c r="G29" s="86" t="s">
        <v>62</v>
      </c>
      <c r="H29" s="32" t="s">
        <v>63</v>
      </c>
      <c r="I29" s="29" t="s">
        <v>55</v>
      </c>
      <c r="J29" s="87" t="s">
        <v>57</v>
      </c>
      <c r="K29" s="88" t="s">
        <v>461</v>
      </c>
      <c r="L29" s="89" t="s">
        <v>462</v>
      </c>
      <c r="M29" s="90" t="s">
        <v>463</v>
      </c>
    </row>
    <row r="30" customFormat="false" ht="18" hidden="false" customHeight="true" outlineLevel="0" collapsed="false">
      <c r="B30" s="44" t="s">
        <v>371</v>
      </c>
      <c r="C30" s="91" t="s">
        <v>372</v>
      </c>
      <c r="D30" s="92" t="n">
        <v>150</v>
      </c>
      <c r="E30" s="29" t="s">
        <v>66</v>
      </c>
      <c r="F30" s="30" t="s">
        <v>67</v>
      </c>
      <c r="G30" s="86" t="s">
        <v>53</v>
      </c>
      <c r="H30" s="32" t="s">
        <v>68</v>
      </c>
      <c r="I30" s="29" t="s">
        <v>69</v>
      </c>
      <c r="J30" s="87" t="s">
        <v>50</v>
      </c>
      <c r="K30" s="93" t="s">
        <v>461</v>
      </c>
      <c r="L30" s="94" t="s">
        <v>462</v>
      </c>
      <c r="M30" s="90" t="s">
        <v>463</v>
      </c>
    </row>
    <row r="31" customFormat="false" ht="18" hidden="false" customHeight="true" outlineLevel="0" collapsed="false">
      <c r="B31" s="44" t="s">
        <v>381</v>
      </c>
      <c r="C31" s="84" t="s">
        <v>372</v>
      </c>
      <c r="D31" s="85" t="n">
        <v>100</v>
      </c>
      <c r="E31" s="29" t="s">
        <v>54</v>
      </c>
      <c r="F31" s="30" t="s">
        <v>55</v>
      </c>
      <c r="G31" s="86" t="s">
        <v>56</v>
      </c>
      <c r="H31" s="32" t="s">
        <v>57</v>
      </c>
      <c r="I31" s="29" t="s">
        <v>58</v>
      </c>
      <c r="J31" s="87" t="s">
        <v>39</v>
      </c>
      <c r="K31" s="88" t="s">
        <v>461</v>
      </c>
      <c r="L31" s="89" t="s">
        <v>464</v>
      </c>
      <c r="M31" s="90" t="s">
        <v>465</v>
      </c>
    </row>
    <row r="32" customFormat="false" ht="18" hidden="false" customHeight="true" outlineLevel="0" collapsed="false">
      <c r="B32" s="44" t="s">
        <v>381</v>
      </c>
      <c r="C32" s="91" t="s">
        <v>372</v>
      </c>
      <c r="D32" s="92" t="n">
        <v>125</v>
      </c>
      <c r="E32" s="29" t="s">
        <v>53</v>
      </c>
      <c r="F32" s="30" t="s">
        <v>61</v>
      </c>
      <c r="G32" s="86" t="s">
        <v>62</v>
      </c>
      <c r="H32" s="32" t="s">
        <v>63</v>
      </c>
      <c r="I32" s="29" t="s">
        <v>55</v>
      </c>
      <c r="J32" s="87" t="s">
        <v>57</v>
      </c>
      <c r="K32" s="93" t="s">
        <v>461</v>
      </c>
      <c r="L32" s="94" t="s">
        <v>464</v>
      </c>
      <c r="M32" s="90" t="s">
        <v>465</v>
      </c>
    </row>
    <row r="33" customFormat="false" ht="18" hidden="false" customHeight="true" outlineLevel="0" collapsed="false">
      <c r="B33" s="44" t="s">
        <v>381</v>
      </c>
      <c r="C33" s="84" t="s">
        <v>372</v>
      </c>
      <c r="D33" s="85" t="n">
        <v>150</v>
      </c>
      <c r="E33" s="29" t="s">
        <v>66</v>
      </c>
      <c r="F33" s="30" t="s">
        <v>67</v>
      </c>
      <c r="G33" s="86" t="s">
        <v>53</v>
      </c>
      <c r="H33" s="32" t="s">
        <v>68</v>
      </c>
      <c r="I33" s="29" t="s">
        <v>69</v>
      </c>
      <c r="J33" s="87" t="s">
        <v>50</v>
      </c>
      <c r="K33" s="88" t="s">
        <v>461</v>
      </c>
      <c r="L33" s="89" t="s">
        <v>464</v>
      </c>
      <c r="M33" s="90" t="s">
        <v>465</v>
      </c>
    </row>
    <row r="34" customFormat="false" ht="18" hidden="false" customHeight="true" outlineLevel="0" collapsed="false">
      <c r="B34" s="44" t="s">
        <v>390</v>
      </c>
      <c r="C34" s="91" t="s">
        <v>372</v>
      </c>
      <c r="D34" s="92" t="n">
        <v>100</v>
      </c>
      <c r="E34" s="29" t="s">
        <v>54</v>
      </c>
      <c r="F34" s="30" t="s">
        <v>55</v>
      </c>
      <c r="G34" s="86" t="s">
        <v>56</v>
      </c>
      <c r="H34" s="32" t="s">
        <v>57</v>
      </c>
      <c r="I34" s="29" t="s">
        <v>58</v>
      </c>
      <c r="J34" s="87" t="s">
        <v>39</v>
      </c>
      <c r="K34" s="93" t="s">
        <v>461</v>
      </c>
      <c r="L34" s="94" t="s">
        <v>462</v>
      </c>
      <c r="M34" s="90" t="s">
        <v>463</v>
      </c>
    </row>
    <row r="35" customFormat="false" ht="18" hidden="false" customHeight="true" outlineLevel="0" collapsed="false">
      <c r="B35" s="44" t="s">
        <v>390</v>
      </c>
      <c r="C35" s="84" t="s">
        <v>372</v>
      </c>
      <c r="D35" s="85" t="n">
        <v>125</v>
      </c>
      <c r="E35" s="29" t="s">
        <v>53</v>
      </c>
      <c r="F35" s="30" t="s">
        <v>61</v>
      </c>
      <c r="G35" s="86" t="s">
        <v>62</v>
      </c>
      <c r="H35" s="32" t="s">
        <v>63</v>
      </c>
      <c r="I35" s="29" t="s">
        <v>55</v>
      </c>
      <c r="J35" s="87" t="s">
        <v>57</v>
      </c>
      <c r="K35" s="88" t="s">
        <v>461</v>
      </c>
      <c r="L35" s="89" t="s">
        <v>462</v>
      </c>
      <c r="M35" s="90" t="s">
        <v>463</v>
      </c>
    </row>
    <row r="36" customFormat="false" ht="18" hidden="false" customHeight="true" outlineLevel="0" collapsed="false">
      <c r="B36" s="44" t="s">
        <v>390</v>
      </c>
      <c r="C36" s="91" t="s">
        <v>372</v>
      </c>
      <c r="D36" s="92" t="n">
        <v>150</v>
      </c>
      <c r="E36" s="29" t="s">
        <v>66</v>
      </c>
      <c r="F36" s="30" t="s">
        <v>67</v>
      </c>
      <c r="G36" s="86" t="s">
        <v>53</v>
      </c>
      <c r="H36" s="32" t="s">
        <v>68</v>
      </c>
      <c r="I36" s="29" t="s">
        <v>69</v>
      </c>
      <c r="J36" s="87" t="s">
        <v>50</v>
      </c>
      <c r="K36" s="93" t="s">
        <v>461</v>
      </c>
      <c r="L36" s="94" t="s">
        <v>462</v>
      </c>
      <c r="M36" s="90" t="s">
        <v>463</v>
      </c>
    </row>
    <row r="37" customFormat="false" ht="18" hidden="false" customHeight="true" outlineLevel="0" collapsed="false">
      <c r="B37" s="44" t="s">
        <v>395</v>
      </c>
      <c r="C37" s="84" t="s">
        <v>372</v>
      </c>
      <c r="D37" s="85" t="n">
        <v>100</v>
      </c>
      <c r="E37" s="29" t="s">
        <v>54</v>
      </c>
      <c r="F37" s="30" t="s">
        <v>55</v>
      </c>
      <c r="G37" s="86" t="s">
        <v>56</v>
      </c>
      <c r="H37" s="32" t="s">
        <v>57</v>
      </c>
      <c r="I37" s="29" t="s">
        <v>58</v>
      </c>
      <c r="J37" s="87" t="s">
        <v>39</v>
      </c>
      <c r="K37" s="88" t="s">
        <v>461</v>
      </c>
      <c r="L37" s="89" t="s">
        <v>462</v>
      </c>
      <c r="M37" s="90" t="s">
        <v>466</v>
      </c>
    </row>
    <row r="38" customFormat="false" ht="18" hidden="false" customHeight="true" outlineLevel="0" collapsed="false">
      <c r="B38" s="44" t="s">
        <v>395</v>
      </c>
      <c r="C38" s="91" t="s">
        <v>372</v>
      </c>
      <c r="D38" s="92" t="n">
        <v>125</v>
      </c>
      <c r="E38" s="29" t="s">
        <v>53</v>
      </c>
      <c r="F38" s="30" t="s">
        <v>61</v>
      </c>
      <c r="G38" s="86" t="s">
        <v>62</v>
      </c>
      <c r="H38" s="32" t="s">
        <v>63</v>
      </c>
      <c r="I38" s="29" t="s">
        <v>55</v>
      </c>
      <c r="J38" s="87" t="s">
        <v>57</v>
      </c>
      <c r="K38" s="93" t="s">
        <v>461</v>
      </c>
      <c r="L38" s="94" t="s">
        <v>462</v>
      </c>
      <c r="M38" s="90" t="s">
        <v>466</v>
      </c>
    </row>
    <row r="39" customFormat="false" ht="18" hidden="false" customHeight="true" outlineLevel="0" collapsed="false">
      <c r="B39" s="44" t="s">
        <v>395</v>
      </c>
      <c r="C39" s="84" t="s">
        <v>372</v>
      </c>
      <c r="D39" s="85" t="n">
        <v>150</v>
      </c>
      <c r="E39" s="29" t="s">
        <v>66</v>
      </c>
      <c r="F39" s="30" t="s">
        <v>67</v>
      </c>
      <c r="G39" s="86" t="s">
        <v>53</v>
      </c>
      <c r="H39" s="32" t="s">
        <v>68</v>
      </c>
      <c r="I39" s="29" t="s">
        <v>69</v>
      </c>
      <c r="J39" s="87" t="s">
        <v>50</v>
      </c>
      <c r="K39" s="88" t="s">
        <v>461</v>
      </c>
      <c r="L39" s="89" t="s">
        <v>462</v>
      </c>
      <c r="M39" s="90" t="s">
        <v>466</v>
      </c>
    </row>
    <row r="40" customFormat="false" ht="18" hidden="false" customHeight="true" outlineLevel="0" collapsed="false">
      <c r="B40" s="44" t="s">
        <v>399</v>
      </c>
      <c r="C40" s="91" t="s">
        <v>372</v>
      </c>
      <c r="D40" s="92" t="n">
        <v>100</v>
      </c>
      <c r="E40" s="29" t="s">
        <v>54</v>
      </c>
      <c r="F40" s="30" t="s">
        <v>55</v>
      </c>
      <c r="G40" s="86" t="s">
        <v>56</v>
      </c>
      <c r="H40" s="32" t="s">
        <v>57</v>
      </c>
      <c r="I40" s="29" t="s">
        <v>58</v>
      </c>
      <c r="J40" s="87" t="s">
        <v>39</v>
      </c>
      <c r="K40" s="93" t="s">
        <v>461</v>
      </c>
      <c r="L40" s="94" t="s">
        <v>462</v>
      </c>
      <c r="M40" s="90" t="s">
        <v>466</v>
      </c>
    </row>
    <row r="41" customFormat="false" ht="18" hidden="false" customHeight="true" outlineLevel="0" collapsed="false">
      <c r="B41" s="44" t="s">
        <v>399</v>
      </c>
      <c r="C41" s="84" t="s">
        <v>372</v>
      </c>
      <c r="D41" s="85" t="n">
        <v>125</v>
      </c>
      <c r="E41" s="29" t="s">
        <v>53</v>
      </c>
      <c r="F41" s="30" t="s">
        <v>61</v>
      </c>
      <c r="G41" s="86" t="s">
        <v>62</v>
      </c>
      <c r="H41" s="32" t="s">
        <v>63</v>
      </c>
      <c r="I41" s="29" t="s">
        <v>55</v>
      </c>
      <c r="J41" s="87" t="s">
        <v>57</v>
      </c>
      <c r="K41" s="88" t="s">
        <v>461</v>
      </c>
      <c r="L41" s="89" t="s">
        <v>462</v>
      </c>
      <c r="M41" s="90" t="s">
        <v>466</v>
      </c>
    </row>
    <row r="42" customFormat="false" ht="18" hidden="false" customHeight="true" outlineLevel="0" collapsed="false">
      <c r="B42" s="44" t="s">
        <v>399</v>
      </c>
      <c r="C42" s="91" t="s">
        <v>372</v>
      </c>
      <c r="D42" s="92" t="n">
        <v>150</v>
      </c>
      <c r="E42" s="29" t="s">
        <v>66</v>
      </c>
      <c r="F42" s="30" t="s">
        <v>67</v>
      </c>
      <c r="G42" s="86" t="s">
        <v>53</v>
      </c>
      <c r="H42" s="32" t="s">
        <v>68</v>
      </c>
      <c r="I42" s="29" t="s">
        <v>69</v>
      </c>
      <c r="J42" s="87" t="s">
        <v>50</v>
      </c>
      <c r="K42" s="93" t="s">
        <v>461</v>
      </c>
      <c r="L42" s="94" t="s">
        <v>462</v>
      </c>
      <c r="M42" s="90" t="s">
        <v>466</v>
      </c>
    </row>
    <row r="43" customFormat="false" ht="18" hidden="false" customHeight="true" outlineLevel="0" collapsed="false">
      <c r="B43" s="44" t="s">
        <v>402</v>
      </c>
      <c r="C43" s="84" t="s">
        <v>372</v>
      </c>
      <c r="D43" s="85" t="n">
        <v>100</v>
      </c>
      <c r="E43" s="29" t="s">
        <v>54</v>
      </c>
      <c r="F43" s="30" t="s">
        <v>55</v>
      </c>
      <c r="G43" s="86" t="s">
        <v>56</v>
      </c>
      <c r="H43" s="32" t="s">
        <v>57</v>
      </c>
      <c r="I43" s="29" t="s">
        <v>58</v>
      </c>
      <c r="J43" s="87" t="s">
        <v>39</v>
      </c>
      <c r="K43" s="88" t="s">
        <v>461</v>
      </c>
      <c r="L43" s="89" t="s">
        <v>462</v>
      </c>
      <c r="M43" s="90" t="s">
        <v>463</v>
      </c>
    </row>
    <row r="44" customFormat="false" ht="18" hidden="false" customHeight="true" outlineLevel="0" collapsed="false">
      <c r="B44" s="44" t="s">
        <v>402</v>
      </c>
      <c r="C44" s="91" t="s">
        <v>372</v>
      </c>
      <c r="D44" s="92" t="n">
        <v>125</v>
      </c>
      <c r="E44" s="29" t="s">
        <v>53</v>
      </c>
      <c r="F44" s="30" t="s">
        <v>61</v>
      </c>
      <c r="G44" s="86" t="s">
        <v>62</v>
      </c>
      <c r="H44" s="32" t="s">
        <v>63</v>
      </c>
      <c r="I44" s="29" t="s">
        <v>55</v>
      </c>
      <c r="J44" s="87" t="s">
        <v>57</v>
      </c>
      <c r="K44" s="93" t="s">
        <v>461</v>
      </c>
      <c r="L44" s="94" t="s">
        <v>462</v>
      </c>
      <c r="M44" s="90" t="s">
        <v>463</v>
      </c>
    </row>
    <row r="45" customFormat="false" ht="18" hidden="false" customHeight="true" outlineLevel="0" collapsed="false">
      <c r="B45" s="44" t="s">
        <v>402</v>
      </c>
      <c r="C45" s="84" t="s">
        <v>372</v>
      </c>
      <c r="D45" s="85" t="n">
        <v>150</v>
      </c>
      <c r="E45" s="29" t="s">
        <v>66</v>
      </c>
      <c r="F45" s="30" t="s">
        <v>67</v>
      </c>
      <c r="G45" s="86" t="s">
        <v>53</v>
      </c>
      <c r="H45" s="32" t="s">
        <v>68</v>
      </c>
      <c r="I45" s="29" t="s">
        <v>69</v>
      </c>
      <c r="J45" s="87" t="s">
        <v>50</v>
      </c>
      <c r="K45" s="88" t="s">
        <v>461</v>
      </c>
      <c r="L45" s="89" t="s">
        <v>462</v>
      </c>
      <c r="M45" s="90" t="s">
        <v>463</v>
      </c>
    </row>
    <row r="46" customFormat="false" ht="18" hidden="false" customHeight="true" outlineLevel="0" collapsed="false">
      <c r="B46" s="44" t="s">
        <v>405</v>
      </c>
      <c r="C46" s="91" t="s">
        <v>372</v>
      </c>
      <c r="D46" s="92" t="n">
        <v>100</v>
      </c>
      <c r="E46" s="29" t="s">
        <v>54</v>
      </c>
      <c r="F46" s="30" t="s">
        <v>55</v>
      </c>
      <c r="G46" s="86" t="s">
        <v>56</v>
      </c>
      <c r="H46" s="32" t="s">
        <v>57</v>
      </c>
      <c r="I46" s="29" t="s">
        <v>58</v>
      </c>
      <c r="J46" s="87" t="s">
        <v>39</v>
      </c>
      <c r="K46" s="93" t="s">
        <v>461</v>
      </c>
      <c r="L46" s="94" t="s">
        <v>462</v>
      </c>
      <c r="M46" s="90" t="s">
        <v>466</v>
      </c>
    </row>
    <row r="47" customFormat="false" ht="18" hidden="false" customHeight="true" outlineLevel="0" collapsed="false">
      <c r="B47" s="44" t="s">
        <v>405</v>
      </c>
      <c r="C47" s="84" t="s">
        <v>372</v>
      </c>
      <c r="D47" s="85" t="n">
        <v>125</v>
      </c>
      <c r="E47" s="29" t="s">
        <v>53</v>
      </c>
      <c r="F47" s="30" t="s">
        <v>61</v>
      </c>
      <c r="G47" s="86" t="s">
        <v>62</v>
      </c>
      <c r="H47" s="32" t="s">
        <v>63</v>
      </c>
      <c r="I47" s="29" t="s">
        <v>55</v>
      </c>
      <c r="J47" s="87" t="s">
        <v>57</v>
      </c>
      <c r="K47" s="88" t="s">
        <v>461</v>
      </c>
      <c r="L47" s="89" t="s">
        <v>462</v>
      </c>
      <c r="M47" s="90" t="s">
        <v>466</v>
      </c>
    </row>
    <row r="48" customFormat="false" ht="18" hidden="false" customHeight="true" outlineLevel="0" collapsed="false">
      <c r="B48" s="44" t="s">
        <v>405</v>
      </c>
      <c r="C48" s="91" t="s">
        <v>372</v>
      </c>
      <c r="D48" s="92" t="n">
        <v>150</v>
      </c>
      <c r="E48" s="29" t="s">
        <v>66</v>
      </c>
      <c r="F48" s="30" t="s">
        <v>67</v>
      </c>
      <c r="G48" s="86" t="s">
        <v>53</v>
      </c>
      <c r="H48" s="32" t="s">
        <v>68</v>
      </c>
      <c r="I48" s="29" t="s">
        <v>69</v>
      </c>
      <c r="J48" s="87" t="s">
        <v>50</v>
      </c>
      <c r="K48" s="93" t="s">
        <v>461</v>
      </c>
      <c r="L48" s="94" t="s">
        <v>462</v>
      </c>
      <c r="M48" s="90" t="s">
        <v>466</v>
      </c>
    </row>
    <row r="49" customFormat="false" ht="18" hidden="false" customHeight="true" outlineLevel="0" collapsed="false">
      <c r="B49" s="44" t="s">
        <v>408</v>
      </c>
      <c r="C49" s="84" t="s">
        <v>372</v>
      </c>
      <c r="D49" s="85" t="n">
        <v>100</v>
      </c>
      <c r="E49" s="29" t="s">
        <v>54</v>
      </c>
      <c r="F49" s="30" t="s">
        <v>55</v>
      </c>
      <c r="G49" s="86" t="s">
        <v>56</v>
      </c>
      <c r="H49" s="32" t="s">
        <v>57</v>
      </c>
      <c r="I49" s="29" t="s">
        <v>58</v>
      </c>
      <c r="J49" s="87" t="s">
        <v>39</v>
      </c>
      <c r="K49" s="88" t="s">
        <v>461</v>
      </c>
      <c r="L49" s="89" t="s">
        <v>462</v>
      </c>
      <c r="M49" s="90" t="s">
        <v>466</v>
      </c>
    </row>
    <row r="50" customFormat="false" ht="18" hidden="false" customHeight="true" outlineLevel="0" collapsed="false">
      <c r="B50" s="44" t="s">
        <v>408</v>
      </c>
      <c r="C50" s="91" t="s">
        <v>372</v>
      </c>
      <c r="D50" s="92" t="n">
        <v>125</v>
      </c>
      <c r="E50" s="29" t="s">
        <v>53</v>
      </c>
      <c r="F50" s="30" t="s">
        <v>61</v>
      </c>
      <c r="G50" s="86" t="s">
        <v>62</v>
      </c>
      <c r="H50" s="32" t="s">
        <v>63</v>
      </c>
      <c r="I50" s="29" t="s">
        <v>55</v>
      </c>
      <c r="J50" s="87" t="s">
        <v>57</v>
      </c>
      <c r="K50" s="93" t="s">
        <v>461</v>
      </c>
      <c r="L50" s="94" t="s">
        <v>462</v>
      </c>
      <c r="M50" s="90" t="s">
        <v>466</v>
      </c>
    </row>
    <row r="51" customFormat="false" ht="18" hidden="false" customHeight="true" outlineLevel="0" collapsed="false">
      <c r="B51" s="44" t="s">
        <v>408</v>
      </c>
      <c r="C51" s="84" t="s">
        <v>372</v>
      </c>
      <c r="D51" s="85" t="n">
        <v>150</v>
      </c>
      <c r="E51" s="29" t="s">
        <v>66</v>
      </c>
      <c r="F51" s="30" t="s">
        <v>67</v>
      </c>
      <c r="G51" s="86" t="s">
        <v>53</v>
      </c>
      <c r="H51" s="32" t="s">
        <v>68</v>
      </c>
      <c r="I51" s="29" t="s">
        <v>69</v>
      </c>
      <c r="J51" s="87" t="s">
        <v>50</v>
      </c>
      <c r="K51" s="88" t="s">
        <v>461</v>
      </c>
      <c r="L51" s="89" t="s">
        <v>462</v>
      </c>
      <c r="M51" s="90" t="s">
        <v>466</v>
      </c>
    </row>
    <row r="52" customFormat="false" ht="18" hidden="false" customHeight="true" outlineLevel="0" collapsed="false">
      <c r="B52" s="44" t="s">
        <v>421</v>
      </c>
      <c r="C52" s="91" t="s">
        <v>422</v>
      </c>
      <c r="D52" s="92" t="n">
        <v>75</v>
      </c>
      <c r="E52" s="29" t="s">
        <v>44</v>
      </c>
      <c r="F52" s="30" t="s">
        <v>51</v>
      </c>
      <c r="G52" s="86" t="s">
        <v>39</v>
      </c>
      <c r="H52" s="32" t="s">
        <v>52</v>
      </c>
      <c r="I52" s="29" t="s">
        <v>46</v>
      </c>
      <c r="J52" s="87" t="s">
        <v>47</v>
      </c>
      <c r="K52" s="93" t="s">
        <v>461</v>
      </c>
      <c r="L52" s="94" t="s">
        <v>462</v>
      </c>
      <c r="M52" s="90" t="s">
        <v>467</v>
      </c>
    </row>
    <row r="53" customFormat="false" ht="18" hidden="false" customHeight="true" outlineLevel="0" collapsed="false">
      <c r="B53" s="44" t="s">
        <v>421</v>
      </c>
      <c r="C53" s="84" t="s">
        <v>422</v>
      </c>
      <c r="D53" s="85" t="n">
        <v>100</v>
      </c>
      <c r="E53" s="29" t="s">
        <v>54</v>
      </c>
      <c r="F53" s="30" t="s">
        <v>55</v>
      </c>
      <c r="G53" s="86" t="s">
        <v>56</v>
      </c>
      <c r="H53" s="32" t="s">
        <v>57</v>
      </c>
      <c r="I53" s="29" t="s">
        <v>58</v>
      </c>
      <c r="J53" s="87" t="s">
        <v>39</v>
      </c>
      <c r="K53" s="88" t="s">
        <v>461</v>
      </c>
      <c r="L53" s="89" t="s">
        <v>462</v>
      </c>
      <c r="M53" s="90" t="s">
        <v>467</v>
      </c>
    </row>
    <row r="54" customFormat="false" ht="18" hidden="false" customHeight="true" outlineLevel="0" collapsed="false">
      <c r="B54" s="44" t="s">
        <v>421</v>
      </c>
      <c r="C54" s="91" t="s">
        <v>422</v>
      </c>
      <c r="D54" s="92" t="n">
        <v>125</v>
      </c>
      <c r="E54" s="29" t="s">
        <v>53</v>
      </c>
      <c r="F54" s="30" t="s">
        <v>61</v>
      </c>
      <c r="G54" s="86" t="s">
        <v>62</v>
      </c>
      <c r="H54" s="32" t="s">
        <v>63</v>
      </c>
      <c r="I54" s="29" t="s">
        <v>55</v>
      </c>
      <c r="J54" s="87" t="s">
        <v>57</v>
      </c>
      <c r="K54" s="93" t="s">
        <v>461</v>
      </c>
      <c r="L54" s="94" t="s">
        <v>462</v>
      </c>
      <c r="M54" s="90" t="s">
        <v>467</v>
      </c>
    </row>
    <row r="55" customFormat="false" ht="18" hidden="false" customHeight="true" outlineLevel="0" collapsed="false">
      <c r="B55" s="44" t="s">
        <v>441</v>
      </c>
      <c r="C55" s="84" t="s">
        <v>422</v>
      </c>
      <c r="D55" s="85" t="n">
        <v>125</v>
      </c>
      <c r="E55" s="29" t="s">
        <v>53</v>
      </c>
      <c r="F55" s="30" t="s">
        <v>61</v>
      </c>
      <c r="G55" s="86" t="s">
        <v>62</v>
      </c>
      <c r="H55" s="32" t="s">
        <v>63</v>
      </c>
      <c r="I55" s="29" t="s">
        <v>55</v>
      </c>
      <c r="J55" s="87" t="s">
        <v>57</v>
      </c>
      <c r="K55" s="88" t="s">
        <v>461</v>
      </c>
      <c r="L55" s="89" t="s">
        <v>464</v>
      </c>
      <c r="M55" s="90" t="s">
        <v>465</v>
      </c>
    </row>
    <row r="56" customFormat="false" ht="18" hidden="false" customHeight="true" outlineLevel="0" collapsed="false">
      <c r="B56" s="44" t="s">
        <v>441</v>
      </c>
      <c r="C56" s="91" t="s">
        <v>422</v>
      </c>
      <c r="D56" s="92" t="n">
        <v>150</v>
      </c>
      <c r="E56" s="29" t="s">
        <v>66</v>
      </c>
      <c r="F56" s="30" t="s">
        <v>67</v>
      </c>
      <c r="G56" s="86" t="s">
        <v>53</v>
      </c>
      <c r="H56" s="32" t="s">
        <v>68</v>
      </c>
      <c r="I56" s="29" t="s">
        <v>69</v>
      </c>
      <c r="J56" s="87" t="s">
        <v>50</v>
      </c>
      <c r="K56" s="93" t="s">
        <v>461</v>
      </c>
      <c r="L56" s="94" t="s">
        <v>464</v>
      </c>
      <c r="M56" s="90" t="s">
        <v>465</v>
      </c>
    </row>
    <row r="59" customFormat="false" ht="15" hidden="false" customHeight="false" outlineLevel="0" collapsed="false">
      <c r="B59" s="82" t="s">
        <v>468</v>
      </c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</row>
    <row r="60" customFormat="false" ht="36" hidden="false" customHeight="true" outlineLevel="0" collapsed="false">
      <c r="B60" s="95" t="s">
        <v>450</v>
      </c>
      <c r="C60" s="95" t="s">
        <v>451</v>
      </c>
      <c r="D60" s="95" t="s">
        <v>452</v>
      </c>
      <c r="E60" s="96" t="s">
        <v>469</v>
      </c>
      <c r="F60" s="96" t="s">
        <v>183</v>
      </c>
      <c r="G60" s="96" t="s">
        <v>470</v>
      </c>
      <c r="H60" s="96" t="s">
        <v>184</v>
      </c>
      <c r="I60" s="96" t="s">
        <v>471</v>
      </c>
      <c r="J60" s="96" t="s">
        <v>472</v>
      </c>
      <c r="K60" s="96" t="s">
        <v>368</v>
      </c>
      <c r="L60" s="95" t="s">
        <v>134</v>
      </c>
      <c r="M60" s="95" t="s">
        <v>473</v>
      </c>
    </row>
    <row r="61" customFormat="false" ht="18" hidden="false" customHeight="true" outlineLevel="0" collapsed="false">
      <c r="B61" s="97" t="s">
        <v>411</v>
      </c>
      <c r="C61" s="98" t="s">
        <v>412</v>
      </c>
      <c r="D61" s="99" t="n">
        <v>150</v>
      </c>
      <c r="E61" s="87" t="s">
        <v>86</v>
      </c>
      <c r="F61" s="29" t="s">
        <v>66</v>
      </c>
      <c r="G61" s="100" t="s">
        <v>53</v>
      </c>
      <c r="H61" s="101" t="s">
        <v>69</v>
      </c>
      <c r="I61" s="29" t="s">
        <v>50</v>
      </c>
      <c r="J61" s="102" t="s">
        <v>56</v>
      </c>
      <c r="K61" s="103" t="n">
        <v>63</v>
      </c>
      <c r="L61" s="104" t="s">
        <v>474</v>
      </c>
      <c r="M61" s="90" t="s">
        <v>475</v>
      </c>
    </row>
    <row r="62" customFormat="false" ht="18" hidden="false" customHeight="true" outlineLevel="0" collapsed="false">
      <c r="B62" s="97" t="s">
        <v>431</v>
      </c>
      <c r="C62" s="91" t="s">
        <v>432</v>
      </c>
      <c r="D62" s="92" t="n">
        <v>150</v>
      </c>
      <c r="E62" s="87" t="s">
        <v>86</v>
      </c>
      <c r="F62" s="29" t="s">
        <v>66</v>
      </c>
      <c r="G62" s="100" t="s">
        <v>53</v>
      </c>
      <c r="H62" s="101" t="s">
        <v>69</v>
      </c>
      <c r="I62" s="29" t="s">
        <v>50</v>
      </c>
      <c r="J62" s="102" t="s">
        <v>476</v>
      </c>
      <c r="K62" s="92" t="n">
        <v>40</v>
      </c>
      <c r="L62" s="94" t="s">
        <v>464</v>
      </c>
      <c r="M62" s="90" t="s">
        <v>477</v>
      </c>
    </row>
    <row r="63" customFormat="false" ht="18" hidden="false" customHeight="true" outlineLevel="0" collapsed="false">
      <c r="B63" s="97" t="s">
        <v>431</v>
      </c>
      <c r="C63" s="98" t="s">
        <v>432</v>
      </c>
      <c r="D63" s="99" t="n">
        <v>200</v>
      </c>
      <c r="E63" s="87" t="s">
        <v>478</v>
      </c>
      <c r="F63" s="29" t="s">
        <v>78</v>
      </c>
      <c r="G63" s="100" t="s">
        <v>80</v>
      </c>
      <c r="H63" s="101" t="s">
        <v>81</v>
      </c>
      <c r="I63" s="29" t="s">
        <v>53</v>
      </c>
      <c r="J63" s="102" t="s">
        <v>479</v>
      </c>
      <c r="K63" s="99" t="n">
        <v>40</v>
      </c>
      <c r="L63" s="104" t="s">
        <v>464</v>
      </c>
      <c r="M63" s="90" t="s">
        <v>477</v>
      </c>
    </row>
    <row r="64" customFormat="false" ht="18" hidden="false" customHeight="true" outlineLevel="0" collapsed="false">
      <c r="B64" s="97" t="s">
        <v>431</v>
      </c>
      <c r="C64" s="91" t="s">
        <v>432</v>
      </c>
      <c r="D64" s="92" t="n">
        <v>250</v>
      </c>
      <c r="E64" s="87" t="s">
        <v>480</v>
      </c>
      <c r="F64" s="29" t="s">
        <v>77</v>
      </c>
      <c r="G64" s="100" t="s">
        <v>86</v>
      </c>
      <c r="H64" s="101" t="s">
        <v>79</v>
      </c>
      <c r="I64" s="29" t="s">
        <v>60</v>
      </c>
      <c r="J64" s="102" t="s">
        <v>481</v>
      </c>
      <c r="K64" s="92" t="n">
        <v>40</v>
      </c>
      <c r="L64" s="94" t="s">
        <v>464</v>
      </c>
      <c r="M64" s="90" t="s">
        <v>477</v>
      </c>
    </row>
    <row r="67" customFormat="false" ht="15" hidden="false" customHeight="false" outlineLevel="0" collapsed="false">
      <c r="B67" s="105" t="s">
        <v>124</v>
      </c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</row>
    <row r="68" customFormat="false" ht="15.75" hidden="false" customHeight="true" outlineLevel="0" collapsed="false">
      <c r="B68" s="31" t="s">
        <v>125</v>
      </c>
      <c r="C68" s="106" t="s">
        <v>482</v>
      </c>
      <c r="D68" s="106"/>
      <c r="E68" s="106"/>
      <c r="F68" s="106"/>
      <c r="G68" s="106"/>
      <c r="H68" s="106"/>
      <c r="I68" s="106"/>
      <c r="J68" s="106"/>
      <c r="K68" s="106"/>
      <c r="L68" s="106"/>
      <c r="M68" s="106"/>
      <c r="N68" s="106"/>
    </row>
    <row r="69" customFormat="false" ht="15.75" hidden="false" customHeight="true" outlineLevel="0" collapsed="false">
      <c r="B69" s="32" t="s">
        <v>125</v>
      </c>
      <c r="C69" s="106" t="s">
        <v>483</v>
      </c>
      <c r="D69" s="106"/>
      <c r="E69" s="106"/>
      <c r="F69" s="106"/>
      <c r="G69" s="106"/>
      <c r="H69" s="106"/>
      <c r="I69" s="106"/>
      <c r="J69" s="106"/>
      <c r="K69" s="106"/>
      <c r="L69" s="106"/>
      <c r="M69" s="106"/>
      <c r="N69" s="106"/>
    </row>
    <row r="70" customFormat="false" ht="15.75" hidden="false" customHeight="true" outlineLevel="0" collapsed="false">
      <c r="B70" s="29" t="s">
        <v>125</v>
      </c>
      <c r="C70" s="106" t="s">
        <v>484</v>
      </c>
      <c r="D70" s="106"/>
      <c r="E70" s="106"/>
      <c r="F70" s="106"/>
      <c r="G70" s="106"/>
      <c r="H70" s="106"/>
      <c r="I70" s="106"/>
      <c r="J70" s="106"/>
      <c r="K70" s="106"/>
      <c r="L70" s="106"/>
      <c r="M70" s="106"/>
      <c r="N70" s="106"/>
    </row>
    <row r="71" customFormat="false" ht="15.75" hidden="false" customHeight="true" outlineLevel="0" collapsed="false">
      <c r="B71" s="28" t="s">
        <v>125</v>
      </c>
      <c r="C71" s="106" t="s">
        <v>485</v>
      </c>
      <c r="D71" s="106"/>
      <c r="E71" s="106"/>
      <c r="F71" s="106"/>
      <c r="G71" s="106"/>
      <c r="H71" s="106"/>
      <c r="I71" s="106"/>
      <c r="J71" s="106"/>
      <c r="K71" s="106"/>
      <c r="L71" s="106"/>
      <c r="M71" s="106"/>
      <c r="N71" s="106"/>
    </row>
    <row r="72" customFormat="false" ht="15.75" hidden="false" customHeight="true" outlineLevel="0" collapsed="false">
      <c r="B72" s="33" t="s">
        <v>125</v>
      </c>
      <c r="C72" s="106" t="s">
        <v>486</v>
      </c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</row>
    <row r="73" customFormat="false" ht="15.75" hidden="false" customHeight="true" outlineLevel="0" collapsed="false">
      <c r="B73" s="107" t="s">
        <v>125</v>
      </c>
      <c r="C73" s="106" t="s">
        <v>487</v>
      </c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</row>
    <row r="74" customFormat="false" ht="15.75" hidden="false" customHeight="true" outlineLevel="0" collapsed="false">
      <c r="B74" s="108" t="s">
        <v>125</v>
      </c>
      <c r="C74" s="106" t="s">
        <v>488</v>
      </c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</row>
    <row r="76" customFormat="false" ht="27.75" hidden="false" customHeight="true" outlineLevel="0" collapsed="false">
      <c r="B76" s="109" t="s">
        <v>489</v>
      </c>
      <c r="C76" s="109"/>
      <c r="D76" s="109"/>
      <c r="E76" s="109"/>
      <c r="F76" s="109"/>
      <c r="G76" s="109"/>
      <c r="H76" s="109"/>
      <c r="I76" s="109"/>
      <c r="J76" s="109"/>
      <c r="K76" s="109"/>
      <c r="L76" s="109"/>
      <c r="M76" s="109"/>
      <c r="N76" s="109"/>
    </row>
  </sheetData>
  <mergeCells count="19">
    <mergeCell ref="B1:N1"/>
    <mergeCell ref="B2:N2"/>
    <mergeCell ref="B3:N3"/>
    <mergeCell ref="B6:N6"/>
    <mergeCell ref="B9:N9"/>
    <mergeCell ref="B17:N17"/>
    <mergeCell ref="B19:N19"/>
    <mergeCell ref="B21:N21"/>
    <mergeCell ref="B25:N25"/>
    <mergeCell ref="B59:N59"/>
    <mergeCell ref="B67:N67"/>
    <mergeCell ref="C68:N68"/>
    <mergeCell ref="C69:N69"/>
    <mergeCell ref="C70:N70"/>
    <mergeCell ref="C71:N71"/>
    <mergeCell ref="C72:N72"/>
    <mergeCell ref="C73:N73"/>
    <mergeCell ref="C74:N74"/>
    <mergeCell ref="B76:N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2026-05-14T00:39:27Z</dcterms:created>
  <dc:creator>openpyxl</dc:creator>
  <dc:description/>
  <dc:language>en-US</dc:language>
  <cp:lastModifiedBy/>
  <dcterms:modified xsi:type="dcterms:W3CDTF">2026-05-15T01:41:47Z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