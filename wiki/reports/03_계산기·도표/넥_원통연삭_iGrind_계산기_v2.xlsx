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넥계산기" sheetId="1" r:id="rId1"/>
    <sheet name="가능성비교" sheetId="2" r:id="rId2"/>
    <sheet name="예시도면" sheetId="3" r:id="rId3"/>
    <sheet name="설명·근거" sheetId="4" r:id="rId4"/>
    <sheet name="변경이력" sheetId="5" r:id="rId5"/>
    <sheet name="단면데이터" sheetId="6" r:id="rId6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6" l="1"/>
  <c r="B9" i="6"/>
  <c r="B7" i="6"/>
  <c r="B6" i="6"/>
  <c r="B5" i="6"/>
  <c r="B4" i="6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X10" i="2"/>
  <c r="W10" i="2"/>
  <c r="N10" i="2"/>
  <c r="M10" i="2"/>
  <c r="K10" i="2"/>
  <c r="J10" i="2"/>
  <c r="U10" i="2" s="1"/>
  <c r="V10" i="2" s="1"/>
  <c r="X9" i="2"/>
  <c r="W9" i="2"/>
  <c r="U9" i="2"/>
  <c r="V9" i="2" s="1"/>
  <c r="N9" i="2"/>
  <c r="M9" i="2"/>
  <c r="L9" i="2"/>
  <c r="Q9" i="2" s="1"/>
  <c r="K9" i="2"/>
  <c r="J9" i="2"/>
  <c r="P9" i="2" s="1"/>
  <c r="X8" i="2"/>
  <c r="W8" i="2"/>
  <c r="P8" i="2"/>
  <c r="N8" i="2"/>
  <c r="M8" i="2"/>
  <c r="K8" i="2"/>
  <c r="J8" i="2"/>
  <c r="L8" i="2" s="1"/>
  <c r="Q8" i="2" s="1"/>
  <c r="Y7" i="2"/>
  <c r="X7" i="2"/>
  <c r="W7" i="2"/>
  <c r="P7" i="2"/>
  <c r="N7" i="2"/>
  <c r="M7" i="2"/>
  <c r="K7" i="2"/>
  <c r="J7" i="2"/>
  <c r="U7" i="2" s="1"/>
  <c r="V7" i="2" s="1"/>
  <c r="Y6" i="2"/>
  <c r="X6" i="2"/>
  <c r="W6" i="2"/>
  <c r="R6" i="2"/>
  <c r="P6" i="2"/>
  <c r="O6" i="2"/>
  <c r="M6" i="2"/>
  <c r="K6" i="2"/>
  <c r="J6" i="2"/>
  <c r="T6" i="2" s="1"/>
  <c r="P3" i="2"/>
  <c r="M3" i="2"/>
  <c r="J3" i="2"/>
  <c r="G3" i="2"/>
  <c r="D3" i="2"/>
  <c r="A74" i="1"/>
  <c r="A73" i="1"/>
  <c r="A72" i="1"/>
  <c r="A71" i="1"/>
  <c r="A70" i="1"/>
  <c r="A69" i="1"/>
  <c r="A67" i="1"/>
  <c r="A66" i="1"/>
  <c r="A65" i="1"/>
  <c r="A63" i="1"/>
  <c r="B55" i="1"/>
  <c r="B54" i="1"/>
  <c r="B51" i="1"/>
  <c r="B10" i="6" s="1"/>
  <c r="B50" i="1"/>
  <c r="B49" i="1"/>
  <c r="B45" i="1"/>
  <c r="L39" i="1"/>
  <c r="K39" i="1"/>
  <c r="J39" i="1"/>
  <c r="I39" i="1"/>
  <c r="H39" i="1"/>
  <c r="G39" i="1"/>
  <c r="F39" i="1"/>
  <c r="E39" i="1"/>
  <c r="D39" i="1"/>
  <c r="C39" i="1"/>
  <c r="B39" i="1"/>
  <c r="L38" i="1"/>
  <c r="K38" i="1"/>
  <c r="J38" i="1"/>
  <c r="I38" i="1"/>
  <c r="H38" i="1"/>
  <c r="G38" i="1"/>
  <c r="F38" i="1"/>
  <c r="E38" i="1"/>
  <c r="D38" i="1"/>
  <c r="C38" i="1"/>
  <c r="B38" i="1"/>
  <c r="K37" i="1"/>
  <c r="H37" i="1"/>
  <c r="C37" i="1"/>
  <c r="B32" i="1"/>
  <c r="B29" i="1"/>
  <c r="B27" i="1"/>
  <c r="B26" i="1"/>
  <c r="B56" i="1" s="1"/>
  <c r="L10" i="2" l="1"/>
  <c r="Q10" i="2" s="1"/>
  <c r="U8" i="2"/>
  <c r="V8" i="2" s="1"/>
  <c r="P10" i="2"/>
  <c r="Y10" i="2" s="1"/>
  <c r="Y9" i="2"/>
  <c r="O9" i="2"/>
  <c r="Z9" i="2" s="1"/>
  <c r="S9" i="2"/>
  <c r="T9" i="2" s="1"/>
  <c r="R9" i="2"/>
  <c r="O10" i="2"/>
  <c r="S10" i="2"/>
  <c r="T10" i="2" s="1"/>
  <c r="R10" i="2"/>
  <c r="R8" i="2"/>
  <c r="Y8" i="2"/>
  <c r="O8" i="2"/>
  <c r="Z8" i="2" s="1"/>
  <c r="S8" i="2"/>
  <c r="T8" i="2" s="1"/>
  <c r="F37" i="1"/>
  <c r="B57" i="1"/>
  <c r="U6" i="2"/>
  <c r="V6" i="2" s="1"/>
  <c r="L7" i="2"/>
  <c r="Q7" i="2" s="1"/>
  <c r="B52" i="1"/>
  <c r="A62" i="1"/>
  <c r="B47" i="1"/>
  <c r="B48" i="1" s="1"/>
  <c r="S6" i="2"/>
  <c r="B28" i="1"/>
  <c r="L6" i="2"/>
  <c r="Q6" i="2" s="1"/>
  <c r="N6" i="2" s="1"/>
  <c r="Z6" i="2" s="1"/>
  <c r="Z10" i="2" l="1"/>
  <c r="S7" i="2"/>
  <c r="T7" i="2" s="1"/>
  <c r="R7" i="2"/>
  <c r="O7" i="2"/>
  <c r="Z7" i="2" s="1"/>
  <c r="B46" i="1"/>
  <c r="B59" i="1" s="1"/>
  <c r="B44" i="1"/>
  <c r="J37" i="1"/>
  <c r="A68" i="1"/>
  <c r="B30" i="1"/>
  <c r="B53" i="1"/>
  <c r="B11" i="6"/>
  <c r="I37" i="1" l="1"/>
  <c r="B31" i="1"/>
  <c r="D37" i="1" l="1"/>
  <c r="B8" i="6"/>
  <c r="B33" i="1"/>
  <c r="A64" i="1" s="1"/>
  <c r="D4" i="6" l="1"/>
  <c r="D12" i="6"/>
  <c r="D8" i="6"/>
  <c r="D11" i="6"/>
  <c r="D9" i="6"/>
  <c r="D7" i="6"/>
  <c r="D10" i="6"/>
  <c r="D6" i="6"/>
  <c r="D5" i="6"/>
  <c r="B58" i="1"/>
  <c r="E37" i="1"/>
  <c r="E10" i="6" l="1"/>
  <c r="E9" i="6"/>
  <c r="F7" i="6"/>
  <c r="H7" i="6" s="1"/>
  <c r="E7" i="6"/>
  <c r="E6" i="6"/>
  <c r="F6" i="6" s="1"/>
  <c r="H6" i="6" s="1"/>
  <c r="E8" i="6"/>
  <c r="F8" i="6"/>
  <c r="H8" i="6" s="1"/>
  <c r="E11" i="6"/>
  <c r="E12" i="6"/>
  <c r="F5" i="6"/>
  <c r="H5" i="6" s="1"/>
  <c r="E5" i="6"/>
  <c r="F4" i="6"/>
  <c r="H4" i="6" s="1"/>
  <c r="E4" i="6"/>
  <c r="I6" i="6" l="1"/>
  <c r="G6" i="6"/>
  <c r="G9" i="6"/>
  <c r="G12" i="6"/>
  <c r="I7" i="6"/>
  <c r="G7" i="6"/>
  <c r="G11" i="6"/>
  <c r="F9" i="6"/>
  <c r="H9" i="6" s="1"/>
  <c r="G10" i="6"/>
  <c r="I5" i="6"/>
  <c r="G5" i="6"/>
  <c r="F12" i="6"/>
  <c r="H12" i="6" s="1"/>
  <c r="F11" i="6"/>
  <c r="H11" i="6" s="1"/>
  <c r="I4" i="6"/>
  <c r="G4" i="6"/>
  <c r="I8" i="6"/>
  <c r="G8" i="6"/>
  <c r="F10" i="6"/>
  <c r="H10" i="6" s="1"/>
  <c r="I9" i="6" l="1"/>
  <c r="I10" i="6"/>
  <c r="I11" i="6"/>
  <c r="I12" i="6"/>
</calcChain>
</file>

<file path=xl/sharedStrings.xml><?xml version="1.0" encoding="utf-8"?>
<sst xmlns="http://schemas.openxmlformats.org/spreadsheetml/2006/main" count="301" uniqueCount="257">
  <si>
    <r>
      <rPr>
        <b/>
        <sz val="22"/>
        <rFont val="Noto Sans CJK SC"/>
        <family val="2"/>
      </rPr>
      <t>넥</t>
    </r>
    <r>
      <rPr>
        <b/>
        <sz val="22"/>
        <rFont val="맑은 고딕"/>
        <family val="3"/>
        <charset val="129"/>
      </rPr>
      <t>(</t>
    </r>
    <r>
      <rPr>
        <b/>
        <sz val="22"/>
        <rFont val="Noto Sans CJK SC"/>
        <family val="2"/>
      </rPr>
      <t>목</t>
    </r>
    <r>
      <rPr>
        <b/>
        <sz val="22"/>
        <rFont val="맑은 고딕"/>
        <family val="3"/>
        <charset val="129"/>
      </rPr>
      <t xml:space="preserve">) </t>
    </r>
    <r>
      <rPr>
        <b/>
        <sz val="22"/>
        <rFont val="Noto Sans CJK SC"/>
        <family val="2"/>
      </rPr>
      <t xml:space="preserve">원통연삭 — </t>
    </r>
    <r>
      <rPr>
        <b/>
        <sz val="22"/>
        <rFont val="맑은 고딕"/>
        <family val="3"/>
        <charset val="129"/>
      </rPr>
      <t xml:space="preserve">iGrind </t>
    </r>
    <r>
      <rPr>
        <b/>
        <sz val="22"/>
        <rFont val="Noto Sans CJK SC"/>
        <family val="2"/>
      </rPr>
      <t xml:space="preserve">입력값 계산기 </t>
    </r>
    <r>
      <rPr>
        <b/>
        <sz val="22"/>
        <rFont val="맑은 고딕"/>
        <family val="3"/>
        <charset val="129"/>
      </rPr>
      <t>v2</t>
    </r>
  </si>
  <si>
    <r>
      <rPr>
        <sz val="11"/>
        <color rgb="FF555555"/>
        <rFont val="Noto Sans CJK SC"/>
        <family val="2"/>
      </rPr>
      <t>노란 칸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파란 글자</t>
    </r>
    <r>
      <rPr>
        <sz val="11"/>
        <color rgb="FF555555"/>
        <rFont val="맑은 고딕"/>
        <family val="3"/>
        <charset val="129"/>
      </rPr>
      <t>)</t>
    </r>
    <r>
      <rPr>
        <sz val="11"/>
        <color rgb="FF555555"/>
        <rFont val="Noto Sans CJK SC"/>
        <family val="2"/>
      </rPr>
      <t>만 고치세요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>나머지는 수식입니다</t>
    </r>
    <r>
      <rPr>
        <sz val="11"/>
        <color rgb="FF555555"/>
        <rFont val="맑은 고딕"/>
        <family val="3"/>
        <charset val="129"/>
      </rPr>
      <t xml:space="preserve">. AI </t>
    </r>
    <r>
      <rPr>
        <sz val="11"/>
        <color rgb="FF555555"/>
        <rFont val="Noto Sans CJK SC"/>
        <family val="2"/>
      </rPr>
      <t xml:space="preserve">제시 수치는 참고값 — </t>
    </r>
    <r>
      <rPr>
        <sz val="11"/>
        <color rgb="FF555555"/>
        <rFont val="맑은 고딕"/>
        <family val="3"/>
        <charset val="129"/>
      </rPr>
      <t xml:space="preserve">CIM3D </t>
    </r>
    <r>
      <rPr>
        <sz val="11"/>
        <color rgb="FF555555"/>
        <rFont val="Noto Sans CJK SC"/>
        <family val="2"/>
      </rPr>
      <t xml:space="preserve">시뮬레이션 → 시험 연삭 </t>
    </r>
    <r>
      <rPr>
        <sz val="11"/>
        <color rgb="FF555555"/>
        <rFont val="맑은 고딕"/>
        <family val="3"/>
        <charset val="129"/>
      </rPr>
      <t>1</t>
    </r>
    <r>
      <rPr>
        <sz val="11"/>
        <color rgb="FF555555"/>
        <rFont val="Noto Sans CJK SC"/>
        <family val="2"/>
      </rPr>
      <t>개 → 측정 → 검증 후 양산 적용</t>
    </r>
    <r>
      <rPr>
        <sz val="11"/>
        <color rgb="FF555555"/>
        <rFont val="맑은 고딕"/>
        <family val="3"/>
        <charset val="129"/>
      </rPr>
      <t>.</t>
    </r>
  </si>
  <si>
    <r>
      <rPr>
        <b/>
        <sz val="15"/>
        <rFont val="Noto Sans CJK SC"/>
        <family val="2"/>
      </rPr>
      <t xml:space="preserve">① 치수 기호 설명도 </t>
    </r>
    <r>
      <rPr>
        <b/>
        <sz val="15"/>
        <rFont val="맑은 고딕"/>
        <family val="3"/>
        <charset val="129"/>
      </rPr>
      <t>(</t>
    </r>
    <r>
      <rPr>
        <b/>
        <sz val="15"/>
        <rFont val="Noto Sans CJK SC"/>
        <family val="2"/>
      </rPr>
      <t xml:space="preserve">고정 그림 </t>
    </r>
    <r>
      <rPr>
        <b/>
        <sz val="15"/>
        <rFont val="맑은 고딕"/>
        <family val="3"/>
        <charset val="129"/>
      </rPr>
      <t xml:space="preserve">· </t>
    </r>
    <r>
      <rPr>
        <b/>
        <sz val="15"/>
        <rFont val="Noto Sans CJK SC"/>
        <family val="2"/>
      </rPr>
      <t>비례 아님</t>
    </r>
    <r>
      <rPr>
        <b/>
        <sz val="15"/>
        <rFont val="맑은 고딕"/>
        <family val="3"/>
        <charset val="129"/>
      </rPr>
      <t>)</t>
    </r>
  </si>
  <si>
    <r>
      <rPr>
        <b/>
        <sz val="15"/>
        <rFont val="맑은 고딕"/>
        <family val="3"/>
        <charset val="129"/>
      </rPr>
      <t xml:space="preserve">1. </t>
    </r>
    <r>
      <rPr>
        <b/>
        <sz val="15"/>
        <rFont val="Noto Sans CJK SC"/>
        <family val="2"/>
      </rPr>
      <t xml:space="preserve">공구 치수 입력 </t>
    </r>
    <r>
      <rPr>
        <b/>
        <sz val="15"/>
        <rFont val="맑은 고딕"/>
        <family val="3"/>
        <charset val="129"/>
      </rPr>
      <t>(mm)</t>
    </r>
  </si>
  <si>
    <r>
      <rPr>
        <sz val="13"/>
        <rFont val="맑은 고딕"/>
        <family val="3"/>
        <charset val="129"/>
      </rPr>
      <t xml:space="preserve">D — </t>
    </r>
    <r>
      <rPr>
        <sz val="13"/>
        <rFont val="Noto Sans CJK SC"/>
        <family val="2"/>
      </rPr>
      <t xml:space="preserve">날지름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머리</t>
    </r>
    <r>
      <rPr>
        <sz val="13"/>
        <rFont val="맑은 고딕"/>
        <family val="3"/>
        <charset val="129"/>
      </rPr>
      <t>)</t>
    </r>
  </si>
  <si>
    <t>mm</t>
  </si>
  <si>
    <r>
      <rPr>
        <sz val="11"/>
        <color rgb="FF555555"/>
        <rFont val="Noto Sans CJK SC"/>
        <family val="2"/>
      </rPr>
      <t>카탈로그 날지름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>넥은 이 지름보다 가늘게 냄</t>
    </r>
  </si>
  <si>
    <r>
      <rPr>
        <sz val="13"/>
        <rFont val="맑은 고딕"/>
        <family val="3"/>
        <charset val="129"/>
      </rPr>
      <t xml:space="preserve">L1 — </t>
    </r>
    <r>
      <rPr>
        <sz val="13"/>
        <rFont val="Noto Sans CJK SC"/>
        <family val="2"/>
      </rPr>
      <t>날장</t>
    </r>
  </si>
  <si>
    <r>
      <rPr>
        <sz val="11"/>
        <color rgb="FF555555"/>
        <rFont val="Noto Sans CJK SC"/>
        <family val="2"/>
      </rPr>
      <t>공구 끝</t>
    </r>
    <r>
      <rPr>
        <sz val="11"/>
        <color rgb="FF555555"/>
        <rFont val="맑은 고딕"/>
        <family val="3"/>
        <charset val="129"/>
      </rPr>
      <t>(EOT)</t>
    </r>
    <r>
      <rPr>
        <sz val="11"/>
        <color rgb="FF555555"/>
        <rFont val="Noto Sans CJK SC"/>
        <family val="2"/>
      </rPr>
      <t>에서 날 끝까지</t>
    </r>
    <r>
      <rPr>
        <sz val="11"/>
        <color rgb="FF555555"/>
        <rFont val="맑은 고딕"/>
        <family val="3"/>
        <charset val="129"/>
      </rPr>
      <t xml:space="preserve">. X Start = −(L1 + </t>
    </r>
    <r>
      <rPr>
        <sz val="11"/>
        <color rgb="FF555555"/>
        <rFont val="Noto Sans CJK SC"/>
        <family val="2"/>
      </rPr>
      <t>여유</t>
    </r>
    <r>
      <rPr>
        <sz val="11"/>
        <color rgb="FF555555"/>
        <rFont val="맑은 고딕"/>
        <family val="3"/>
        <charset val="129"/>
      </rPr>
      <t>)</t>
    </r>
  </si>
  <si>
    <r>
      <rPr>
        <sz val="13"/>
        <rFont val="맑은 고딕"/>
        <family val="3"/>
        <charset val="129"/>
      </rPr>
      <t>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 — </t>
    </r>
    <r>
      <rPr>
        <sz val="13"/>
        <rFont val="Noto Sans CJK SC"/>
        <family val="2"/>
      </rPr>
      <t xml:space="preserve">지금 </t>
    </r>
    <r>
      <rPr>
        <sz val="13"/>
        <rFont val="맑은 고딕"/>
        <family val="3"/>
        <charset val="129"/>
      </rPr>
      <t xml:space="preserve">Ø D </t>
    </r>
    <r>
      <rPr>
        <sz val="13"/>
        <rFont val="Noto Sans CJK SC"/>
        <family val="2"/>
      </rPr>
      <t>가 끝나는 위치</t>
    </r>
  </si>
  <si>
    <r>
      <rPr>
        <sz val="11"/>
        <color rgb="FF555555"/>
        <rFont val="Noto Sans CJK SC"/>
        <family val="2"/>
      </rPr>
      <t xml:space="preserve">가공 전 공구에서 </t>
    </r>
    <r>
      <rPr>
        <sz val="11"/>
        <color rgb="FF555555"/>
        <rFont val="맑은 고딕"/>
        <family val="3"/>
        <charset val="129"/>
      </rPr>
      <t xml:space="preserve">Ø D </t>
    </r>
    <r>
      <rPr>
        <sz val="11"/>
        <color rgb="FF555555"/>
        <rFont val="Noto Sans CJK SC"/>
        <family val="2"/>
      </rPr>
      <t>원통이 끝나고 기존 테이퍼가 시작하는 위치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 xml:space="preserve">넥을 늘리지 않으면 </t>
    </r>
    <r>
      <rPr>
        <sz val="11"/>
        <color rgb="FF555555"/>
        <rFont val="맑은 고딕"/>
        <family val="3"/>
        <charset val="129"/>
      </rPr>
      <t>L2(</t>
    </r>
    <r>
      <rPr>
        <sz val="11"/>
        <color rgb="FF555555"/>
        <rFont val="Noto Sans CJK SC"/>
        <family val="2"/>
      </rPr>
      <t>목표</t>
    </r>
    <r>
      <rPr>
        <sz val="11"/>
        <color rgb="FF555555"/>
        <rFont val="맑은 고딕"/>
        <family val="3"/>
        <charset val="129"/>
      </rPr>
      <t>)</t>
    </r>
    <r>
      <rPr>
        <sz val="11"/>
        <color rgb="FF555555"/>
        <rFont val="Noto Sans CJK SC"/>
        <family val="2"/>
      </rPr>
      <t>와 같게</t>
    </r>
  </si>
  <si>
    <r>
      <rPr>
        <sz val="13"/>
        <rFont val="맑은 고딕"/>
        <family val="3"/>
        <charset val="129"/>
      </rPr>
      <t>L2(</t>
    </r>
    <r>
      <rPr>
        <sz val="13"/>
        <rFont val="Noto Sans CJK SC"/>
        <family val="2"/>
      </rPr>
      <t>목표</t>
    </r>
    <r>
      <rPr>
        <sz val="13"/>
        <rFont val="맑은 고딕"/>
        <family val="3"/>
        <charset val="129"/>
      </rPr>
      <t xml:space="preserve">) — </t>
    </r>
    <r>
      <rPr>
        <sz val="13"/>
        <rFont val="Noto Sans CJK SC"/>
        <family val="2"/>
      </rPr>
      <t>유효장</t>
    </r>
  </si>
  <si>
    <r>
      <rPr>
        <sz val="11"/>
        <color rgb="FF555555"/>
        <rFont val="Noto Sans CJK SC"/>
        <family val="2"/>
      </rPr>
      <t xml:space="preserve">넥이 끝나 테이퍼에서 다시 </t>
    </r>
    <r>
      <rPr>
        <sz val="11"/>
        <color rgb="FF555555"/>
        <rFont val="맑은 고딕"/>
        <family val="3"/>
        <charset val="129"/>
      </rPr>
      <t xml:space="preserve">Ø D </t>
    </r>
    <r>
      <rPr>
        <sz val="11"/>
        <color rgb="FF555555"/>
        <rFont val="Noto Sans CJK SC"/>
        <family val="2"/>
      </rPr>
      <t>가 되는 위치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 xml:space="preserve">카탈로그 </t>
    </r>
    <r>
      <rPr>
        <sz val="11"/>
        <color rgb="FF555555"/>
        <rFont val="맑은 고딕"/>
        <family val="3"/>
        <charset val="129"/>
      </rPr>
      <t xml:space="preserve">L2 </t>
    </r>
    <r>
      <rPr>
        <sz val="11"/>
        <color rgb="FF555555"/>
        <rFont val="Noto Sans CJK SC"/>
        <family val="2"/>
      </rPr>
      <t>정의</t>
    </r>
    <r>
      <rPr>
        <sz val="11"/>
        <color rgb="FF555555"/>
        <rFont val="맑은 고딕"/>
        <family val="3"/>
        <charset val="129"/>
      </rPr>
      <t>). L2(</t>
    </r>
    <r>
      <rPr>
        <sz val="11"/>
        <color rgb="FF555555"/>
        <rFont val="Noto Sans CJK SC"/>
        <family val="2"/>
      </rPr>
      <t>목표</t>
    </r>
    <r>
      <rPr>
        <sz val="11"/>
        <color rgb="FF555555"/>
        <rFont val="맑은 고딕"/>
        <family val="3"/>
        <charset val="129"/>
      </rPr>
      <t>) &gt; L2(</t>
    </r>
    <r>
      <rPr>
        <sz val="11"/>
        <color rgb="FF555555"/>
        <rFont val="Noto Sans CJK SC"/>
        <family val="2"/>
      </rPr>
      <t>블랭크</t>
    </r>
    <r>
      <rPr>
        <sz val="11"/>
        <color rgb="FF555555"/>
        <rFont val="맑은 고딕"/>
        <family val="3"/>
        <charset val="129"/>
      </rPr>
      <t xml:space="preserve">) </t>
    </r>
    <r>
      <rPr>
        <sz val="11"/>
        <color rgb="FF555555"/>
        <rFont val="Noto Sans CJK SC"/>
        <family val="2"/>
      </rPr>
      <t xml:space="preserve">이면 생크를 깎는 </t>
    </r>
    <r>
      <rPr>
        <sz val="11"/>
        <color rgb="FF555555"/>
        <rFont val="맑은 고딕"/>
        <family val="3"/>
        <charset val="129"/>
      </rPr>
      <t>3</t>
    </r>
    <r>
      <rPr>
        <sz val="11"/>
        <color rgb="FF555555"/>
        <rFont val="Noto Sans CJK SC"/>
        <family val="2"/>
      </rPr>
      <t>섹션 연장</t>
    </r>
  </si>
  <si>
    <r>
      <rPr>
        <sz val="13"/>
        <rFont val="맑은 고딕"/>
        <family val="3"/>
        <charset val="129"/>
      </rPr>
      <t xml:space="preserve">L — </t>
    </r>
    <r>
      <rPr>
        <sz val="13"/>
        <rFont val="Noto Sans CJK SC"/>
        <family val="2"/>
      </rPr>
      <t>전장</t>
    </r>
  </si>
  <si>
    <r>
      <rPr>
        <sz val="11"/>
        <color rgb="FF555555"/>
        <rFont val="Noto Sans CJK SC"/>
        <family val="2"/>
      </rPr>
      <t>생크 남는 길이 검토용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>모르면 비워 두기</t>
    </r>
  </si>
  <si>
    <r>
      <rPr>
        <sz val="13"/>
        <rFont val="맑은 고딕"/>
        <family val="3"/>
        <charset val="129"/>
      </rPr>
      <t xml:space="preserve">d — </t>
    </r>
    <r>
      <rPr>
        <sz val="13"/>
        <rFont val="Noto Sans CJK SC"/>
        <family val="2"/>
      </rPr>
      <t>생크 지름</t>
    </r>
  </si>
  <si>
    <r>
      <rPr>
        <sz val="11"/>
        <color rgb="FF555555"/>
        <rFont val="Noto Sans CJK SC"/>
        <family val="2"/>
      </rPr>
      <t xml:space="preserve">생크 지름 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도면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 xml:space="preserve">카탈로그 표기 </t>
    </r>
    <r>
      <rPr>
        <sz val="11"/>
        <color rgb="FF555555"/>
        <rFont val="맑은 고딕"/>
        <family val="3"/>
        <charset val="129"/>
      </rPr>
      <t xml:space="preserve">Ød, </t>
    </r>
    <r>
      <rPr>
        <sz val="11"/>
        <color rgb="FF555555"/>
        <rFont val="Noto Sans CJK SC"/>
        <family val="2"/>
      </rPr>
      <t>「</t>
    </r>
    <r>
      <rPr>
        <sz val="11"/>
        <color rgb="FF555555"/>
        <rFont val="맑은 고딕"/>
        <family val="3"/>
        <charset val="129"/>
      </rPr>
      <t>S</t>
    </r>
    <r>
      <rPr>
        <sz val="11"/>
        <color rgb="FF555555"/>
        <rFont val="Noto Sans CJK SC"/>
        <family val="2"/>
      </rPr>
      <t>」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 xml:space="preserve">「샹크」라고 불러도 표기는 </t>
    </r>
    <r>
      <rPr>
        <sz val="11"/>
        <color rgb="FF555555"/>
        <rFont val="맑은 고딕"/>
        <family val="3"/>
        <charset val="129"/>
      </rPr>
      <t xml:space="preserve">d). </t>
    </r>
    <r>
      <rPr>
        <sz val="11"/>
        <color rgb="FF555555"/>
        <rFont val="Noto Sans CJK SC"/>
        <family val="2"/>
      </rPr>
      <t>넥 연장 시 최대 제거량</t>
    </r>
    <r>
      <rPr>
        <sz val="11"/>
        <color rgb="FF555555"/>
        <rFont val="맑은 고딕"/>
        <family val="3"/>
        <charset val="129"/>
      </rPr>
      <t xml:space="preserve">·Blank OD </t>
    </r>
    <r>
      <rPr>
        <sz val="11"/>
        <color rgb="FF555555"/>
        <rFont val="Noto Sans CJK SC"/>
        <family val="2"/>
      </rPr>
      <t>결정</t>
    </r>
  </si>
  <si>
    <r>
      <rPr>
        <sz val="13"/>
        <rFont val="맑은 고딕"/>
        <family val="3"/>
        <charset val="129"/>
      </rPr>
      <t xml:space="preserve">θ — </t>
    </r>
    <r>
      <rPr>
        <sz val="13"/>
        <rFont val="Noto Sans CJK SC"/>
        <family val="2"/>
      </rPr>
      <t>테이퍼</t>
    </r>
    <r>
      <rPr>
        <sz val="13"/>
        <rFont val="맑은 고딕"/>
        <family val="3"/>
        <charset val="129"/>
      </rPr>
      <t xml:space="preserve">·washout </t>
    </r>
    <r>
      <rPr>
        <sz val="13"/>
        <rFont val="Noto Sans CJK SC"/>
        <family val="2"/>
      </rPr>
      <t xml:space="preserve">각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한쪽</t>
    </r>
    <r>
      <rPr>
        <sz val="13"/>
        <rFont val="맑은 고딕"/>
        <family val="3"/>
        <charset val="129"/>
      </rPr>
      <t>)</t>
    </r>
  </si>
  <si>
    <t>°</t>
  </si>
  <si>
    <r>
      <rPr>
        <sz val="11"/>
        <color rgb="FF555555"/>
        <rFont val="Noto Sans CJK SC"/>
        <family val="2"/>
      </rPr>
      <t>기존 넥 테이퍼 각</t>
    </r>
    <r>
      <rPr>
        <sz val="11"/>
        <color rgb="FF555555"/>
        <rFont val="맑은 고딕"/>
        <family val="3"/>
        <charset val="129"/>
      </rPr>
      <t>. 2JJCR 040 010 200 = 15° [</t>
    </r>
    <r>
      <rPr>
        <sz val="11"/>
        <color rgb="FF555555"/>
        <rFont val="Noto Sans CJK SC"/>
        <family val="2"/>
      </rPr>
      <t>제조사 기준 — 카탈로그</t>
    </r>
    <r>
      <rPr>
        <sz val="11"/>
        <color rgb="FF555555"/>
        <rFont val="맑은 고딕"/>
        <family val="3"/>
        <charset val="129"/>
      </rPr>
      <t>]</t>
    </r>
  </si>
  <si>
    <r>
      <rPr>
        <sz val="13"/>
        <rFont val="맑은 고딕"/>
        <family val="3"/>
        <charset val="129"/>
      </rPr>
      <t xml:space="preserve">dn — </t>
    </r>
    <r>
      <rPr>
        <sz val="13"/>
        <rFont val="Noto Sans CJK SC"/>
        <family val="2"/>
      </rPr>
      <t xml:space="preserve">넥 지름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 xml:space="preserve">비우면 </t>
    </r>
    <r>
      <rPr>
        <sz val="13"/>
        <rFont val="맑은 고딕"/>
        <family val="3"/>
        <charset val="129"/>
      </rPr>
      <t xml:space="preserve">D − </t>
    </r>
    <r>
      <rPr>
        <sz val="13"/>
        <rFont val="Noto Sans CJK SC"/>
        <family val="2"/>
      </rPr>
      <t>여유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</si>
  <si>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직접 넣으면 그 값 사용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 xml:space="preserve">비우면 아래 「넥 기본 여유」 적용 </t>
    </r>
    <r>
      <rPr>
        <sz val="11"/>
        <color rgb="FF555555"/>
        <rFont val="맑은 고딕"/>
        <family val="3"/>
        <charset val="129"/>
      </rPr>
      <t>(decisions 2026-10-19 (6))</t>
    </r>
  </si>
  <si>
    <r>
      <rPr>
        <sz val="13"/>
        <rFont val="Noto Sans CJK SC"/>
        <family val="2"/>
      </rPr>
      <t xml:space="preserve">넥 기본 여유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지름 기준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</si>
  <si>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 xml:space="preserve">사내 기본 넥 </t>
    </r>
    <r>
      <rPr>
        <sz val="11"/>
        <color rgb="FF555555"/>
        <rFont val="맑은 고딕"/>
        <family val="3"/>
        <charset val="129"/>
      </rPr>
      <t>= D − 0.15 [</t>
    </r>
    <r>
      <rPr>
        <sz val="11"/>
        <color rgb="FF555555"/>
        <rFont val="Noto Sans CJK SC"/>
        <family val="2"/>
      </rPr>
      <t xml:space="preserve">사내 경험값 — 근거 </t>
    </r>
    <r>
      <rPr>
        <sz val="11"/>
        <color rgb="FF555555"/>
        <rFont val="맑은 고딕"/>
        <family val="3"/>
        <charset val="129"/>
      </rPr>
      <t>D4 1</t>
    </r>
    <r>
      <rPr>
        <sz val="11"/>
        <color rgb="FF555555"/>
        <rFont val="Noto Sans CJK SC"/>
        <family val="2"/>
      </rPr>
      <t>건</t>
    </r>
    <r>
      <rPr>
        <sz val="11"/>
        <color rgb="FF555555"/>
        <rFont val="맑은 고딕"/>
        <family val="3"/>
        <charset val="129"/>
      </rPr>
      <t xml:space="preserve">]. D0.5 </t>
    </r>
    <r>
      <rPr>
        <sz val="11"/>
        <color rgb="FF555555"/>
        <rFont val="Noto Sans CJK SC"/>
        <family val="2"/>
      </rPr>
      <t>미만 미적용</t>
    </r>
  </si>
  <si>
    <r>
      <rPr>
        <sz val="13"/>
        <rFont val="맑은 고딕"/>
        <family val="3"/>
        <charset val="129"/>
      </rPr>
      <t xml:space="preserve">X Start </t>
    </r>
    <r>
      <rPr>
        <sz val="13"/>
        <rFont val="Noto Sans CJK SC"/>
        <family val="2"/>
      </rPr>
      <t xml:space="preserve">여유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날장 뒤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</si>
  <si>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맑은 고딕"/>
        <family val="3"/>
        <charset val="129"/>
      </rPr>
      <t xml:space="preserve">2JJCR </t>
    </r>
    <r>
      <rPr>
        <sz val="11"/>
        <color rgb="FF555555"/>
        <rFont val="Noto Sans CJK SC"/>
        <family val="2"/>
      </rPr>
      <t>기존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>확정안 값 −</t>
    </r>
    <r>
      <rPr>
        <sz val="11"/>
        <color rgb="FF555555"/>
        <rFont val="맑은 고딕"/>
        <family val="3"/>
        <charset val="129"/>
      </rPr>
      <t xml:space="preserve">4.1 = </t>
    </r>
    <r>
      <rPr>
        <sz val="11"/>
        <color rgb="FF555555"/>
        <rFont val="Noto Sans CJK SC"/>
        <family val="2"/>
      </rPr>
      <t xml:space="preserve">날장 </t>
    </r>
    <r>
      <rPr>
        <sz val="11"/>
        <color rgb="FF555555"/>
        <rFont val="맑은 고딕"/>
        <family val="3"/>
        <charset val="129"/>
      </rPr>
      <t>4 + 0.1 [</t>
    </r>
    <r>
      <rPr>
        <sz val="11"/>
        <color rgb="FF555555"/>
        <rFont val="Noto Sans CJK SC"/>
        <family val="2"/>
      </rPr>
      <t>사내 경험값</t>
    </r>
    <r>
      <rPr>
        <sz val="11"/>
        <color rgb="FF555555"/>
        <rFont val="맑은 고딕"/>
        <family val="3"/>
        <charset val="129"/>
      </rPr>
      <t>]</t>
    </r>
  </si>
  <si>
    <r>
      <rPr>
        <sz val="13"/>
        <rFont val="Noto Sans CJK SC"/>
        <family val="2"/>
      </rPr>
      <t xml:space="preserve">홀더 물림 최소 길이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선택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</si>
  <si>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넣으면 생크 남는 길이와 비교해 경고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>사내 기준 확인 필요</t>
    </r>
  </si>
  <si>
    <r>
      <rPr>
        <b/>
        <sz val="15"/>
        <rFont val="맑은 고딕"/>
        <family val="3"/>
        <charset val="129"/>
      </rPr>
      <t xml:space="preserve">2. </t>
    </r>
    <r>
      <rPr>
        <b/>
        <sz val="15"/>
        <rFont val="Noto Sans CJK SC"/>
        <family val="2"/>
      </rPr>
      <t>공정 입력</t>
    </r>
  </si>
  <si>
    <r>
      <rPr>
        <sz val="13"/>
        <rFont val="Noto Sans CJK SC"/>
        <family val="2"/>
      </rPr>
      <t xml:space="preserve">황삭 </t>
    </r>
    <r>
      <rPr>
        <sz val="13"/>
        <rFont val="맑은 고딕"/>
        <family val="3"/>
        <charset val="129"/>
      </rPr>
      <t>1</t>
    </r>
    <r>
      <rPr>
        <sz val="13"/>
        <rFont val="Noto Sans CJK SC"/>
        <family val="2"/>
      </rPr>
      <t>패스 반경 절입</t>
    </r>
  </si>
  <si>
    <r>
      <rPr>
        <sz val="13"/>
        <rFont val="맑은 고딕"/>
        <family val="3"/>
        <charset val="129"/>
      </rPr>
      <t>mm/</t>
    </r>
    <r>
      <rPr>
        <sz val="13"/>
        <rFont val="Noto Sans CJK SC"/>
        <family val="2"/>
      </rPr>
      <t>패스</t>
    </r>
  </si>
  <si>
    <r>
      <rPr>
        <sz val="11"/>
        <color rgb="FF555555"/>
        <rFont val="맑은 고딕"/>
        <family val="3"/>
        <charset val="129"/>
      </rPr>
      <t xml:space="preserve">Cowork </t>
    </r>
    <r>
      <rPr>
        <sz val="11"/>
        <color rgb="FF555555"/>
        <rFont val="Noto Sans CJK SC"/>
        <family val="2"/>
      </rPr>
      <t xml:space="preserve">제안 시작값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>추정값 — 시험 필요</t>
    </r>
    <r>
      <rPr>
        <sz val="11"/>
        <color rgb="FF555555"/>
        <rFont val="맑은 고딕"/>
        <family val="3"/>
        <charset val="129"/>
      </rPr>
      <t xml:space="preserve">]. </t>
    </r>
    <r>
      <rPr>
        <sz val="11"/>
        <color rgb="FF555555"/>
        <rFont val="Noto Sans CJK SC"/>
        <family val="2"/>
      </rPr>
      <t xml:space="preserve">이상 없으면 </t>
    </r>
    <r>
      <rPr>
        <sz val="11"/>
        <color rgb="FF555555"/>
        <rFont val="맑은 고딕"/>
        <family val="3"/>
        <charset val="129"/>
      </rPr>
      <t xml:space="preserve">0.075 </t>
    </r>
    <r>
      <rPr>
        <sz val="11"/>
        <color rgb="FF555555"/>
        <rFont val="Noto Sans CJK SC"/>
        <family val="2"/>
      </rPr>
      <t>까지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>반경</t>
    </r>
    <r>
      <rPr>
        <sz val="11"/>
        <color rgb="FF555555"/>
        <rFont val="맑은 고딕"/>
        <family val="3"/>
        <charset val="129"/>
      </rPr>
      <t>/</t>
    </r>
    <r>
      <rPr>
        <sz val="11"/>
        <color rgb="FF555555"/>
        <rFont val="Noto Sans CJK SC"/>
        <family val="2"/>
      </rPr>
      <t xml:space="preserve">직경 기준은 </t>
    </r>
    <r>
      <rPr>
        <sz val="11"/>
        <color rgb="FF555555"/>
        <rFont val="맑은 고딕"/>
        <family val="3"/>
        <charset val="129"/>
      </rPr>
      <t xml:space="preserve">iGrind </t>
    </r>
    <r>
      <rPr>
        <sz val="11"/>
        <color rgb="FF555555"/>
        <rFont val="Noto Sans CJK SC"/>
        <family val="2"/>
      </rPr>
      <t>에서 확인 필요</t>
    </r>
  </si>
  <si>
    <r>
      <rPr>
        <sz val="13"/>
        <rFont val="Noto Sans CJK SC"/>
        <family val="2"/>
      </rPr>
      <t xml:space="preserve">사내 </t>
    </r>
    <r>
      <rPr>
        <sz val="13"/>
        <rFont val="맑은 고딕"/>
        <family val="3"/>
        <charset val="129"/>
      </rPr>
      <t>1</t>
    </r>
    <r>
      <rPr>
        <sz val="13"/>
        <rFont val="Noto Sans CJK SC"/>
        <family val="2"/>
      </rPr>
      <t>패스 실적 반경 절입</t>
    </r>
  </si>
  <si>
    <r>
      <rPr>
        <sz val="11"/>
        <color rgb="FF555555"/>
        <rFont val="Noto Sans CJK SC"/>
        <family val="2"/>
      </rPr>
      <t xml:space="preserve">기존 </t>
    </r>
    <r>
      <rPr>
        <sz val="11"/>
        <color rgb="FF555555"/>
        <rFont val="맑은 고딕"/>
        <family val="3"/>
        <charset val="129"/>
      </rPr>
      <t xml:space="preserve">Ø4 → Ø3.85 </t>
    </r>
    <r>
      <rPr>
        <sz val="11"/>
        <color rgb="FF555555"/>
        <rFont val="Noto Sans CJK SC"/>
        <family val="2"/>
      </rPr>
      <t xml:space="preserve">정삭 </t>
    </r>
    <r>
      <rPr>
        <sz val="11"/>
        <color rgb="FF555555"/>
        <rFont val="맑은 고딕"/>
        <family val="3"/>
        <charset val="129"/>
      </rPr>
      <t>1</t>
    </r>
    <r>
      <rPr>
        <sz val="11"/>
        <color rgb="FF555555"/>
        <rFont val="Noto Sans CJK SC"/>
        <family val="2"/>
      </rPr>
      <t xml:space="preserve">패스 실적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>사내 경험값</t>
    </r>
    <r>
      <rPr>
        <sz val="11"/>
        <color rgb="FF555555"/>
        <rFont val="맑은 고딕"/>
        <family val="3"/>
        <charset val="129"/>
      </rPr>
      <t xml:space="preserve">]. </t>
    </r>
    <r>
      <rPr>
        <sz val="11"/>
        <color rgb="FF555555"/>
        <rFont val="Noto Sans CJK SC"/>
        <family val="2"/>
      </rPr>
      <t>이 값을 넘으면 고절입 경고</t>
    </r>
  </si>
  <si>
    <r>
      <rPr>
        <sz val="13"/>
        <rFont val="Noto Sans CJK SC"/>
        <family val="2"/>
      </rPr>
      <t xml:space="preserve">정삭 이송 </t>
    </r>
    <r>
      <rPr>
        <sz val="13"/>
        <rFont val="맑은 고딕"/>
        <family val="3"/>
        <charset val="129"/>
      </rPr>
      <t>(Feedrate)</t>
    </r>
  </si>
  <si>
    <t>mm/min</t>
  </si>
  <si>
    <r>
      <rPr>
        <sz val="11"/>
        <color rgb="FF555555"/>
        <rFont val="Noto Sans CJK SC"/>
        <family val="2"/>
      </rPr>
      <t xml:space="preserve">기존 프로그램 값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>사내 경험값</t>
    </r>
    <r>
      <rPr>
        <sz val="11"/>
        <color rgb="FF555555"/>
        <rFont val="맑은 고딕"/>
        <family val="3"/>
        <charset val="129"/>
      </rPr>
      <t xml:space="preserve">, </t>
    </r>
    <r>
      <rPr>
        <sz val="11"/>
        <color rgb="FF555555"/>
        <rFont val="Noto Sans CJK SC"/>
        <family val="2"/>
      </rPr>
      <t>근거 미확인</t>
    </r>
    <r>
      <rPr>
        <sz val="11"/>
        <color rgb="FF555555"/>
        <rFont val="맑은 고딕"/>
        <family val="3"/>
        <charset val="129"/>
      </rPr>
      <t>]</t>
    </r>
  </si>
  <si>
    <r>
      <rPr>
        <sz val="13"/>
        <rFont val="맑은 고딕"/>
        <family val="3"/>
        <charset val="129"/>
      </rPr>
      <t>A Spin (</t>
    </r>
    <r>
      <rPr>
        <sz val="13"/>
        <rFont val="Noto Sans CJK SC"/>
        <family val="2"/>
      </rPr>
      <t>공작물 회전</t>
    </r>
    <r>
      <rPr>
        <sz val="13"/>
        <rFont val="맑은 고딕"/>
        <family val="3"/>
        <charset val="129"/>
      </rPr>
      <t>)</t>
    </r>
  </si>
  <si>
    <t>rpm</t>
  </si>
  <si>
    <r>
      <rPr>
        <sz val="11"/>
        <color rgb="FF555555"/>
        <rFont val="Noto Sans CJK SC"/>
        <family val="2"/>
      </rPr>
      <t xml:space="preserve">기존 프로그램 값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>사내 경험값</t>
    </r>
    <r>
      <rPr>
        <sz val="11"/>
        <color rgb="FF555555"/>
        <rFont val="맑은 고딕"/>
        <family val="3"/>
        <charset val="129"/>
      </rPr>
      <t>]</t>
    </r>
  </si>
  <si>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선택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</si>
  <si>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맑은 고딕"/>
        <family val="3"/>
        <charset val="129"/>
      </rPr>
      <t xml:space="preserve">Pack 1 / Wheel 1 </t>
    </r>
    <r>
      <rPr>
        <sz val="11"/>
        <color rgb="FF555555"/>
        <rFont val="Noto Sans CJK SC"/>
        <family val="2"/>
      </rPr>
      <t xml:space="preserve">지름 미확인 — 넣으면 </t>
    </r>
    <r>
      <rPr>
        <sz val="11"/>
        <color rgb="FF555555"/>
        <rFont val="맑은 고딕"/>
        <family val="3"/>
        <charset val="129"/>
      </rPr>
      <t xml:space="preserve">Vc </t>
    </r>
    <r>
      <rPr>
        <sz val="11"/>
        <color rgb="FF555555"/>
        <rFont val="Noto Sans CJK SC"/>
        <family val="2"/>
      </rPr>
      <t>계산</t>
    </r>
  </si>
  <si>
    <t>휠 회전수</t>
  </si>
  <si>
    <t>기존 프로그램 값</t>
  </si>
  <si>
    <r>
      <rPr>
        <b/>
        <sz val="15"/>
        <rFont val="맑은 고딕"/>
        <family val="3"/>
        <charset val="129"/>
      </rPr>
      <t xml:space="preserve">3. </t>
    </r>
    <r>
      <rPr>
        <b/>
        <sz val="15"/>
        <rFont val="Noto Sans CJK SC"/>
        <family val="2"/>
      </rPr>
      <t>기본 계산</t>
    </r>
  </si>
  <si>
    <r>
      <rPr>
        <b/>
        <sz val="13"/>
        <rFont val="Noto Sans CJK SC"/>
        <family val="2"/>
      </rPr>
      <t xml:space="preserve">적용 넥 지름 </t>
    </r>
    <r>
      <rPr>
        <b/>
        <sz val="13"/>
        <rFont val="맑은 고딕"/>
        <family val="3"/>
        <charset val="129"/>
      </rPr>
      <t>dn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</si>
  <si>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입력 </t>
    </r>
    <r>
      <rPr>
        <sz val="11"/>
        <color rgb="FF555555"/>
        <rFont val="맑은 고딕"/>
        <family val="3"/>
        <charset val="129"/>
      </rPr>
      <t xml:space="preserve">dn, </t>
    </r>
    <r>
      <rPr>
        <sz val="11"/>
        <color rgb="FF555555"/>
        <rFont val="Noto Sans CJK SC"/>
        <family val="2"/>
      </rPr>
      <t xml:space="preserve">없으면 </t>
    </r>
    <r>
      <rPr>
        <sz val="11"/>
        <color rgb="FF555555"/>
        <rFont val="맑은 고딕"/>
        <family val="3"/>
        <charset val="129"/>
      </rPr>
      <t xml:space="preserve">D − </t>
    </r>
    <r>
      <rPr>
        <sz val="11"/>
        <color rgb="FF555555"/>
        <rFont val="Noto Sans CJK SC"/>
        <family val="2"/>
      </rPr>
      <t>여유</t>
    </r>
  </si>
  <si>
    <t>케이스</t>
  </si>
  <si>
    <r>
      <rPr>
        <sz val="11"/>
        <color rgb="FF555555"/>
        <rFont val="Noto Sans CJK SC"/>
        <family val="2"/>
      </rPr>
      <t xml:space="preserve">단일 </t>
    </r>
    <r>
      <rPr>
        <sz val="11"/>
        <color rgb="FF555555"/>
        <rFont val="맑은 고딕"/>
        <family val="3"/>
        <charset val="129"/>
      </rPr>
      <t xml:space="preserve">= </t>
    </r>
    <r>
      <rPr>
        <sz val="11"/>
        <color rgb="FF555555"/>
        <rFont val="Noto Sans CJK SC"/>
        <family val="2"/>
      </rPr>
      <t xml:space="preserve">넥 끝 </t>
    </r>
    <r>
      <rPr>
        <sz val="11"/>
        <color rgb="FF555555"/>
        <rFont val="맑은 고딕"/>
        <family val="3"/>
        <charset val="129"/>
      </rPr>
      <t xml:space="preserve">washout </t>
    </r>
    <r>
      <rPr>
        <sz val="11"/>
        <color rgb="FF555555"/>
        <rFont val="Noto Sans CJK SC"/>
        <family val="2"/>
      </rPr>
      <t xml:space="preserve">으로 기존 테이퍼 연결 </t>
    </r>
    <r>
      <rPr>
        <sz val="11"/>
        <color rgb="FF555555"/>
        <rFont val="맑은 고딕"/>
        <family val="3"/>
        <charset val="129"/>
      </rPr>
      <t>· 3</t>
    </r>
    <r>
      <rPr>
        <sz val="11"/>
        <color rgb="FF555555"/>
        <rFont val="Noto Sans CJK SC"/>
        <family val="2"/>
      </rPr>
      <t xml:space="preserve">섹션 </t>
    </r>
    <r>
      <rPr>
        <sz val="11"/>
        <color rgb="FF555555"/>
        <rFont val="맑은 고딕"/>
        <family val="3"/>
        <charset val="129"/>
      </rPr>
      <t>= L2(</t>
    </r>
    <r>
      <rPr>
        <sz val="11"/>
        <color rgb="FF555555"/>
        <rFont val="Noto Sans CJK SC"/>
        <family val="2"/>
      </rPr>
      <t>목표</t>
    </r>
    <r>
      <rPr>
        <sz val="11"/>
        <color rgb="FF555555"/>
        <rFont val="맑은 고딕"/>
        <family val="3"/>
        <charset val="129"/>
      </rPr>
      <t>) &gt; L2(</t>
    </r>
    <r>
      <rPr>
        <sz val="11"/>
        <color rgb="FF555555"/>
        <rFont val="Noto Sans CJK SC"/>
        <family val="2"/>
      </rPr>
      <t>블랭크</t>
    </r>
    <r>
      <rPr>
        <sz val="11"/>
        <color rgb="FF555555"/>
        <rFont val="맑은 고딕"/>
        <family val="3"/>
        <charset val="129"/>
      </rPr>
      <t xml:space="preserve">), </t>
    </r>
    <r>
      <rPr>
        <sz val="11"/>
        <color rgb="FF555555"/>
        <rFont val="Noto Sans CJK SC"/>
        <family val="2"/>
      </rPr>
      <t>생크를 깎음</t>
    </r>
  </si>
  <si>
    <r>
      <rPr>
        <sz val="13"/>
        <rFont val="맑은 고딕"/>
        <family val="3"/>
        <charset val="129"/>
      </rPr>
      <t xml:space="preserve">Δr — </t>
    </r>
    <r>
      <rPr>
        <sz val="13"/>
        <rFont val="Noto Sans CJK SC"/>
        <family val="2"/>
      </rPr>
      <t>머리 대비 반경 차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</si>
  <si>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>: (D − dn) ÷ 2</t>
    </r>
  </si>
  <si>
    <t>tan θ</t>
  </si>
  <si>
    <t>15° → 0.26795</t>
  </si>
  <si>
    <r>
      <rPr>
        <sz val="13"/>
        <rFont val="맑은 고딕"/>
        <family val="3"/>
        <charset val="129"/>
      </rPr>
      <t xml:space="preserve">Washout </t>
    </r>
    <r>
      <rPr>
        <sz val="13"/>
        <rFont val="Noto Sans CJK SC"/>
        <family val="2"/>
      </rPr>
      <t>길이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</si>
  <si>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Δr ÷ tan θ — </t>
    </r>
    <r>
      <rPr>
        <sz val="11"/>
        <color rgb="FF555555"/>
        <rFont val="Noto Sans CJK SC"/>
        <family val="2"/>
      </rPr>
      <t xml:space="preserve">넥 끝을 </t>
    </r>
    <r>
      <rPr>
        <sz val="11"/>
        <color rgb="FF555555"/>
        <rFont val="맑은 고딕"/>
        <family val="3"/>
        <charset val="129"/>
      </rPr>
      <t xml:space="preserve">θ </t>
    </r>
    <r>
      <rPr>
        <sz val="11"/>
        <color rgb="FF555555"/>
        <rFont val="Noto Sans CJK SC"/>
        <family val="2"/>
      </rPr>
      <t xml:space="preserve">로 </t>
    </r>
    <r>
      <rPr>
        <sz val="11"/>
        <color rgb="FF555555"/>
        <rFont val="맑은 고딕"/>
        <family val="3"/>
        <charset val="129"/>
      </rPr>
      <t xml:space="preserve">Ø D </t>
    </r>
    <r>
      <rPr>
        <sz val="11"/>
        <color rgb="FF555555"/>
        <rFont val="Noto Sans CJK SC"/>
        <family val="2"/>
      </rPr>
      <t>까지 올리는 길이</t>
    </r>
  </si>
  <si>
    <r>
      <rPr>
        <sz val="13"/>
        <rFont val="Noto Sans CJK SC"/>
        <family val="2"/>
      </rPr>
      <t xml:space="preserve">넥 직선 끝 위치 </t>
    </r>
    <r>
      <rPr>
        <sz val="13"/>
        <rFont val="맑은 고딕"/>
        <family val="3"/>
        <charset val="129"/>
      </rPr>
      <t xml:space="preserve">(EOT </t>
    </r>
    <r>
      <rPr>
        <sz val="13"/>
        <rFont val="Noto Sans CJK SC"/>
        <family val="2"/>
      </rPr>
      <t>기준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</si>
  <si>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>: L2(</t>
    </r>
    <r>
      <rPr>
        <sz val="11"/>
        <color rgb="FF555555"/>
        <rFont val="Noto Sans CJK SC"/>
        <family val="2"/>
      </rPr>
      <t>목표</t>
    </r>
    <r>
      <rPr>
        <sz val="11"/>
        <color rgb="FF555555"/>
        <rFont val="맑은 고딕"/>
        <family val="3"/>
        <charset val="129"/>
      </rPr>
      <t>) − washout</t>
    </r>
  </si>
  <si>
    <r>
      <rPr>
        <b/>
        <sz val="13"/>
        <rFont val="맑은 고딕"/>
        <family val="3"/>
        <charset val="129"/>
      </rPr>
      <t>X Start (</t>
    </r>
    <r>
      <rPr>
        <b/>
        <sz val="13"/>
        <rFont val="Noto Sans CJK SC"/>
        <family val="2"/>
      </rPr>
      <t xml:space="preserve">섹션 </t>
    </r>
    <r>
      <rPr>
        <b/>
        <sz val="13"/>
        <rFont val="맑은 고딕"/>
        <family val="3"/>
        <charset val="129"/>
      </rPr>
      <t>1)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</si>
  <si>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−(L1 + </t>
    </r>
    <r>
      <rPr>
        <sz val="11"/>
        <color rgb="FF555555"/>
        <rFont val="Noto Sans CJK SC"/>
        <family val="2"/>
      </rPr>
      <t>여유</t>
    </r>
    <r>
      <rPr>
        <sz val="11"/>
        <color rgb="FF555555"/>
        <rFont val="맑은 고딕"/>
        <family val="3"/>
        <charset val="129"/>
      </rPr>
      <t>)</t>
    </r>
  </si>
  <si>
    <t>넥 직선 길이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</si>
  <si>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넥 직선 끝 − </t>
    </r>
    <r>
      <rPr>
        <sz val="11"/>
        <color rgb="FF555555"/>
        <rFont val="맑은 고딕"/>
        <family val="3"/>
        <charset val="129"/>
      </rPr>
      <t xml:space="preserve">(L1 + </t>
    </r>
    <r>
      <rPr>
        <sz val="11"/>
        <color rgb="FF555555"/>
        <rFont val="Noto Sans CJK SC"/>
        <family val="2"/>
      </rPr>
      <t>여유</t>
    </r>
    <r>
      <rPr>
        <sz val="11"/>
        <color rgb="FF555555"/>
        <rFont val="맑은 고딕"/>
        <family val="3"/>
        <charset val="129"/>
      </rPr>
      <t xml:space="preserve">). iGrind </t>
    </r>
    <r>
      <rPr>
        <sz val="11"/>
        <color rgb="FF555555"/>
        <rFont val="Noto Sans CJK SC"/>
        <family val="2"/>
      </rPr>
      <t xml:space="preserve">단일 섹션의 </t>
    </r>
    <r>
      <rPr>
        <sz val="11"/>
        <color rgb="FF555555"/>
        <rFont val="맑은 고딕"/>
        <family val="3"/>
        <charset val="129"/>
      </rPr>
      <t xml:space="preserve">Step length </t>
    </r>
    <r>
      <rPr>
        <sz val="11"/>
        <color rgb="FF555555"/>
        <rFont val="Noto Sans CJK SC"/>
        <family val="2"/>
      </rPr>
      <t>와 같음</t>
    </r>
  </si>
  <si>
    <r>
      <rPr>
        <b/>
        <sz val="15"/>
        <rFont val="Noto Sans CJK SC"/>
        <family val="2"/>
      </rPr>
      <t xml:space="preserve">② 자동 단면 그래프 </t>
    </r>
    <r>
      <rPr>
        <b/>
        <sz val="15"/>
        <rFont val="맑은 고딕"/>
        <family val="3"/>
        <charset val="129"/>
      </rPr>
      <t>(</t>
    </r>
    <r>
      <rPr>
        <b/>
        <sz val="15"/>
        <rFont val="Noto Sans CJK SC"/>
        <family val="2"/>
      </rPr>
      <t xml:space="preserve">입력 바꾸면 갱신 </t>
    </r>
    <r>
      <rPr>
        <b/>
        <sz val="15"/>
        <rFont val="맑은 고딕"/>
        <family val="3"/>
        <charset val="129"/>
      </rPr>
      <t xml:space="preserve">· </t>
    </r>
    <r>
      <rPr>
        <b/>
        <sz val="15"/>
        <rFont val="Noto Sans CJK SC"/>
        <family val="2"/>
      </rPr>
      <t>세로 과장</t>
    </r>
    <r>
      <rPr>
        <b/>
        <sz val="15"/>
        <rFont val="맑은 고딕"/>
        <family val="3"/>
        <charset val="129"/>
      </rPr>
      <t>)</t>
    </r>
  </si>
  <si>
    <r>
      <rPr>
        <b/>
        <sz val="15"/>
        <rFont val="맑은 고딕"/>
        <family val="3"/>
        <charset val="129"/>
      </rPr>
      <t xml:space="preserve">4. iGrind Cylindrical Grinding </t>
    </r>
    <r>
      <rPr>
        <b/>
        <sz val="15"/>
        <rFont val="Noto Sans CJK SC"/>
        <family val="2"/>
      </rPr>
      <t>섹션별 입력값</t>
    </r>
  </si>
  <si>
    <t>섹션</t>
  </si>
  <si>
    <t>사용</t>
  </si>
  <si>
    <t>X Start (mm)</t>
  </si>
  <si>
    <t>Step length (mm)</t>
  </si>
  <si>
    <t>X end (mm)</t>
  </si>
  <si>
    <t>Final Ø (mm)</t>
  </si>
  <si>
    <t>Step taper (°)</t>
  </si>
  <si>
    <r>
      <rPr>
        <b/>
        <sz val="13"/>
        <rFont val="맑은 고딕"/>
        <family val="3"/>
        <charset val="129"/>
      </rPr>
      <t xml:space="preserve">Washout </t>
    </r>
    <r>
      <rPr>
        <b/>
        <sz val="13"/>
        <rFont val="Noto Sans CJK SC"/>
        <family val="2"/>
      </rPr>
      <t xml:space="preserve">각 </t>
    </r>
    <r>
      <rPr>
        <b/>
        <sz val="13"/>
        <rFont val="맑은 고딕"/>
        <family val="3"/>
        <charset val="129"/>
      </rPr>
      <t>(°)</t>
    </r>
  </si>
  <si>
    <r>
      <rPr>
        <b/>
        <sz val="13"/>
        <rFont val="맑은 고딕"/>
        <family val="3"/>
        <charset val="129"/>
      </rPr>
      <t xml:space="preserve">Washout </t>
    </r>
    <r>
      <rPr>
        <b/>
        <sz val="13"/>
        <rFont val="Noto Sans CJK SC"/>
        <family val="2"/>
      </rPr>
      <t xml:space="preserve">길이 </t>
    </r>
    <r>
      <rPr>
        <b/>
        <sz val="13"/>
        <rFont val="맑은 고딕"/>
        <family val="3"/>
        <charset val="129"/>
      </rPr>
      <t>(mm)</t>
    </r>
  </si>
  <si>
    <t>Roughing</t>
  </si>
  <si>
    <t>Start OD</t>
  </si>
  <si>
    <t>Overhang</t>
  </si>
  <si>
    <t>S1</t>
  </si>
  <si>
    <t>끔</t>
  </si>
  <si>
    <t>S2</t>
  </si>
  <si>
    <t>S3</t>
  </si>
  <si>
    <r>
      <rPr>
        <sz val="11"/>
        <color rgb="FF555555"/>
        <rFont val="맑은 고딕"/>
        <family val="3"/>
        <charset val="129"/>
      </rPr>
      <t xml:space="preserve">· S3 Final Ø 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3"/>
        <charset val="129"/>
      </rPr>
      <t xml:space="preserve">EOT </t>
    </r>
    <r>
      <rPr>
        <sz val="11"/>
        <color rgb="FF555555"/>
        <rFont val="Noto Sans CJK SC"/>
        <family val="2"/>
      </rPr>
      <t>쪽 끝 지름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테이퍼 시작</t>
    </r>
    <r>
      <rPr>
        <sz val="11"/>
        <color rgb="FF555555"/>
        <rFont val="맑은 고딕"/>
        <family val="3"/>
        <charset val="129"/>
      </rPr>
      <t xml:space="preserve">). Step taper 15° </t>
    </r>
    <r>
      <rPr>
        <sz val="11"/>
        <color rgb="FF555555"/>
        <rFont val="Noto Sans CJK SC"/>
        <family val="2"/>
      </rPr>
      <t>가 한쪽</t>
    </r>
    <r>
      <rPr>
        <sz val="11"/>
        <color rgb="FF555555"/>
        <rFont val="맑은 고딕"/>
        <family val="3"/>
        <charset val="129"/>
      </rPr>
      <t>/</t>
    </r>
    <r>
      <rPr>
        <sz val="11"/>
        <color rgb="FF555555"/>
        <rFont val="Noto Sans CJK SC"/>
        <family val="2"/>
      </rPr>
      <t>양쪽 기준인지</t>
    </r>
    <r>
      <rPr>
        <sz val="11"/>
        <color rgb="FF555555"/>
        <rFont val="맑은 고딕"/>
        <family val="3"/>
        <charset val="129"/>
      </rPr>
      <t xml:space="preserve">, </t>
    </r>
    <r>
      <rPr>
        <sz val="11"/>
        <color rgb="FF555555"/>
        <rFont val="Noto Sans CJK SC"/>
        <family val="2"/>
      </rPr>
      <t xml:space="preserve">부호 방향은 </t>
    </r>
    <r>
      <rPr>
        <sz val="11"/>
        <color rgb="FF555555"/>
        <rFont val="맑은 고딕"/>
        <family val="3"/>
        <charset val="129"/>
      </rPr>
      <t xml:space="preserve">iGrind 2D </t>
    </r>
    <r>
      <rPr>
        <sz val="11"/>
        <color rgb="FF555555"/>
        <rFont val="Noto Sans CJK SC"/>
        <family val="2"/>
      </rPr>
      <t xml:space="preserve">탭에서 </t>
    </r>
    <r>
      <rPr>
        <sz val="11"/>
        <color rgb="FF555555"/>
        <rFont val="맑은 고딕"/>
        <family val="3"/>
        <charset val="129"/>
      </rPr>
      <t xml:space="preserve">S3 </t>
    </r>
    <r>
      <rPr>
        <sz val="11"/>
        <color rgb="FF555555"/>
        <rFont val="Noto Sans CJK SC"/>
        <family val="2"/>
      </rPr>
      <t xml:space="preserve">끝이 생크 </t>
    </r>
    <r>
      <rPr>
        <sz val="11"/>
        <color rgb="FF555555"/>
        <rFont val="맑은 고딕"/>
        <family val="3"/>
        <charset val="129"/>
      </rPr>
      <t xml:space="preserve">Ød </t>
    </r>
    <r>
      <rPr>
        <sz val="11"/>
        <color rgb="FF555555"/>
        <rFont val="Noto Sans CJK SC"/>
        <family val="2"/>
      </rPr>
      <t xml:space="preserve">로 그려지는지로 확인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>확인 필요</t>
    </r>
    <r>
      <rPr>
        <sz val="11"/>
        <color rgb="FF555555"/>
        <rFont val="맑은 고딕"/>
        <family val="3"/>
        <charset val="129"/>
      </rPr>
      <t>]</t>
    </r>
  </si>
  <si>
    <r>
      <rPr>
        <sz val="11"/>
        <color rgb="FF555555"/>
        <rFont val="맑은 고딕"/>
        <family val="3"/>
        <charset val="129"/>
      </rPr>
      <t xml:space="preserve">· </t>
    </r>
    <r>
      <rPr>
        <sz val="11"/>
        <color rgb="FF555555"/>
        <rFont val="Noto Sans CJK SC"/>
        <family val="2"/>
      </rPr>
      <t>단일 섹션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다른 섹션은 지우거나 </t>
    </r>
    <r>
      <rPr>
        <sz val="11"/>
        <color rgb="FF555555"/>
        <rFont val="맑은 고딕"/>
        <family val="3"/>
        <charset val="129"/>
      </rPr>
      <t xml:space="preserve">X Start </t>
    </r>
    <r>
      <rPr>
        <sz val="11"/>
        <color rgb="FF555555"/>
        <rFont val="Noto Sans CJK SC"/>
        <family val="2"/>
      </rPr>
      <t>체인 링크를 끊고 정리</t>
    </r>
    <r>
      <rPr>
        <sz val="11"/>
        <color rgb="FF555555"/>
        <rFont val="맑은 고딕"/>
        <family val="3"/>
        <charset val="129"/>
      </rPr>
      <t xml:space="preserve">. Step length 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3"/>
        <charset val="129"/>
      </rPr>
      <t xml:space="preserve">washout </t>
    </r>
    <r>
      <rPr>
        <sz val="11"/>
        <color rgb="FF555555"/>
        <rFont val="Noto Sans CJK SC"/>
        <family val="2"/>
      </rPr>
      <t xml:space="preserve">제외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 xml:space="preserve">제조사 기준 — </t>
    </r>
    <r>
      <rPr>
        <sz val="11"/>
        <color rgb="FF555555"/>
        <rFont val="맑은 고딕"/>
        <family val="3"/>
        <charset val="129"/>
      </rPr>
      <t>iGrind Grinding Manual §30.9]</t>
    </r>
  </si>
  <si>
    <r>
      <rPr>
        <b/>
        <sz val="15"/>
        <rFont val="맑은 고딕"/>
        <family val="3"/>
        <charset val="129"/>
      </rPr>
      <t xml:space="preserve">5. </t>
    </r>
    <r>
      <rPr>
        <b/>
        <sz val="15"/>
        <rFont val="Noto Sans CJK SC"/>
        <family val="2"/>
      </rPr>
      <t>검토 지표</t>
    </r>
  </si>
  <si>
    <t>최대 반경 제거량</t>
  </si>
  <si>
    <r>
      <rPr>
        <sz val="11"/>
        <color rgb="FF555555"/>
        <rFont val="Noto Sans CJK SC"/>
        <family val="2"/>
      </rPr>
      <t>연장</t>
    </r>
    <r>
      <rPr>
        <sz val="11"/>
        <color rgb="FF555555"/>
        <rFont val="맑은 고딕"/>
        <family val="3"/>
        <charset val="129"/>
      </rPr>
      <t>: (</t>
    </r>
    <r>
      <rPr>
        <sz val="11"/>
        <color rgb="FF555555"/>
        <rFont val="Noto Sans CJK SC"/>
        <family val="2"/>
      </rPr>
      <t xml:space="preserve">그 위치 블랭크 지름 − </t>
    </r>
    <r>
      <rPr>
        <sz val="11"/>
        <color rgb="FF555555"/>
        <rFont val="맑은 고딕"/>
        <family val="3"/>
        <charset val="129"/>
      </rPr>
      <t xml:space="preserve">dn) ÷ 2 / </t>
    </r>
    <r>
      <rPr>
        <sz val="11"/>
        <color rgb="FF555555"/>
        <rFont val="Noto Sans CJK SC"/>
        <family val="2"/>
      </rPr>
      <t>단일</t>
    </r>
    <r>
      <rPr>
        <sz val="11"/>
        <color rgb="FF555555"/>
        <rFont val="맑은 고딕"/>
        <family val="3"/>
        <charset val="129"/>
      </rPr>
      <t>: Δr</t>
    </r>
  </si>
  <si>
    <r>
      <rPr>
        <sz val="13"/>
        <rFont val="맑은 고딕"/>
        <family val="3"/>
        <charset val="129"/>
      </rPr>
      <t xml:space="preserve">S2 </t>
    </r>
    <r>
      <rPr>
        <sz val="13"/>
        <rFont val="Noto Sans CJK SC"/>
        <family val="2"/>
      </rPr>
      <t xml:space="preserve">블랭크 최대 지름 </t>
    </r>
    <r>
      <rPr>
        <sz val="13"/>
        <rFont val="맑은 고딕"/>
        <family val="3"/>
        <charset val="129"/>
      </rPr>
      <t>(Start OD)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</si>
  <si>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>: MIN(d, D + 2 × (</t>
    </r>
    <r>
      <rPr>
        <sz val="11"/>
        <color rgb="FF555555"/>
        <rFont val="Noto Sans CJK SC"/>
        <family val="2"/>
      </rPr>
      <t xml:space="preserve">넥 직선 끝 − </t>
    </r>
    <r>
      <rPr>
        <sz val="11"/>
        <color rgb="FF555555"/>
        <rFont val="맑은 고딕"/>
        <family val="3"/>
        <charset val="129"/>
      </rPr>
      <t>L2(</t>
    </r>
    <r>
      <rPr>
        <sz val="11"/>
        <color rgb="FF555555"/>
        <rFont val="Noto Sans CJK SC"/>
        <family val="2"/>
      </rPr>
      <t>블랭크</t>
    </r>
    <r>
      <rPr>
        <sz val="11"/>
        <color rgb="FF555555"/>
        <rFont val="맑은 고딕"/>
        <family val="3"/>
        <charset val="129"/>
      </rPr>
      <t>)) × tan θ)</t>
    </r>
  </si>
  <si>
    <r>
      <rPr>
        <b/>
        <sz val="13"/>
        <rFont val="Noto Sans CJK SC"/>
        <family val="2"/>
      </rPr>
      <t xml:space="preserve">황삭 패스 수 </t>
    </r>
    <r>
      <rPr>
        <b/>
        <sz val="13"/>
        <rFont val="맑은 고딕"/>
        <family val="3"/>
        <charset val="129"/>
      </rPr>
      <t>(</t>
    </r>
    <r>
      <rPr>
        <b/>
        <sz val="13"/>
        <rFont val="Noto Sans CJK SC"/>
        <family val="2"/>
      </rPr>
      <t>추정</t>
    </r>
    <r>
      <rPr>
        <b/>
        <sz val="13"/>
        <rFont val="맑은 고딕"/>
        <family val="3"/>
        <charset val="129"/>
      </rPr>
      <t>)</t>
    </r>
  </si>
  <si>
    <t>패스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</si>
  <si>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>: ROUNDUP(</t>
    </r>
    <r>
      <rPr>
        <sz val="11"/>
        <color rgb="FF555555"/>
        <rFont val="Noto Sans CJK SC"/>
        <family val="2"/>
      </rPr>
      <t xml:space="preserve">최대 제거량 </t>
    </r>
    <r>
      <rPr>
        <sz val="11"/>
        <color rgb="FF555555"/>
        <rFont val="맑은 고딕"/>
        <family val="3"/>
        <charset val="129"/>
      </rPr>
      <t>÷ 1</t>
    </r>
    <r>
      <rPr>
        <sz val="11"/>
        <color rgb="FF555555"/>
        <rFont val="Noto Sans CJK SC"/>
        <family val="2"/>
      </rPr>
      <t>패스 절입</t>
    </r>
    <r>
      <rPr>
        <sz val="11"/>
        <color rgb="FF555555"/>
        <rFont val="맑은 고딕"/>
        <family val="3"/>
        <charset val="129"/>
      </rPr>
      <t xml:space="preserve">). </t>
    </r>
    <r>
      <rPr>
        <sz val="11"/>
        <color rgb="FF555555"/>
        <rFont val="Noto Sans CJK SC"/>
        <family val="2"/>
      </rPr>
      <t>단일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 xml:space="preserve">실적 이하면 정삭 </t>
    </r>
    <r>
      <rPr>
        <sz val="11"/>
        <color rgb="FF555555"/>
        <rFont val="맑은 고딕"/>
        <family val="3"/>
        <charset val="129"/>
      </rPr>
      <t>1</t>
    </r>
    <r>
      <rPr>
        <sz val="11"/>
        <color rgb="FF555555"/>
        <rFont val="Noto Sans CJK SC"/>
        <family val="2"/>
      </rPr>
      <t>패스</t>
    </r>
  </si>
  <si>
    <r>
      <rPr>
        <sz val="13"/>
        <rFont val="Noto Sans CJK SC"/>
        <family val="2"/>
      </rPr>
      <t xml:space="preserve">굽힘 강성 비 </t>
    </r>
    <r>
      <rPr>
        <sz val="13"/>
        <rFont val="맑은 고딕"/>
        <family val="3"/>
        <charset val="129"/>
      </rPr>
      <t>(dn ÷ D)⁴</t>
    </r>
  </si>
  <si>
    <r>
      <rPr>
        <sz val="11"/>
        <color rgb="FF555555"/>
        <rFont val="Noto Sans CJK SC"/>
        <family val="2"/>
      </rPr>
      <t xml:space="preserve">넥 단면 </t>
    </r>
    <r>
      <rPr>
        <sz val="11"/>
        <color rgb="FF555555"/>
        <rFont val="맑은 고딕"/>
        <family val="3"/>
        <charset val="129"/>
      </rPr>
      <t xml:space="preserve">÷ Ø D </t>
    </r>
    <r>
      <rPr>
        <sz val="11"/>
        <color rgb="FF555555"/>
        <rFont val="Noto Sans CJK SC"/>
        <family val="2"/>
      </rPr>
      <t>단면</t>
    </r>
    <r>
      <rPr>
        <sz val="11"/>
        <color rgb="FF555555"/>
        <rFont val="맑은 고딕"/>
        <family val="3"/>
        <charset val="129"/>
      </rPr>
      <t>. I = π dn⁴ ÷ 64 [ACA-GERE-MECHMAT]</t>
    </r>
  </si>
  <si>
    <r>
      <rPr>
        <sz val="13"/>
        <rFont val="Noto Sans CJK SC"/>
        <family val="2"/>
      </rPr>
      <t xml:space="preserve">처짐 배율 </t>
    </r>
    <r>
      <rPr>
        <sz val="13"/>
        <rFont val="맑은 고딕"/>
        <family val="3"/>
        <charset val="129"/>
      </rPr>
      <t xml:space="preserve">(1 ÷ </t>
    </r>
    <r>
      <rPr>
        <sz val="13"/>
        <rFont val="Noto Sans CJK SC"/>
        <family val="2"/>
      </rPr>
      <t>강성 비</t>
    </r>
    <r>
      <rPr>
        <sz val="13"/>
        <rFont val="맑은 고딕"/>
        <family val="3"/>
        <charset val="129"/>
      </rPr>
      <t>)</t>
    </r>
  </si>
  <si>
    <t>배</t>
  </si>
  <si>
    <r>
      <rPr>
        <sz val="11"/>
        <color rgb="FF555555"/>
        <rFont val="Noto Sans CJK SC"/>
        <family val="2"/>
      </rPr>
      <t>같은 힘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 xml:space="preserve">길이에서 넥 구간 처짐이 </t>
    </r>
    <r>
      <rPr>
        <sz val="11"/>
        <color rgb="FF555555"/>
        <rFont val="맑은 고딕"/>
        <family val="3"/>
        <charset val="129"/>
      </rPr>
      <t xml:space="preserve">Ø D </t>
    </r>
    <r>
      <rPr>
        <sz val="11"/>
        <color rgb="FF555555"/>
        <rFont val="Noto Sans CJK SC"/>
        <family val="2"/>
      </rPr>
      <t>대비 몇 배</t>
    </r>
  </si>
  <si>
    <r>
      <rPr>
        <sz val="13"/>
        <rFont val="맑은 고딕"/>
        <family val="3"/>
        <charset val="129"/>
      </rPr>
      <t>L2 ÷ D (</t>
    </r>
    <r>
      <rPr>
        <sz val="13"/>
        <rFont val="Noto Sans CJK SC"/>
        <family val="2"/>
      </rPr>
      <t>유효장 비</t>
    </r>
    <r>
      <rPr>
        <sz val="13"/>
        <rFont val="맑은 고딕"/>
        <family val="3"/>
        <charset val="129"/>
      </rPr>
      <t>)</t>
    </r>
  </si>
  <si>
    <t>처짐은 길이³ 에 비례 — 유효장이 길수록 개별 확인</t>
  </si>
  <si>
    <r>
      <rPr>
        <sz val="13"/>
        <rFont val="Noto Sans CJK SC"/>
        <family val="2"/>
      </rPr>
      <t xml:space="preserve">적용 구분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잠정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</si>
  <si>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 xml:space="preserve">경계 </t>
    </r>
    <r>
      <rPr>
        <sz val="11"/>
        <color rgb="FF555555"/>
        <rFont val="맑은 고딕"/>
        <family val="3"/>
        <charset val="129"/>
      </rPr>
      <t xml:space="preserve">D2 · D2.5 · D8 = </t>
    </r>
    <r>
      <rPr>
        <sz val="11"/>
        <color rgb="FF555555"/>
        <rFont val="Noto Sans CJK SC"/>
        <family val="2"/>
      </rPr>
      <t xml:space="preserve">강성 참조표 </t>
    </r>
    <r>
      <rPr>
        <sz val="11"/>
        <color rgb="FF555555"/>
        <rFont val="맑은 고딕"/>
        <family val="3"/>
        <charset val="129"/>
      </rPr>
      <t xml:space="preserve">§1 </t>
    </r>
    <r>
      <rPr>
        <sz val="11"/>
        <color rgb="FF555555"/>
        <rFont val="Noto Sans CJK SC"/>
        <family val="2"/>
      </rPr>
      <t xml:space="preserve">잠정값 </t>
    </r>
    <r>
      <rPr>
        <sz val="11"/>
        <color rgb="FF555555"/>
        <rFont val="맑은 고딕"/>
        <family val="3"/>
        <charset val="129"/>
      </rPr>
      <t>[</t>
    </r>
    <r>
      <rPr>
        <sz val="11"/>
        <color rgb="FF555555"/>
        <rFont val="Noto Sans CJK SC"/>
        <family val="2"/>
      </rPr>
      <t>추정값</t>
    </r>
    <r>
      <rPr>
        <sz val="11"/>
        <color rgb="FF555555"/>
        <rFont val="맑은 고딕"/>
        <family val="3"/>
        <charset val="129"/>
      </rPr>
      <t>]</t>
    </r>
  </si>
  <si>
    <r>
      <rPr>
        <sz val="13"/>
        <rFont val="Noto Sans CJK SC"/>
        <family val="2"/>
      </rPr>
      <t xml:space="preserve">기존 테이퍼 끝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 xml:space="preserve">생크 </t>
    </r>
    <r>
      <rPr>
        <sz val="13"/>
        <rFont val="맑은 고딕"/>
        <family val="3"/>
        <charset val="129"/>
      </rPr>
      <t xml:space="preserve">Ød </t>
    </r>
    <r>
      <rPr>
        <sz val="13"/>
        <rFont val="Noto Sans CJK SC"/>
        <family val="2"/>
      </rPr>
      <t>시작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</si>
  <si>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>: L2(</t>
    </r>
    <r>
      <rPr>
        <sz val="11"/>
        <color rgb="FF555555"/>
        <rFont val="Noto Sans CJK SC"/>
        <family val="2"/>
      </rPr>
      <t>블랭크</t>
    </r>
    <r>
      <rPr>
        <sz val="11"/>
        <color rgb="FF555555"/>
        <rFont val="맑은 고딕"/>
        <family val="3"/>
        <charset val="129"/>
      </rPr>
      <t>) + (d − D) ÷ (2 tan θ)</t>
    </r>
  </si>
  <si>
    <r>
      <rPr>
        <sz val="13"/>
        <rFont val="Noto Sans CJK SC"/>
        <family val="2"/>
      </rPr>
      <t xml:space="preserve">가공 후 테이퍼 끝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 xml:space="preserve">생크 </t>
    </r>
    <r>
      <rPr>
        <sz val="13"/>
        <rFont val="맑은 고딕"/>
        <family val="3"/>
        <charset val="129"/>
      </rPr>
      <t xml:space="preserve">Ød </t>
    </r>
    <r>
      <rPr>
        <sz val="13"/>
        <rFont val="Noto Sans CJK SC"/>
        <family val="2"/>
      </rPr>
      <t>시작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</si>
  <si>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연장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넥 직선 끝 </t>
    </r>
    <r>
      <rPr>
        <sz val="11"/>
        <color rgb="FF555555"/>
        <rFont val="맑은 고딕"/>
        <family val="3"/>
        <charset val="129"/>
      </rPr>
      <t xml:space="preserve">+ S3 </t>
    </r>
    <r>
      <rPr>
        <sz val="11"/>
        <color rgb="FF555555"/>
        <rFont val="Noto Sans CJK SC"/>
        <family val="2"/>
      </rPr>
      <t>길이</t>
    </r>
  </si>
  <si>
    <t>생크 남는 길이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</si>
  <si>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L − </t>
    </r>
    <r>
      <rPr>
        <sz val="11"/>
        <color rgb="FF555555"/>
        <rFont val="Noto Sans CJK SC"/>
        <family val="2"/>
      </rPr>
      <t>가공 후 테이퍼 끝</t>
    </r>
  </si>
  <si>
    <r>
      <rPr>
        <sz val="13"/>
        <rFont val="Noto Sans CJK SC"/>
        <family val="2"/>
      </rPr>
      <t xml:space="preserve">휠 원주속도 </t>
    </r>
    <r>
      <rPr>
        <sz val="13"/>
        <rFont val="맑은 고딕"/>
        <family val="3"/>
        <charset val="129"/>
      </rPr>
      <t>Vc</t>
    </r>
  </si>
  <si>
    <t>m/s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</si>
  <si>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π × </t>
    </r>
    <r>
      <rPr>
        <sz val="11"/>
        <color rgb="FF555555"/>
        <rFont val="Noto Sans CJK SC"/>
        <family val="2"/>
      </rPr>
      <t xml:space="preserve">휠 지름 </t>
    </r>
    <r>
      <rPr>
        <sz val="11"/>
        <color rgb="FF555555"/>
        <rFont val="맑은 고딕"/>
        <family val="3"/>
        <charset val="129"/>
      </rPr>
      <t xml:space="preserve">× N ÷ 60000. </t>
    </r>
    <r>
      <rPr>
        <sz val="11"/>
        <color rgb="FF555555"/>
        <rFont val="Noto Sans CJK SC"/>
        <family val="2"/>
      </rPr>
      <t xml:space="preserve">사내 실사용 </t>
    </r>
    <r>
      <rPr>
        <sz val="11"/>
        <color rgb="FF555555"/>
        <rFont val="맑은 고딕"/>
        <family val="3"/>
        <charset val="129"/>
      </rPr>
      <t xml:space="preserve">16.8~19.6 m/s · </t>
    </r>
    <r>
      <rPr>
        <sz val="11"/>
        <color rgb="FF555555"/>
        <rFont val="Noto Sans CJK SC"/>
        <family val="2"/>
      </rPr>
      <t xml:space="preserve">사내 상한 </t>
    </r>
    <r>
      <rPr>
        <sz val="11"/>
        <color rgb="FF555555"/>
        <rFont val="맑은 고딕"/>
        <family val="3"/>
        <charset val="129"/>
      </rPr>
      <t>25 m/s</t>
    </r>
  </si>
  <si>
    <r>
      <rPr>
        <sz val="13"/>
        <rFont val="Noto Sans CJK SC"/>
        <family val="2"/>
      </rPr>
      <t xml:space="preserve">회전당 이송 </t>
    </r>
    <r>
      <rPr>
        <sz val="13"/>
        <rFont val="맑은 고딕"/>
        <family val="3"/>
        <charset val="129"/>
      </rPr>
      <t>fa</t>
    </r>
  </si>
  <si>
    <t>mm/rev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</si>
  <si>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이송 </t>
    </r>
    <r>
      <rPr>
        <sz val="11"/>
        <color rgb="FF555555"/>
        <rFont val="맑은 고딕"/>
        <family val="3"/>
        <charset val="129"/>
      </rPr>
      <t>÷ A Spin</t>
    </r>
  </si>
  <si>
    <r>
      <rPr>
        <sz val="13"/>
        <rFont val="Noto Sans CJK SC"/>
        <family val="2"/>
      </rPr>
      <t xml:space="preserve">공작물 원주속도 </t>
    </r>
    <r>
      <rPr>
        <sz val="13"/>
        <rFont val="맑은 고딕"/>
        <family val="3"/>
        <charset val="129"/>
      </rPr>
      <t>vw</t>
    </r>
  </si>
  <si>
    <t>m/min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</si>
  <si>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>: π × dn × A Spin ÷ 1000</t>
    </r>
  </si>
  <si>
    <r>
      <rPr>
        <sz val="13"/>
        <rFont val="Noto Sans CJK SC"/>
        <family val="2"/>
      </rPr>
      <t xml:space="preserve">정삭 제거율 </t>
    </r>
    <r>
      <rPr>
        <sz val="13"/>
        <rFont val="맑은 고딕"/>
        <family val="3"/>
        <charset val="129"/>
      </rPr>
      <t>Q (</t>
    </r>
    <r>
      <rPr>
        <sz val="13"/>
        <rFont val="Noto Sans CJK SC"/>
        <family val="2"/>
      </rPr>
      <t>머리 구간</t>
    </r>
    <r>
      <rPr>
        <sz val="13"/>
        <rFont val="맑은 고딕"/>
        <family val="3"/>
        <charset val="129"/>
      </rPr>
      <t>)</t>
    </r>
  </si>
  <si>
    <t>mm³/min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</si>
  <si>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π × </t>
    </r>
    <r>
      <rPr>
        <sz val="11"/>
        <color rgb="FF555555"/>
        <rFont val="Noto Sans CJK SC"/>
        <family val="2"/>
      </rPr>
      <t xml:space="preserve">평균 지름 </t>
    </r>
    <r>
      <rPr>
        <sz val="11"/>
        <color rgb="FF555555"/>
        <rFont val="맑은 고딕"/>
        <family val="3"/>
        <charset val="129"/>
      </rPr>
      <t xml:space="preserve">× Δr × </t>
    </r>
    <r>
      <rPr>
        <sz val="11"/>
        <color rgb="FF555555"/>
        <rFont val="Noto Sans CJK SC"/>
        <family val="2"/>
      </rPr>
      <t>이송</t>
    </r>
  </si>
  <si>
    <r>
      <rPr>
        <sz val="13"/>
        <rFont val="Noto Sans CJK SC"/>
        <family val="2"/>
      </rPr>
      <t xml:space="preserve">정삭 </t>
    </r>
    <r>
      <rPr>
        <sz val="13"/>
        <rFont val="맑은 고딕"/>
        <family val="3"/>
        <charset val="129"/>
      </rPr>
      <t>1</t>
    </r>
    <r>
      <rPr>
        <sz val="13"/>
        <rFont val="Noto Sans CJK SC"/>
        <family val="2"/>
      </rPr>
      <t xml:space="preserve">패스 시간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추정</t>
    </r>
    <r>
      <rPr>
        <sz val="13"/>
        <rFont val="맑은 고딕"/>
        <family val="3"/>
        <charset val="129"/>
      </rPr>
      <t>)</t>
    </r>
  </si>
  <si>
    <t>분</t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</si>
  <si>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연삭 길이 </t>
    </r>
    <r>
      <rPr>
        <sz val="11"/>
        <color rgb="FF555555"/>
        <rFont val="맑은 고딕"/>
        <family val="3"/>
        <charset val="129"/>
      </rPr>
      <t xml:space="preserve">÷ </t>
    </r>
    <r>
      <rPr>
        <sz val="11"/>
        <color rgb="FF555555"/>
        <rFont val="Noto Sans CJK SC"/>
        <family val="2"/>
      </rPr>
      <t>이송</t>
    </r>
    <r>
      <rPr>
        <sz val="11"/>
        <color rgb="FF555555"/>
        <rFont val="맑은 고딕"/>
        <family val="3"/>
        <charset val="129"/>
      </rPr>
      <t xml:space="preserve">. 2JJCR </t>
    </r>
    <r>
      <rPr>
        <sz val="11"/>
        <color rgb="FF555555"/>
        <rFont val="Noto Sans CJK SC"/>
        <family val="2"/>
      </rPr>
      <t xml:space="preserve">계산 </t>
    </r>
    <r>
      <rPr>
        <sz val="11"/>
        <color rgb="FF555555"/>
        <rFont val="맑은 고딕"/>
        <family val="3"/>
        <charset val="129"/>
      </rPr>
      <t>7.95</t>
    </r>
    <r>
      <rPr>
        <sz val="11"/>
        <color rgb="FF555555"/>
        <rFont val="Noto Sans CJK SC"/>
        <family val="2"/>
      </rPr>
      <t xml:space="preserve">분 </t>
    </r>
    <r>
      <rPr>
        <sz val="11"/>
        <color rgb="FF555555"/>
        <rFont val="맑은 고딕"/>
        <family val="3"/>
        <charset val="129"/>
      </rPr>
      <t xml:space="preserve">vs CIM3D 3:15 </t>
    </r>
    <r>
      <rPr>
        <sz val="11"/>
        <color rgb="FF555555"/>
        <rFont val="Noto Sans CJK SC"/>
        <family val="2"/>
      </rPr>
      <t>불일치 미결 → 참고만</t>
    </r>
  </si>
  <si>
    <r>
      <rPr>
        <sz val="13"/>
        <rFont val="Noto Sans CJK SC"/>
        <family val="2"/>
      </rPr>
      <t xml:space="preserve">황삭 시간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추정</t>
    </r>
    <r>
      <rPr>
        <sz val="13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</si>
  <si>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식</t>
    </r>
    <r>
      <rPr>
        <sz val="11"/>
        <color rgb="FF555555"/>
        <rFont val="맑은 고딕"/>
        <family val="3"/>
        <charset val="129"/>
      </rPr>
      <t xml:space="preserve">: </t>
    </r>
    <r>
      <rPr>
        <sz val="11"/>
        <color rgb="FF555555"/>
        <rFont val="Noto Sans CJK SC"/>
        <family val="2"/>
      </rPr>
      <t xml:space="preserve">패스 수 </t>
    </r>
    <r>
      <rPr>
        <sz val="11"/>
        <color rgb="FF555555"/>
        <rFont val="맑은 고딕"/>
        <family val="3"/>
        <charset val="129"/>
      </rPr>
      <t xml:space="preserve">× </t>
    </r>
    <r>
      <rPr>
        <sz val="11"/>
        <color rgb="FF555555"/>
        <rFont val="Noto Sans CJK SC"/>
        <family val="2"/>
      </rPr>
      <t xml:space="preserve">길이 </t>
    </r>
    <r>
      <rPr>
        <sz val="11"/>
        <color rgb="FF555555"/>
        <rFont val="맑은 고딕"/>
        <family val="3"/>
        <charset val="129"/>
      </rPr>
      <t xml:space="preserve">÷ </t>
    </r>
    <r>
      <rPr>
        <sz val="11"/>
        <color rgb="FF555555"/>
        <rFont val="Noto Sans CJK SC"/>
        <family val="2"/>
      </rPr>
      <t xml:space="preserve">이송 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진입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>복귀 제외</t>
    </r>
    <r>
      <rPr>
        <sz val="11"/>
        <color rgb="FF555555"/>
        <rFont val="맑은 고딕"/>
        <family val="3"/>
        <charset val="129"/>
      </rPr>
      <t xml:space="preserve">, </t>
    </r>
    <r>
      <rPr>
        <sz val="11"/>
        <color rgb="FF555555"/>
        <rFont val="Noto Sans CJK SC"/>
        <family val="2"/>
      </rPr>
      <t>황삭 이송이 다르면 달라짐</t>
    </r>
    <r>
      <rPr>
        <sz val="11"/>
        <color rgb="FF555555"/>
        <rFont val="맑은 고딕"/>
        <family val="3"/>
        <charset val="129"/>
      </rPr>
      <t>) [</t>
    </r>
    <r>
      <rPr>
        <sz val="11"/>
        <color rgb="FF555555"/>
        <rFont val="Noto Sans CJK SC"/>
        <family val="2"/>
      </rPr>
      <t>추정값</t>
    </r>
    <r>
      <rPr>
        <sz val="11"/>
        <color rgb="FF555555"/>
        <rFont val="맑은 고딕"/>
        <family val="3"/>
        <charset val="129"/>
      </rPr>
      <t>]</t>
    </r>
  </si>
  <si>
    <r>
      <rPr>
        <b/>
        <sz val="15"/>
        <rFont val="맑은 고딕"/>
        <family val="3"/>
        <charset val="129"/>
      </rPr>
      <t xml:space="preserve">6. </t>
    </r>
    <r>
      <rPr>
        <b/>
        <sz val="15"/>
        <rFont val="Noto Sans CJK SC"/>
        <family val="2"/>
      </rPr>
      <t>점검</t>
    </r>
    <r>
      <rPr>
        <b/>
        <sz val="15"/>
        <rFont val="맑은 고딕"/>
        <family val="3"/>
        <charset val="129"/>
      </rPr>
      <t>·</t>
    </r>
    <r>
      <rPr>
        <b/>
        <sz val="15"/>
        <rFont val="Noto Sans CJK SC"/>
        <family val="2"/>
      </rPr>
      <t xml:space="preserve">경고 </t>
    </r>
    <r>
      <rPr>
        <b/>
        <sz val="15"/>
        <rFont val="맑은 고딕"/>
        <family val="3"/>
        <charset val="129"/>
      </rPr>
      <t>(</t>
    </r>
    <r>
      <rPr>
        <b/>
        <sz val="15"/>
        <rFont val="Noto Sans CJK SC"/>
        <family val="2"/>
      </rPr>
      <t>해당될 때만 표시</t>
    </r>
    <r>
      <rPr>
        <b/>
        <sz val="15"/>
        <rFont val="맑은 고딕"/>
        <family val="3"/>
        <charset val="129"/>
      </rPr>
      <t>)</t>
    </r>
  </si>
  <si>
    <r>
      <rPr>
        <b/>
        <sz val="22"/>
        <rFont val="Noto Sans CJK SC"/>
        <family val="2"/>
      </rPr>
      <t>가능성 비교 — 한 줄에 한 안</t>
    </r>
    <r>
      <rPr>
        <b/>
        <sz val="22"/>
        <rFont val="맑은 고딕"/>
        <family val="3"/>
        <charset val="129"/>
      </rPr>
      <t>(</t>
    </r>
    <r>
      <rPr>
        <b/>
        <sz val="22"/>
        <rFont val="Noto Sans CJK SC"/>
        <family val="2"/>
      </rPr>
      <t>案</t>
    </r>
    <r>
      <rPr>
        <b/>
        <sz val="22"/>
        <rFont val="맑은 고딕"/>
        <family val="3"/>
        <charset val="129"/>
      </rPr>
      <t>)</t>
    </r>
  </si>
  <si>
    <r>
      <rPr>
        <sz val="11"/>
        <color rgb="FF555555"/>
        <rFont val="Noto Sans CJK SC"/>
        <family val="2"/>
      </rPr>
      <t>노란 칸 입력 → 오른쪽 결과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>넥 기본 여유</t>
    </r>
    <r>
      <rPr>
        <sz val="11"/>
        <color rgb="FF555555"/>
        <rFont val="맑은 고딕"/>
        <family val="3"/>
        <charset val="129"/>
      </rPr>
      <t xml:space="preserve">·X Start </t>
    </r>
    <r>
      <rPr>
        <sz val="11"/>
        <color rgb="FF555555"/>
        <rFont val="Noto Sans CJK SC"/>
        <family val="2"/>
      </rPr>
      <t>여유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>황삭 절입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>실적 절입</t>
    </r>
    <r>
      <rPr>
        <sz val="11"/>
        <color rgb="FF555555"/>
        <rFont val="맑은 고딕"/>
        <family val="3"/>
        <charset val="129"/>
      </rPr>
      <t>·</t>
    </r>
    <r>
      <rPr>
        <sz val="11"/>
        <color rgb="FF555555"/>
        <rFont val="Noto Sans CJK SC"/>
        <family val="2"/>
      </rPr>
      <t>이송은 「넥계산기」 시트 값을 공통으로 씀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초록 글자</t>
    </r>
    <r>
      <rPr>
        <sz val="11"/>
        <color rgb="FF555555"/>
        <rFont val="맑은 고딕"/>
        <family val="3"/>
        <charset val="129"/>
      </rPr>
      <t xml:space="preserve">). dn </t>
    </r>
    <r>
      <rPr>
        <sz val="11"/>
        <color rgb="FF555555"/>
        <rFont val="Noto Sans CJK SC"/>
        <family val="2"/>
      </rPr>
      <t xml:space="preserve">을 비우면 </t>
    </r>
    <r>
      <rPr>
        <sz val="11"/>
        <color rgb="FF555555"/>
        <rFont val="맑은 고딕"/>
        <family val="3"/>
        <charset val="129"/>
      </rPr>
      <t xml:space="preserve">D − </t>
    </r>
    <r>
      <rPr>
        <sz val="11"/>
        <color rgb="FF555555"/>
        <rFont val="Noto Sans CJK SC"/>
        <family val="2"/>
      </rPr>
      <t>여유</t>
    </r>
    <r>
      <rPr>
        <sz val="11"/>
        <color rgb="FF555555"/>
        <rFont val="맑은 고딕"/>
        <family val="3"/>
        <charset val="129"/>
      </rPr>
      <t xml:space="preserve">. </t>
    </r>
    <r>
      <rPr>
        <sz val="11"/>
        <color rgb="FF555555"/>
        <rFont val="Noto Sans CJK SC"/>
        <family val="2"/>
      </rPr>
      <t xml:space="preserve">예시 줄 </t>
    </r>
    <r>
      <rPr>
        <sz val="11"/>
        <color rgb="FF555555"/>
        <rFont val="맑은 고딕"/>
        <family val="3"/>
        <charset val="129"/>
      </rPr>
      <t>3~5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3"/>
        <charset val="129"/>
      </rPr>
      <t xml:space="preserve">L2 </t>
    </r>
    <r>
      <rPr>
        <sz val="11"/>
        <color rgb="FF555555"/>
        <rFont val="Noto Sans CJK SC"/>
        <family val="2"/>
      </rPr>
      <t>만 바꾼 가정값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가능성 비교용</t>
    </r>
    <r>
      <rPr>
        <sz val="11"/>
        <color rgb="FF555555"/>
        <rFont val="맑은 고딕"/>
        <family val="3"/>
        <charset val="129"/>
      </rPr>
      <t xml:space="preserve">) — </t>
    </r>
    <r>
      <rPr>
        <sz val="11"/>
        <color rgb="FF555555"/>
        <rFont val="Noto Sans CJK SC"/>
        <family val="2"/>
      </rPr>
      <t>실제 품번 아님</t>
    </r>
    <r>
      <rPr>
        <sz val="11"/>
        <color rgb="FF555555"/>
        <rFont val="맑은 고딕"/>
        <family val="3"/>
        <charset val="129"/>
      </rPr>
      <t>.</t>
    </r>
  </si>
  <si>
    <t>공통값 →</t>
  </si>
  <si>
    <t>넥 여유</t>
  </si>
  <si>
    <r>
      <rPr>
        <sz val="13"/>
        <rFont val="맑은 고딕"/>
        <family val="3"/>
        <charset val="129"/>
      </rPr>
      <t xml:space="preserve">X Start </t>
    </r>
    <r>
      <rPr>
        <sz val="13"/>
        <rFont val="Noto Sans CJK SC"/>
        <family val="2"/>
      </rPr>
      <t>여유</t>
    </r>
  </si>
  <si>
    <t>황삭 절입</t>
  </si>
  <si>
    <t>실적 절입</t>
  </si>
  <si>
    <t>이송</t>
  </si>
  <si>
    <r>
      <rPr>
        <b/>
        <sz val="12"/>
        <rFont val="Noto Sans CJK SC"/>
        <family val="2"/>
      </rPr>
      <t xml:space="preserve">구분 </t>
    </r>
    <r>
      <rPr>
        <b/>
        <sz val="12"/>
        <rFont val="맑은 고딕"/>
        <family val="3"/>
        <charset val="129"/>
      </rPr>
      <t xml:space="preserve">/ </t>
    </r>
    <r>
      <rPr>
        <b/>
        <sz val="12"/>
        <rFont val="Noto Sans CJK SC"/>
        <family val="2"/>
      </rPr>
      <t>메모</t>
    </r>
  </si>
  <si>
    <t>D</t>
  </si>
  <si>
    <r>
      <rPr>
        <b/>
        <sz val="12"/>
        <rFont val="맑은 고딕"/>
        <family val="3"/>
        <charset val="129"/>
      </rPr>
      <t xml:space="preserve">L1 </t>
    </r>
    <r>
      <rPr>
        <b/>
        <sz val="12"/>
        <rFont val="Noto Sans CJK SC"/>
        <family val="2"/>
      </rPr>
      <t>날장</t>
    </r>
  </si>
  <si>
    <r>
      <rPr>
        <b/>
        <sz val="12"/>
        <rFont val="맑은 고딕"/>
        <family val="3"/>
        <charset val="129"/>
      </rPr>
      <t>L2(</t>
    </r>
    <r>
      <rPr>
        <b/>
        <sz val="12"/>
        <rFont val="Noto Sans CJK SC"/>
        <family val="2"/>
      </rPr>
      <t>블랭크</t>
    </r>
    <r>
      <rPr>
        <b/>
        <sz val="12"/>
        <rFont val="맑은 고딕"/>
        <family val="3"/>
        <charset val="129"/>
      </rPr>
      <t>)</t>
    </r>
  </si>
  <si>
    <r>
      <rPr>
        <b/>
        <sz val="12"/>
        <rFont val="맑은 고딕"/>
        <family val="3"/>
        <charset val="129"/>
      </rPr>
      <t>L2(</t>
    </r>
    <r>
      <rPr>
        <b/>
        <sz val="12"/>
        <rFont val="Noto Sans CJK SC"/>
        <family val="2"/>
      </rPr>
      <t>목표</t>
    </r>
    <r>
      <rPr>
        <b/>
        <sz val="12"/>
        <rFont val="맑은 고딕"/>
        <family val="3"/>
        <charset val="129"/>
      </rPr>
      <t>)</t>
    </r>
  </si>
  <si>
    <r>
      <rPr>
        <b/>
        <sz val="12"/>
        <rFont val="맑은 고딕"/>
        <family val="3"/>
        <charset val="129"/>
      </rPr>
      <t xml:space="preserve">L </t>
    </r>
    <r>
      <rPr>
        <b/>
        <sz val="12"/>
        <rFont val="Noto Sans CJK SC"/>
        <family val="2"/>
      </rPr>
      <t>전장</t>
    </r>
  </si>
  <si>
    <r>
      <rPr>
        <b/>
        <sz val="12"/>
        <rFont val="맑은 고딕"/>
        <family val="3"/>
        <charset val="129"/>
      </rPr>
      <t xml:space="preserve">d </t>
    </r>
    <r>
      <rPr>
        <b/>
        <sz val="12"/>
        <rFont val="Noto Sans CJK SC"/>
        <family val="2"/>
      </rPr>
      <t>생크</t>
    </r>
  </si>
  <si>
    <t>θ (°)</t>
  </si>
  <si>
    <r>
      <rPr>
        <b/>
        <sz val="12"/>
        <rFont val="맑은 고딕"/>
        <family val="3"/>
        <charset val="129"/>
      </rPr>
      <t xml:space="preserve">dn </t>
    </r>
    <r>
      <rPr>
        <b/>
        <sz val="12"/>
        <rFont val="Noto Sans CJK SC"/>
        <family val="2"/>
      </rPr>
      <t>입력</t>
    </r>
  </si>
  <si>
    <r>
      <rPr>
        <b/>
        <sz val="12"/>
        <rFont val="Noto Sans CJK SC"/>
        <family val="2"/>
      </rPr>
      <t xml:space="preserve">적용 </t>
    </r>
    <r>
      <rPr>
        <b/>
        <sz val="12"/>
        <rFont val="맑은 고딕"/>
        <family val="3"/>
        <charset val="129"/>
      </rPr>
      <t>dn</t>
    </r>
  </si>
  <si>
    <r>
      <rPr>
        <b/>
        <sz val="12"/>
        <rFont val="맑은 고딕"/>
        <family val="3"/>
        <charset val="129"/>
      </rPr>
      <t xml:space="preserve">Washout </t>
    </r>
    <r>
      <rPr>
        <b/>
        <sz val="12"/>
        <rFont val="Noto Sans CJK SC"/>
        <family val="2"/>
      </rPr>
      <t>길이</t>
    </r>
  </si>
  <si>
    <t>X Start</t>
  </si>
  <si>
    <t>S1 Step length</t>
  </si>
  <si>
    <t>S2 Step length</t>
  </si>
  <si>
    <t>S3 Step length</t>
  </si>
  <si>
    <r>
      <rPr>
        <b/>
        <sz val="12"/>
        <rFont val="Noto Sans CJK SC"/>
        <family val="2"/>
      </rPr>
      <t xml:space="preserve">넥 직선 끝 </t>
    </r>
    <r>
      <rPr>
        <b/>
        <sz val="12"/>
        <rFont val="맑은 고딕"/>
        <family val="3"/>
        <charset val="129"/>
      </rPr>
      <t>X</t>
    </r>
  </si>
  <si>
    <t>S2 Start OD</t>
  </si>
  <si>
    <t>최대 반경 제거</t>
  </si>
  <si>
    <t>황삭 패스</t>
  </si>
  <si>
    <t>강성 비</t>
  </si>
  <si>
    <t>처짐 배율</t>
  </si>
  <si>
    <t>L2÷D</t>
  </si>
  <si>
    <t>적용 구분</t>
  </si>
  <si>
    <r>
      <rPr>
        <b/>
        <sz val="12"/>
        <rFont val="Noto Sans CJK SC"/>
        <family val="2"/>
      </rPr>
      <t xml:space="preserve">정삭 </t>
    </r>
    <r>
      <rPr>
        <b/>
        <sz val="12"/>
        <rFont val="맑은 고딕"/>
        <family val="3"/>
        <charset val="129"/>
      </rPr>
      <t>1</t>
    </r>
    <r>
      <rPr>
        <b/>
        <sz val="12"/>
        <rFont val="Noto Sans CJK SC"/>
        <family val="2"/>
      </rPr>
      <t xml:space="preserve">패스 </t>
    </r>
    <r>
      <rPr>
        <b/>
        <sz val="12"/>
        <rFont val="맑은 고딕"/>
        <family val="3"/>
        <charset val="129"/>
      </rPr>
      <t>(</t>
    </r>
    <r>
      <rPr>
        <b/>
        <sz val="12"/>
        <rFont val="Noto Sans CJK SC"/>
        <family val="2"/>
      </rPr>
      <t>분</t>
    </r>
    <r>
      <rPr>
        <b/>
        <sz val="12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</si>
  <si>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2JJCR 040 010 200 (</t>
    </r>
    <r>
      <rPr>
        <sz val="11"/>
        <rFont val="Noto Sans CJK SC"/>
        <family val="2"/>
      </rPr>
      <t xml:space="preserve">카탈로그 치수 </t>
    </r>
    <r>
      <rPr>
        <sz val="11"/>
        <rFont val="맑은 고딕"/>
        <family val="3"/>
        <charset val="129"/>
      </rPr>
      <t xml:space="preserve">· </t>
    </r>
    <r>
      <rPr>
        <sz val="11"/>
        <rFont val="Noto Sans CJK SC"/>
        <family val="2"/>
      </rPr>
      <t xml:space="preserve">넥 </t>
    </r>
    <r>
      <rPr>
        <sz val="11"/>
        <rFont val="맑은 고딕"/>
        <family val="3"/>
        <charset val="129"/>
      </rPr>
      <t xml:space="preserve">Ø3.85 </t>
    </r>
    <r>
      <rPr>
        <sz val="11"/>
        <rFont val="Noto Sans CJK SC"/>
        <family val="2"/>
      </rPr>
      <t>확정안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</si>
  <si>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테스트 </t>
    </r>
    <r>
      <rPr>
        <sz val="11"/>
        <rFont val="맑은 고딕"/>
        <family val="3"/>
        <charset val="129"/>
      </rPr>
      <t>D4 2</t>
    </r>
    <r>
      <rPr>
        <sz val="11"/>
        <rFont val="Noto Sans CJK SC"/>
        <family val="2"/>
      </rPr>
      <t xml:space="preserve">날 평 </t>
    </r>
    <r>
      <rPr>
        <sz val="11"/>
        <rFont val="맑은 고딕"/>
        <family val="3"/>
        <charset val="129"/>
      </rPr>
      <t xml:space="preserve">L2 8 → 14 (10-19, </t>
    </r>
    <r>
      <rPr>
        <sz val="11"/>
        <rFont val="Noto Sans CJK SC"/>
        <family val="2"/>
      </rPr>
      <t>전장 미입력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</si>
  <si>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3"/>
        <charset val="129"/>
      </rPr>
      <t>D4 L2 8 → 12 (</t>
    </r>
    <r>
      <rPr>
        <sz val="11"/>
        <rFont val="Noto Sans CJK SC"/>
        <family val="2"/>
      </rPr>
      <t>가정값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</si>
  <si>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3"/>
        <charset val="129"/>
      </rPr>
      <t>D4 L2 8 → 16 (</t>
    </r>
    <r>
      <rPr>
        <sz val="11"/>
        <rFont val="Noto Sans CJK SC"/>
        <family val="2"/>
      </rPr>
      <t>가정값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</si>
  <si>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3"/>
        <charset val="129"/>
      </rPr>
      <t>D4 L2 8 → 20 (</t>
    </r>
    <r>
      <rPr>
        <sz val="11"/>
        <rFont val="Noto Sans CJK SC"/>
        <family val="2"/>
      </rPr>
      <t>가정값</t>
    </r>
    <r>
      <rPr>
        <sz val="11"/>
        <rFont val="맑은 고딕"/>
        <family val="3"/>
        <charset val="129"/>
      </rPr>
      <t>)</t>
    </r>
  </si>
  <si>
    <r>
      <rPr>
        <b/>
        <sz val="22"/>
        <rFont val="Noto Sans CJK SC"/>
        <family val="2"/>
      </rPr>
      <t xml:space="preserve">③ 예시 도면 — 「가능성비교」 </t>
    </r>
    <r>
      <rPr>
        <b/>
        <sz val="22"/>
        <rFont val="맑은 고딕"/>
        <family val="3"/>
        <charset val="129"/>
      </rPr>
      <t>1·2</t>
    </r>
    <r>
      <rPr>
        <b/>
        <sz val="22"/>
        <rFont val="Noto Sans CJK SC"/>
        <family val="2"/>
      </rPr>
      <t>행과 짝</t>
    </r>
  </si>
  <si>
    <r>
      <rPr>
        <sz val="11"/>
        <color rgb="FF555555"/>
        <rFont val="Noto Sans CJK SC"/>
        <family val="2"/>
      </rPr>
      <t>아래 숫자를 「넥계산기」에 넣으면 도면과 같은 값이 나와야 합니다</t>
    </r>
    <r>
      <rPr>
        <sz val="11"/>
        <color rgb="FF555555"/>
        <rFont val="맑은 고딕"/>
        <family val="3"/>
        <charset val="129"/>
      </rPr>
      <t>(</t>
    </r>
    <r>
      <rPr>
        <sz val="11"/>
        <color rgb="FF555555"/>
        <rFont val="Noto Sans CJK SC"/>
        <family val="2"/>
      </rPr>
      <t>검산 예</t>
    </r>
    <r>
      <rPr>
        <sz val="11"/>
        <color rgb="FF555555"/>
        <rFont val="맑은 고딕"/>
        <family val="3"/>
        <charset val="129"/>
      </rPr>
      <t xml:space="preserve">). </t>
    </r>
    <r>
      <rPr>
        <sz val="11"/>
        <color rgb="FF555555"/>
        <rFont val="Noto Sans CJK SC"/>
        <family val="2"/>
      </rPr>
      <t xml:space="preserve">생크 </t>
    </r>
    <r>
      <rPr>
        <sz val="11"/>
        <color rgb="FF555555"/>
        <rFont val="맑은 고딕"/>
        <family val="3"/>
        <charset val="129"/>
      </rPr>
      <t>= d(</t>
    </r>
    <r>
      <rPr>
        <sz val="11"/>
        <color rgb="FF555555"/>
        <rFont val="Noto Sans CJK SC"/>
        <family val="2"/>
      </rPr>
      <t xml:space="preserve">도면 </t>
    </r>
    <r>
      <rPr>
        <sz val="11"/>
        <color rgb="FF555555"/>
        <rFont val="맑은 고딕"/>
        <family val="3"/>
        <charset val="129"/>
      </rPr>
      <t xml:space="preserve">Ød), </t>
    </r>
    <r>
      <rPr>
        <sz val="11"/>
        <color rgb="FF555555"/>
        <rFont val="Noto Sans CJK SC"/>
        <family val="2"/>
      </rPr>
      <t xml:space="preserve">넥 </t>
    </r>
    <r>
      <rPr>
        <sz val="11"/>
        <color rgb="FF555555"/>
        <rFont val="맑은 고딕"/>
        <family val="3"/>
        <charset val="129"/>
      </rPr>
      <t xml:space="preserve">= dn. </t>
    </r>
    <r>
      <rPr>
        <sz val="11"/>
        <color rgb="FF555555"/>
        <rFont val="Noto Sans CJK SC"/>
        <family val="2"/>
      </rPr>
      <t>도면은 고정 그림이라 입력을 바꿔도 변하지 않습니다</t>
    </r>
    <r>
      <rPr>
        <sz val="11"/>
        <color rgb="FF555555"/>
        <rFont val="맑은 고딕"/>
        <family val="3"/>
        <charset val="129"/>
      </rPr>
      <t>.</t>
    </r>
  </si>
  <si>
    <r>
      <rPr>
        <b/>
        <sz val="15"/>
        <rFont val="Noto Sans CJK SC"/>
        <family val="2"/>
      </rPr>
      <t xml:space="preserve">예 </t>
    </r>
    <r>
      <rPr>
        <b/>
        <sz val="15"/>
        <rFont val="맑은 고딕"/>
        <family val="3"/>
        <charset val="129"/>
      </rPr>
      <t>1 — 2JJCR 040 010 200 (</t>
    </r>
    <r>
      <rPr>
        <b/>
        <sz val="15"/>
        <rFont val="Noto Sans CJK SC"/>
        <family val="2"/>
      </rPr>
      <t>단일 섹션</t>
    </r>
    <r>
      <rPr>
        <b/>
        <sz val="15"/>
        <rFont val="맑은 고딕"/>
        <family val="3"/>
        <charset val="129"/>
      </rPr>
      <t>)</t>
    </r>
  </si>
  <si>
    <r>
      <rPr>
        <b/>
        <sz val="13"/>
        <rFont val="Noto Sans CJK SC"/>
        <family val="2"/>
      </rPr>
      <t>입력</t>
    </r>
    <r>
      <rPr>
        <b/>
        <sz val="13"/>
        <rFont val="맑은 고딕"/>
        <family val="3"/>
        <charset val="129"/>
      </rPr>
      <t>: D 4 · L1 4 · L2(</t>
    </r>
    <r>
      <rPr>
        <b/>
        <sz val="13"/>
        <rFont val="Noto Sans CJK SC"/>
        <family val="2"/>
      </rPr>
      <t>블랭크</t>
    </r>
    <r>
      <rPr>
        <b/>
        <sz val="13"/>
        <rFont val="맑은 고딕"/>
        <family val="3"/>
        <charset val="129"/>
      </rPr>
      <t>) 20 · L2(</t>
    </r>
    <r>
      <rPr>
        <b/>
        <sz val="13"/>
        <rFont val="Noto Sans CJK SC"/>
        <family val="2"/>
      </rPr>
      <t>목표</t>
    </r>
    <r>
      <rPr>
        <b/>
        <sz val="13"/>
        <rFont val="맑은 고딕"/>
        <family val="3"/>
        <charset val="129"/>
      </rPr>
      <t xml:space="preserve">) 20 · L 50 · d 6 · θ 15   →   Step length 15.620 · </t>
    </r>
    <r>
      <rPr>
        <b/>
        <sz val="13"/>
        <rFont val="Noto Sans CJK SC"/>
        <family val="2"/>
      </rPr>
      <t xml:space="preserve">넥 끝 </t>
    </r>
    <r>
      <rPr>
        <b/>
        <sz val="13"/>
        <rFont val="맑은 고딕"/>
        <family val="3"/>
        <charset val="129"/>
      </rPr>
      <t>X −19.720 · washout 15° / 0.280</t>
    </r>
  </si>
  <si>
    <r>
      <rPr>
        <b/>
        <sz val="15"/>
        <rFont val="Noto Sans CJK SC"/>
        <family val="2"/>
      </rPr>
      <t xml:space="preserve">예 </t>
    </r>
    <r>
      <rPr>
        <b/>
        <sz val="15"/>
        <rFont val="맑은 고딕"/>
        <family val="3"/>
        <charset val="129"/>
      </rPr>
      <t xml:space="preserve">2 — </t>
    </r>
    <r>
      <rPr>
        <b/>
        <sz val="15"/>
        <rFont val="Noto Sans CJK SC"/>
        <family val="2"/>
      </rPr>
      <t xml:space="preserve">테스트 </t>
    </r>
    <r>
      <rPr>
        <b/>
        <sz val="15"/>
        <rFont val="맑은 고딕"/>
        <family val="3"/>
        <charset val="129"/>
      </rPr>
      <t>D4 2</t>
    </r>
    <r>
      <rPr>
        <b/>
        <sz val="15"/>
        <rFont val="Noto Sans CJK SC"/>
        <family val="2"/>
      </rPr>
      <t xml:space="preserve">날 평 </t>
    </r>
    <r>
      <rPr>
        <b/>
        <sz val="15"/>
        <rFont val="맑은 고딕"/>
        <family val="3"/>
        <charset val="129"/>
      </rPr>
      <t>L2 8 → 14 (3</t>
    </r>
    <r>
      <rPr>
        <b/>
        <sz val="15"/>
        <rFont val="Noto Sans CJK SC"/>
        <family val="2"/>
      </rPr>
      <t>섹션 넥 연장</t>
    </r>
    <r>
      <rPr>
        <b/>
        <sz val="15"/>
        <rFont val="맑은 고딕"/>
        <family val="3"/>
        <charset val="129"/>
      </rPr>
      <t>)</t>
    </r>
  </si>
  <si>
    <r>
      <rPr>
        <b/>
        <sz val="13"/>
        <rFont val="Noto Sans CJK SC"/>
        <family val="2"/>
      </rPr>
      <t>입력</t>
    </r>
    <r>
      <rPr>
        <b/>
        <sz val="13"/>
        <rFont val="맑은 고딕"/>
        <family val="3"/>
        <charset val="129"/>
      </rPr>
      <t>: D 4 · L1 4 · L2(</t>
    </r>
    <r>
      <rPr>
        <b/>
        <sz val="13"/>
        <rFont val="Noto Sans CJK SC"/>
        <family val="2"/>
      </rPr>
      <t>블랭크</t>
    </r>
    <r>
      <rPr>
        <b/>
        <sz val="13"/>
        <rFont val="맑은 고딕"/>
        <family val="3"/>
        <charset val="129"/>
      </rPr>
      <t>) 8 · L2(</t>
    </r>
    <r>
      <rPr>
        <b/>
        <sz val="13"/>
        <rFont val="Noto Sans CJK SC"/>
        <family val="2"/>
      </rPr>
      <t>목표</t>
    </r>
    <r>
      <rPr>
        <b/>
        <sz val="13"/>
        <rFont val="맑은 고딕"/>
        <family val="3"/>
        <charset val="129"/>
      </rPr>
      <t xml:space="preserve">) 14 · L 50 · d 6 · θ 15   →   S1 3.90 · S2 5.72 · S3 4.01 · S2 Start OD 6.0 · </t>
    </r>
    <r>
      <rPr>
        <b/>
        <sz val="13"/>
        <rFont val="Noto Sans CJK SC"/>
        <family val="2"/>
      </rPr>
      <t xml:space="preserve">황삭 </t>
    </r>
    <r>
      <rPr>
        <b/>
        <sz val="13"/>
        <rFont val="맑은 고딕"/>
        <family val="3"/>
        <charset val="129"/>
      </rPr>
      <t>22</t>
    </r>
    <r>
      <rPr>
        <b/>
        <sz val="13"/>
        <rFont val="Noto Sans CJK SC"/>
        <family val="2"/>
      </rPr>
      <t>패스</t>
    </r>
    <r>
      <rPr>
        <b/>
        <sz val="13"/>
        <rFont val="맑은 고딕"/>
        <family val="3"/>
        <charset val="129"/>
      </rPr>
      <t>(0.05 mm)</t>
    </r>
  </si>
  <si>
    <r>
      <rPr>
        <b/>
        <sz val="22"/>
        <rFont val="Noto Sans CJK SC"/>
        <family val="2"/>
      </rPr>
      <t xml:space="preserve">수식 </t>
    </r>
    <r>
      <rPr>
        <b/>
        <sz val="22"/>
        <rFont val="맑은 고딕"/>
        <family val="3"/>
        <charset val="129"/>
      </rPr>
      <t xml:space="preserve">· </t>
    </r>
    <r>
      <rPr>
        <b/>
        <sz val="22"/>
        <rFont val="Noto Sans CJK SC"/>
        <family val="2"/>
      </rPr>
      <t xml:space="preserve">근거 </t>
    </r>
    <r>
      <rPr>
        <b/>
        <sz val="22"/>
        <rFont val="맑은 고딕"/>
        <family val="3"/>
        <charset val="129"/>
      </rPr>
      <t xml:space="preserve">· </t>
    </r>
    <r>
      <rPr>
        <b/>
        <sz val="22"/>
        <rFont val="Noto Sans CJK SC"/>
        <family val="2"/>
      </rPr>
      <t>신뢰도</t>
    </r>
  </si>
  <si>
    <t>항목</t>
  </si>
  <si>
    <r>
      <rPr>
        <b/>
        <sz val="13"/>
        <rFont val="Noto Sans CJK SC"/>
        <family val="2"/>
      </rPr>
      <t xml:space="preserve">수식 </t>
    </r>
    <r>
      <rPr>
        <b/>
        <sz val="13"/>
        <rFont val="맑은 고딕"/>
        <family val="3"/>
        <charset val="129"/>
      </rPr>
      <t xml:space="preserve">/ </t>
    </r>
    <r>
      <rPr>
        <b/>
        <sz val="13"/>
        <rFont val="Noto Sans CJK SC"/>
        <family val="2"/>
      </rPr>
      <t>내용</t>
    </r>
  </si>
  <si>
    <t>신뢰도</t>
  </si>
  <si>
    <t>출처</t>
  </si>
  <si>
    <r>
      <rPr>
        <b/>
        <sz val="13"/>
        <rFont val="Noto Sans CJK SC"/>
        <family val="2"/>
      </rPr>
      <t xml:space="preserve">넥 지름 </t>
    </r>
    <r>
      <rPr>
        <b/>
        <sz val="13"/>
        <rFont val="맑은 고딕"/>
        <family val="3"/>
        <charset val="129"/>
      </rPr>
      <t>dn</t>
    </r>
  </si>
  <si>
    <r>
      <rPr>
        <sz val="13"/>
        <rFont val="맑은 고딕"/>
        <family val="3"/>
        <charset val="129"/>
      </rPr>
      <t>dn = D − 0.15 (</t>
    </r>
    <r>
      <rPr>
        <sz val="13"/>
        <rFont val="Noto Sans CJK SC"/>
        <family val="2"/>
      </rPr>
      <t>지름 기준</t>
    </r>
    <r>
      <rPr>
        <sz val="13"/>
        <rFont val="맑은 고딕"/>
        <family val="3"/>
        <charset val="129"/>
      </rPr>
      <t xml:space="preserve">, </t>
    </r>
    <r>
      <rPr>
        <sz val="13"/>
        <rFont val="Noto Sans CJK SC"/>
        <family val="2"/>
      </rPr>
      <t xml:space="preserve">한쪽 </t>
    </r>
    <r>
      <rPr>
        <sz val="13"/>
        <rFont val="맑은 고딕"/>
        <family val="3"/>
        <charset val="129"/>
      </rPr>
      <t xml:space="preserve">0.075 mm). </t>
    </r>
    <r>
      <rPr>
        <sz val="13"/>
        <rFont val="Noto Sans CJK SC"/>
        <family val="2"/>
      </rPr>
      <t>입력하면 입력값 우선</t>
    </r>
    <r>
      <rPr>
        <sz val="13"/>
        <rFont val="맑은 고딕"/>
        <family val="3"/>
        <charset val="129"/>
      </rPr>
      <t xml:space="preserve">. </t>
    </r>
    <r>
      <rPr>
        <sz val="13"/>
        <rFont val="Noto Sans CJK SC"/>
        <family val="2"/>
      </rPr>
      <t xml:space="preserve">생크는 </t>
    </r>
    <r>
      <rPr>
        <sz val="13"/>
        <rFont val="맑은 고딕"/>
        <family val="3"/>
        <charset val="129"/>
      </rPr>
      <t>d (</t>
    </r>
    <r>
      <rPr>
        <sz val="13"/>
        <rFont val="Noto Sans CJK SC"/>
        <family val="2"/>
      </rPr>
      <t>도면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 xml:space="preserve">카탈로그 </t>
    </r>
    <r>
      <rPr>
        <sz val="13"/>
        <rFont val="맑은 고딕"/>
        <family val="3"/>
        <charset val="129"/>
      </rPr>
      <t>Ød)</t>
    </r>
  </si>
  <si>
    <r>
      <rPr>
        <sz val="13"/>
        <rFont val="Noto Sans CJK SC"/>
        <family val="2"/>
      </rPr>
      <t xml:space="preserve">사내 경험값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 xml:space="preserve">근거 </t>
    </r>
    <r>
      <rPr>
        <sz val="13"/>
        <rFont val="맑은 고딕"/>
        <family val="3"/>
        <charset val="129"/>
      </rPr>
      <t>D4 1</t>
    </r>
    <r>
      <rPr>
        <sz val="13"/>
        <rFont val="Noto Sans CJK SC"/>
        <family val="2"/>
      </rPr>
      <t>건</t>
    </r>
    <r>
      <rPr>
        <sz val="13"/>
        <rFont val="맑은 고딕"/>
        <family val="3"/>
        <charset val="129"/>
      </rPr>
      <t>)</t>
    </r>
  </si>
  <si>
    <t>decisions 2026-10-19 (6) · AFCY_2krb040120s06.tom (2016)</t>
  </si>
  <si>
    <r>
      <rPr>
        <b/>
        <sz val="13"/>
        <rFont val="맑은 고딕"/>
        <family val="3"/>
        <charset val="129"/>
      </rPr>
      <t xml:space="preserve">Washout </t>
    </r>
    <r>
      <rPr>
        <b/>
        <sz val="13"/>
        <rFont val="Noto Sans CJK SC"/>
        <family val="2"/>
      </rPr>
      <t>길이</t>
    </r>
  </si>
  <si>
    <t>wo = (D − dn) ÷ 2 ÷ tan θ</t>
  </si>
  <si>
    <t>계산값</t>
  </si>
  <si>
    <t>iGrind Grinding Manual §30.9 [VEN-ANCA-IGRIND-CYCLES]</t>
  </si>
  <si>
    <r>
      <rPr>
        <sz val="13"/>
        <rFont val="맑은 고딕"/>
        <family val="3"/>
        <charset val="129"/>
      </rPr>
      <t xml:space="preserve">X Start = −(L1 + </t>
    </r>
    <r>
      <rPr>
        <sz val="13"/>
        <rFont val="Noto Sans CJK SC"/>
        <family val="2"/>
      </rPr>
      <t>여유</t>
    </r>
    <r>
      <rPr>
        <sz val="13"/>
        <rFont val="맑은 고딕"/>
        <family val="3"/>
        <charset val="129"/>
      </rPr>
      <t xml:space="preserve">), </t>
    </r>
    <r>
      <rPr>
        <sz val="13"/>
        <rFont val="Noto Sans CJK SC"/>
        <family val="2"/>
      </rPr>
      <t xml:space="preserve">여유 기본 </t>
    </r>
    <r>
      <rPr>
        <sz val="13"/>
        <rFont val="맑은 고딕"/>
        <family val="3"/>
        <charset val="129"/>
      </rPr>
      <t>0.1 mm</t>
    </r>
  </si>
  <si>
    <t>사내 경험값</t>
  </si>
  <si>
    <r>
      <rPr>
        <sz val="13"/>
        <rFont val="맑은 고딕"/>
        <family val="3"/>
        <charset val="129"/>
      </rPr>
      <t xml:space="preserve">2JJCR </t>
    </r>
    <r>
      <rPr>
        <sz val="13"/>
        <rFont val="Noto Sans CJK SC"/>
        <family val="2"/>
      </rPr>
      <t>기존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>확정안 −</t>
    </r>
    <r>
      <rPr>
        <sz val="13"/>
        <rFont val="맑은 고딕"/>
        <family val="3"/>
        <charset val="129"/>
      </rPr>
      <t>4.1</t>
    </r>
  </si>
  <si>
    <r>
      <rPr>
        <b/>
        <sz val="13"/>
        <rFont val="Noto Sans CJK SC"/>
        <family val="2"/>
      </rPr>
      <t xml:space="preserve">단일 섹션 </t>
    </r>
    <r>
      <rPr>
        <b/>
        <sz val="13"/>
        <rFont val="맑은 고딕"/>
        <family val="3"/>
        <charset val="129"/>
      </rPr>
      <t>Step length</t>
    </r>
  </si>
  <si>
    <r>
      <rPr>
        <sz val="13"/>
        <rFont val="맑은 고딕"/>
        <family val="3"/>
        <charset val="129"/>
      </rPr>
      <t xml:space="preserve">Step = (L2 − wo) − (L1 + </t>
    </r>
    <r>
      <rPr>
        <sz val="13"/>
        <rFont val="Noto Sans CJK SC"/>
        <family val="2"/>
      </rPr>
      <t>여유</t>
    </r>
    <r>
      <rPr>
        <sz val="13"/>
        <rFont val="맑은 고딕"/>
        <family val="3"/>
        <charset val="129"/>
      </rPr>
      <t xml:space="preserve">). Step length </t>
    </r>
    <r>
      <rPr>
        <sz val="13"/>
        <rFont val="Noto Sans CJK SC"/>
        <family val="2"/>
      </rPr>
      <t xml:space="preserve">는 </t>
    </r>
    <r>
      <rPr>
        <sz val="13"/>
        <rFont val="맑은 고딕"/>
        <family val="3"/>
        <charset val="129"/>
      </rPr>
      <t xml:space="preserve">washout </t>
    </r>
    <r>
      <rPr>
        <sz val="13"/>
        <rFont val="Noto Sans CJK SC"/>
        <family val="2"/>
      </rPr>
      <t>제외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</si>
  <si>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정의</t>
    </r>
    <r>
      <rPr>
        <sz val="13"/>
        <rFont val="맑은 고딕"/>
        <family val="3"/>
        <charset val="129"/>
      </rPr>
      <t xml:space="preserve">) / </t>
    </r>
    <r>
      <rPr>
        <sz val="13"/>
        <rFont val="Noto Sans CJK SC"/>
        <family val="2"/>
      </rPr>
      <t>계산값</t>
    </r>
  </si>
  <si>
    <t>[VEN-ANCA-IGRIND-CYCLES] §30.9</t>
  </si>
  <si>
    <t>단일 섹션 조건</t>
  </si>
  <si>
    <r>
      <rPr>
        <sz val="13"/>
        <rFont val="맑은 고딕"/>
        <family val="3"/>
        <charset val="129"/>
      </rPr>
      <t>L2(</t>
    </r>
    <r>
      <rPr>
        <sz val="13"/>
        <rFont val="Noto Sans CJK SC"/>
        <family val="2"/>
      </rPr>
      <t>목표</t>
    </r>
    <r>
      <rPr>
        <sz val="13"/>
        <rFont val="맑은 고딕"/>
        <family val="3"/>
        <charset val="129"/>
      </rPr>
      <t>) ≤ 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). </t>
    </r>
    <r>
      <rPr>
        <sz val="13"/>
        <rFont val="Noto Sans CJK SC"/>
        <family val="2"/>
      </rPr>
      <t xml:space="preserve">넥 끝의 </t>
    </r>
    <r>
      <rPr>
        <sz val="13"/>
        <rFont val="맑은 고딕"/>
        <family val="3"/>
        <charset val="129"/>
      </rPr>
      <t xml:space="preserve">θ washout </t>
    </r>
    <r>
      <rPr>
        <sz val="13"/>
        <rFont val="Noto Sans CJK SC"/>
        <family val="2"/>
      </rPr>
      <t>이 기존 테이퍼 선과 겹쳐 테이퍼 재연삭 불필요</t>
    </r>
  </si>
  <si>
    <t>worklog 2026-10-19 (#4)</t>
  </si>
  <si>
    <r>
      <rPr>
        <b/>
        <sz val="13"/>
        <rFont val="맑은 고딕"/>
        <family val="3"/>
        <charset val="129"/>
      </rPr>
      <t>3</t>
    </r>
    <r>
      <rPr>
        <b/>
        <sz val="13"/>
        <rFont val="Noto Sans CJK SC"/>
        <family val="2"/>
      </rPr>
      <t>섹션 조건</t>
    </r>
  </si>
  <si>
    <r>
      <rPr>
        <sz val="13"/>
        <rFont val="맑은 고딕"/>
        <family val="3"/>
        <charset val="129"/>
      </rPr>
      <t>L2(</t>
    </r>
    <r>
      <rPr>
        <sz val="13"/>
        <rFont val="Noto Sans CJK SC"/>
        <family val="2"/>
      </rPr>
      <t>목표</t>
    </r>
    <r>
      <rPr>
        <sz val="13"/>
        <rFont val="맑은 고딕"/>
        <family val="3"/>
        <charset val="129"/>
      </rPr>
      <t>) &gt; 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 — </t>
    </r>
    <r>
      <rPr>
        <sz val="13"/>
        <rFont val="Noto Sans CJK SC"/>
        <family val="2"/>
      </rPr>
      <t>새 테이퍼가 기존 테이퍼와 평행하게 안쪽으로 밀려 생크를 깎음</t>
    </r>
  </si>
  <si>
    <r>
      <rPr>
        <sz val="13"/>
        <rFont val="맑은 고딕"/>
        <family val="3"/>
        <charset val="129"/>
      </rPr>
      <t>X Start → −L2(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3"/>
        <charset val="129"/>
      </rPr>
      <t>= 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 − (L1 + </t>
    </r>
    <r>
      <rPr>
        <sz val="13"/>
        <rFont val="Noto Sans CJK SC"/>
        <family val="2"/>
      </rPr>
      <t>여유</t>
    </r>
    <r>
      <rPr>
        <sz val="13"/>
        <rFont val="맑은 고딕"/>
        <family val="3"/>
        <charset val="129"/>
      </rPr>
      <t xml:space="preserve">), </t>
    </r>
    <r>
      <rPr>
        <sz val="13"/>
        <rFont val="Noto Sans CJK SC"/>
        <family val="2"/>
      </rPr>
      <t>정삭만</t>
    </r>
    <r>
      <rPr>
        <sz val="13"/>
        <rFont val="맑은 고딕"/>
        <family val="3"/>
        <charset val="129"/>
      </rPr>
      <t>, Start OD = D</t>
    </r>
  </si>
  <si>
    <r>
      <rPr>
        <sz val="13"/>
        <rFont val="Noto Sans CJK SC"/>
        <family val="2"/>
      </rPr>
      <t xml:space="preserve">추정값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시뮬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>실측 전</t>
    </r>
    <r>
      <rPr>
        <sz val="13"/>
        <rFont val="맑은 고딕"/>
        <family val="3"/>
        <charset val="129"/>
      </rPr>
      <t>)</t>
    </r>
  </si>
  <si>
    <r>
      <rPr>
        <sz val="13"/>
        <rFont val="맑은 고딕"/>
        <family val="3"/>
        <charset val="129"/>
      </rPr>
      <t xml:space="preserve">iGrind </t>
    </r>
    <r>
      <rPr>
        <sz val="13"/>
        <rFont val="Noto Sans CJK SC"/>
        <family val="2"/>
      </rPr>
      <t>넥 페이지 테스트 제품 절</t>
    </r>
  </si>
  <si>
    <r>
      <rPr>
        <sz val="13"/>
        <rFont val="맑은 고딕"/>
        <family val="3"/>
        <charset val="129"/>
      </rPr>
      <t>−L2(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 → −(L2 − wo),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3"/>
        <charset val="129"/>
      </rPr>
      <t>= L2 − wo − 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 xml:space="preserve">), </t>
    </r>
    <r>
      <rPr>
        <sz val="13"/>
        <rFont val="Noto Sans CJK SC"/>
        <family val="2"/>
      </rPr>
      <t>황삭 켬</t>
    </r>
    <r>
      <rPr>
        <sz val="13"/>
        <rFont val="맑은 고딕"/>
        <family val="3"/>
        <charset val="129"/>
      </rPr>
      <t>, Start OD = MIN(d, D + 2 × (L2 − wo − 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>)) × tan θ)</t>
    </r>
  </si>
  <si>
    <t>추정값</t>
  </si>
  <si>
    <t>같은 절</t>
  </si>
  <si>
    <r>
      <rPr>
        <sz val="13"/>
        <rFont val="맑은 고딕"/>
        <family val="3"/>
        <charset val="129"/>
      </rPr>
      <t xml:space="preserve">−(L2 − wo) </t>
    </r>
    <r>
      <rPr>
        <sz val="13"/>
        <rFont val="Noto Sans CJK SC"/>
        <family val="2"/>
      </rPr>
      <t xml:space="preserve">에서 </t>
    </r>
    <r>
      <rPr>
        <sz val="13"/>
        <rFont val="맑은 고딕"/>
        <family val="3"/>
        <charset val="129"/>
      </rPr>
      <t xml:space="preserve">θ </t>
    </r>
    <r>
      <rPr>
        <sz val="13"/>
        <rFont val="Noto Sans CJK SC"/>
        <family val="2"/>
      </rPr>
      <t>테이퍼</t>
    </r>
    <r>
      <rPr>
        <sz val="13"/>
        <rFont val="맑은 고딕"/>
        <family val="3"/>
        <charset val="129"/>
      </rPr>
      <t xml:space="preserve">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3"/>
        <charset val="129"/>
      </rPr>
      <t xml:space="preserve">= (d − dn) ÷ (2 tan θ), Final Ø = dn (EOT </t>
    </r>
    <r>
      <rPr>
        <sz val="13"/>
        <rFont val="Noto Sans CJK SC"/>
        <family val="2"/>
      </rPr>
      <t>쪽</t>
    </r>
    <r>
      <rPr>
        <sz val="13"/>
        <rFont val="맑은 고딕"/>
        <family val="3"/>
        <charset val="129"/>
      </rPr>
      <t>), Start OD = d</t>
    </r>
  </si>
  <si>
    <r>
      <rPr>
        <sz val="13"/>
        <rFont val="Noto Sans CJK SC"/>
        <family val="2"/>
      </rPr>
      <t xml:space="preserve">추정값 — </t>
    </r>
    <r>
      <rPr>
        <sz val="13"/>
        <rFont val="맑은 고딕"/>
        <family val="3"/>
        <charset val="129"/>
      </rPr>
      <t xml:space="preserve">Step taper </t>
    </r>
    <r>
      <rPr>
        <sz val="13"/>
        <rFont val="Noto Sans CJK SC"/>
        <family val="2"/>
      </rPr>
      <t>정의 확인 필요</t>
    </r>
  </si>
  <si>
    <r>
      <rPr>
        <sz val="13"/>
        <rFont val="Noto Sans CJK SC"/>
        <family val="2"/>
      </rPr>
      <t xml:space="preserve">단일 </t>
    </r>
    <r>
      <rPr>
        <sz val="13"/>
        <rFont val="맑은 고딕"/>
        <family val="3"/>
        <charset val="129"/>
      </rPr>
      <t xml:space="preserve">= Δr · </t>
    </r>
    <r>
      <rPr>
        <sz val="13"/>
        <rFont val="Noto Sans CJK SC"/>
        <family val="2"/>
      </rPr>
      <t xml:space="preserve">연장 </t>
    </r>
    <r>
      <rPr>
        <sz val="13"/>
        <rFont val="맑은 고딕"/>
        <family val="3"/>
        <charset val="129"/>
      </rPr>
      <t>= (S2 Start OD − dn) ÷ 2</t>
    </r>
  </si>
  <si>
    <r>
      <rPr>
        <sz val="13"/>
        <rFont val="맑은 고딕"/>
        <family val="3"/>
        <charset val="129"/>
      </rPr>
      <t>ROUNDUP(</t>
    </r>
    <r>
      <rPr>
        <sz val="13"/>
        <rFont val="Noto Sans CJK SC"/>
        <family val="2"/>
      </rPr>
      <t xml:space="preserve">최대 제거 </t>
    </r>
    <r>
      <rPr>
        <sz val="13"/>
        <rFont val="맑은 고딕"/>
        <family val="3"/>
        <charset val="129"/>
      </rPr>
      <t>÷ 1</t>
    </r>
    <r>
      <rPr>
        <sz val="13"/>
        <rFont val="Noto Sans CJK SC"/>
        <family val="2"/>
      </rPr>
      <t>패스 반경 절입</t>
    </r>
    <r>
      <rPr>
        <sz val="13"/>
        <rFont val="맑은 고딕"/>
        <family val="3"/>
        <charset val="129"/>
      </rPr>
      <t xml:space="preserve">). </t>
    </r>
    <r>
      <rPr>
        <sz val="13"/>
        <rFont val="Noto Sans CJK SC"/>
        <family val="2"/>
      </rPr>
      <t xml:space="preserve">시작 </t>
    </r>
    <r>
      <rPr>
        <sz val="13"/>
        <rFont val="맑은 고딕"/>
        <family val="3"/>
        <charset val="129"/>
      </rPr>
      <t xml:space="preserve">0.05 → </t>
    </r>
    <r>
      <rPr>
        <sz val="13"/>
        <rFont val="Noto Sans CJK SC"/>
        <family val="2"/>
      </rPr>
      <t xml:space="preserve">이상 없으면 </t>
    </r>
    <r>
      <rPr>
        <sz val="13"/>
        <rFont val="맑은 고딕"/>
        <family val="3"/>
        <charset val="129"/>
      </rPr>
      <t>0.075</t>
    </r>
  </si>
  <si>
    <t>추정값 — 시험 필요</t>
  </si>
  <si>
    <t>굽힘 강성 비</t>
  </si>
  <si>
    <r>
      <rPr>
        <sz val="13"/>
        <rFont val="맑은 고딕"/>
        <family val="3"/>
        <charset val="129"/>
      </rPr>
      <t xml:space="preserve">(dn ÷ D)⁴ — I = π dn⁴ ÷ 64, </t>
    </r>
    <r>
      <rPr>
        <sz val="13"/>
        <rFont val="Noto Sans CJK SC"/>
        <family val="2"/>
      </rPr>
      <t xml:space="preserve">외팔보 처짐 </t>
    </r>
    <r>
      <rPr>
        <sz val="13"/>
        <rFont val="맑은 고딕"/>
        <family val="3"/>
        <charset val="129"/>
      </rPr>
      <t>δ = F L³ ÷ (3 E I)</t>
    </r>
  </si>
  <si>
    <r>
      <rPr>
        <sz val="13"/>
        <rFont val="Noto Sans CJK SC"/>
        <family val="2"/>
      </rPr>
      <t xml:space="preserve">계산값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재료역학 기본식</t>
    </r>
    <r>
      <rPr>
        <sz val="13"/>
        <rFont val="맑은 고딕"/>
        <family val="3"/>
        <charset val="129"/>
      </rPr>
      <t>)</t>
    </r>
  </si>
  <si>
    <r>
      <rPr>
        <sz val="13"/>
        <rFont val="맑은 고딕"/>
        <family val="3"/>
        <charset val="129"/>
      </rPr>
      <t>[ACA-GERE-MECHMAT] · standards/</t>
    </r>
    <r>
      <rPr>
        <sz val="13"/>
        <rFont val="Noto Sans CJK SC"/>
        <family val="2"/>
      </rPr>
      <t>넥</t>
    </r>
    <r>
      <rPr>
        <sz val="13"/>
        <rFont val="맑은 고딕"/>
        <family val="3"/>
        <charset val="129"/>
      </rPr>
      <t>-</t>
    </r>
    <r>
      <rPr>
        <sz val="13"/>
        <rFont val="Noto Sans CJK SC"/>
        <family val="2"/>
      </rPr>
      <t>지름</t>
    </r>
    <r>
      <rPr>
        <sz val="13"/>
        <rFont val="맑은 고딕"/>
        <family val="3"/>
        <charset val="129"/>
      </rPr>
      <t>-</t>
    </r>
    <r>
      <rPr>
        <sz val="13"/>
        <rFont val="Noto Sans CJK SC"/>
        <family val="2"/>
      </rPr>
      <t>기준</t>
    </r>
    <r>
      <rPr>
        <sz val="13"/>
        <rFont val="맑은 고딕"/>
        <family val="3"/>
        <charset val="129"/>
      </rPr>
      <t>-</t>
    </r>
    <r>
      <rPr>
        <sz val="13"/>
        <rFont val="Noto Sans CJK SC"/>
        <family val="2"/>
      </rPr>
      <t>굽힘강성표</t>
    </r>
  </si>
  <si>
    <t>적용 구분 경계</t>
  </si>
  <si>
    <t>D &lt; 0.5 ⛔ · &lt; 2 🔴 · &lt; 2.5 🟡 · &lt; 8 🟢 · ≥ 8 🟡</t>
  </si>
  <si>
    <r>
      <rPr>
        <sz val="13"/>
        <rFont val="Noto Sans CJK SC"/>
        <family val="2"/>
      </rPr>
      <t xml:space="preserve">추정값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잠정</t>
    </r>
    <r>
      <rPr>
        <sz val="13"/>
        <rFont val="맑은 고딕"/>
        <family val="3"/>
        <charset val="129"/>
      </rPr>
      <t>)</t>
    </r>
  </si>
  <si>
    <r>
      <rPr>
        <sz val="13"/>
        <rFont val="Noto Sans CJK SC"/>
        <family val="2"/>
      </rPr>
      <t xml:space="preserve">강성 참조표 </t>
    </r>
    <r>
      <rPr>
        <sz val="13"/>
        <rFont val="맑은 고딕"/>
        <family val="3"/>
        <charset val="129"/>
      </rPr>
      <t>§1</t>
    </r>
  </si>
  <si>
    <t>Vc</t>
  </si>
  <si>
    <r>
      <rPr>
        <sz val="13"/>
        <rFont val="맑은 고딕"/>
        <family val="3"/>
        <charset val="129"/>
      </rPr>
      <t xml:space="preserve">Vc = π × </t>
    </r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3"/>
        <charset val="129"/>
      </rPr>
      <t xml:space="preserve">× N ÷ 60000. </t>
    </r>
    <r>
      <rPr>
        <sz val="13"/>
        <rFont val="Noto Sans CJK SC"/>
        <family val="2"/>
      </rPr>
      <t xml:space="preserve">사내 실사용 </t>
    </r>
    <r>
      <rPr>
        <sz val="13"/>
        <rFont val="맑은 고딕"/>
        <family val="3"/>
        <charset val="129"/>
      </rPr>
      <t xml:space="preserve">16.8~19.6 m/s, </t>
    </r>
    <r>
      <rPr>
        <sz val="13"/>
        <rFont val="Noto Sans CJK SC"/>
        <family val="2"/>
      </rPr>
      <t xml:space="preserve">사내 상한 </t>
    </r>
    <r>
      <rPr>
        <sz val="13"/>
        <rFont val="맑은 고딕"/>
        <family val="3"/>
        <charset val="129"/>
      </rPr>
      <t xml:space="preserve">25 m/s, &gt;30 m/s </t>
    </r>
    <r>
      <rPr>
        <sz val="13"/>
        <rFont val="Noto Sans CJK SC"/>
        <family val="2"/>
      </rPr>
      <t>경고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</si>
  <si>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범위</t>
    </r>
    <r>
      <rPr>
        <sz val="13"/>
        <rFont val="맑은 고딕"/>
        <family val="3"/>
        <charset val="129"/>
      </rPr>
      <t xml:space="preserve">) / </t>
    </r>
    <r>
      <rPr>
        <sz val="13"/>
        <rFont val="Noto Sans CJK SC"/>
        <family val="2"/>
      </rPr>
      <t>사내 기준</t>
    </r>
  </si>
  <si>
    <t>[VEN-NORTON-WINTER-2023] · CLAUDE.md §2</t>
  </si>
  <si>
    <t>시간</t>
  </si>
  <si>
    <r>
      <rPr>
        <sz val="13"/>
        <rFont val="Noto Sans CJK SC"/>
        <family val="2"/>
      </rPr>
      <t xml:space="preserve">정삭 </t>
    </r>
    <r>
      <rPr>
        <sz val="13"/>
        <rFont val="맑은 고딕"/>
        <family val="3"/>
        <charset val="129"/>
      </rPr>
      <t>1</t>
    </r>
    <r>
      <rPr>
        <sz val="13"/>
        <rFont val="Noto Sans CJK SC"/>
        <family val="2"/>
      </rPr>
      <t xml:space="preserve">패스 </t>
    </r>
    <r>
      <rPr>
        <sz val="13"/>
        <rFont val="맑은 고딕"/>
        <family val="3"/>
        <charset val="129"/>
      </rPr>
      <t xml:space="preserve">= </t>
    </r>
    <r>
      <rPr>
        <sz val="13"/>
        <rFont val="Noto Sans CJK SC"/>
        <family val="2"/>
      </rPr>
      <t xml:space="preserve">연삭 길이 </t>
    </r>
    <r>
      <rPr>
        <sz val="13"/>
        <rFont val="맑은 고딕"/>
        <family val="3"/>
        <charset val="129"/>
      </rPr>
      <t xml:space="preserve">÷ </t>
    </r>
    <r>
      <rPr>
        <sz val="13"/>
        <rFont val="Noto Sans CJK SC"/>
        <family val="2"/>
      </rPr>
      <t>이송</t>
    </r>
    <r>
      <rPr>
        <sz val="13"/>
        <rFont val="맑은 고딕"/>
        <family val="3"/>
        <charset val="129"/>
      </rPr>
      <t xml:space="preserve">. 2JJCR </t>
    </r>
    <r>
      <rPr>
        <sz val="13"/>
        <rFont val="Noto Sans CJK SC"/>
        <family val="2"/>
      </rPr>
      <t xml:space="preserve">계산 </t>
    </r>
    <r>
      <rPr>
        <sz val="13"/>
        <rFont val="맑은 고딕"/>
        <family val="3"/>
        <charset val="129"/>
      </rPr>
      <t>7.95</t>
    </r>
    <r>
      <rPr>
        <sz val="13"/>
        <rFont val="Noto Sans CJK SC"/>
        <family val="2"/>
      </rPr>
      <t xml:space="preserve">분 </t>
    </r>
    <r>
      <rPr>
        <sz val="13"/>
        <rFont val="맑은 고딕"/>
        <family val="3"/>
        <charset val="129"/>
      </rPr>
      <t xml:space="preserve">vs CIM3D 3:15 </t>
    </r>
    <r>
      <rPr>
        <sz val="13"/>
        <rFont val="Noto Sans CJK SC"/>
        <family val="2"/>
      </rPr>
      <t>불일치 미결</t>
    </r>
  </si>
  <si>
    <r>
      <rPr>
        <sz val="13"/>
        <rFont val="맑은 고딕"/>
        <family val="3"/>
        <charset val="129"/>
      </rPr>
      <t xml:space="preserve">iGrind </t>
    </r>
    <r>
      <rPr>
        <sz val="13"/>
        <rFont val="Noto Sans CJK SC"/>
        <family val="2"/>
      </rPr>
      <t xml:space="preserve">넥 페이지 </t>
    </r>
    <r>
      <rPr>
        <sz val="13"/>
        <rFont val="맑은 고딕"/>
        <family val="3"/>
        <charset val="129"/>
      </rPr>
      <t>§4·</t>
    </r>
    <r>
      <rPr>
        <sz val="13"/>
        <rFont val="Noto Sans CJK SC"/>
        <family val="2"/>
      </rPr>
      <t xml:space="preserve">미결 </t>
    </r>
    <r>
      <rPr>
        <sz val="13"/>
        <rFont val="맑은 고딕"/>
        <family val="3"/>
        <charset val="129"/>
      </rPr>
      <t>2</t>
    </r>
  </si>
  <si>
    <r>
      <rPr>
        <b/>
        <sz val="13"/>
        <rFont val="Noto Sans CJK SC"/>
        <family val="2"/>
      </rPr>
      <t xml:space="preserve">검산 </t>
    </r>
    <r>
      <rPr>
        <b/>
        <sz val="13"/>
        <rFont val="맑은 고딕"/>
        <family val="3"/>
        <charset val="129"/>
      </rPr>
      <t>1 — 2JJCR 040 010 200</t>
    </r>
  </si>
  <si>
    <r>
      <rPr>
        <sz val="13"/>
        <rFont val="맑은 고딕"/>
        <family val="3"/>
        <charset val="129"/>
      </rPr>
      <t xml:space="preserve">D4 · L1 4 · L2 20 · d6 · θ15 · dn 3.85 → wo 0.280 · X Start −4.100 · Step 15.620 · </t>
    </r>
    <r>
      <rPr>
        <sz val="13"/>
        <rFont val="Noto Sans CJK SC"/>
        <family val="2"/>
      </rPr>
      <t>넥 끝 −</t>
    </r>
    <r>
      <rPr>
        <sz val="13"/>
        <rFont val="맑은 고딕"/>
        <family val="3"/>
        <charset val="129"/>
      </rPr>
      <t>19.720 · 7.95</t>
    </r>
    <r>
      <rPr>
        <sz val="13"/>
        <rFont val="Noto Sans CJK SC"/>
        <family val="2"/>
      </rPr>
      <t>분</t>
    </r>
  </si>
  <si>
    <t>위키 값과 일치해야 함</t>
  </si>
  <si>
    <r>
      <rPr>
        <sz val="13"/>
        <rFont val="맑은 고딕"/>
        <family val="3"/>
        <charset val="129"/>
      </rPr>
      <t>cadcam/iGrind-</t>
    </r>
    <r>
      <rPr>
        <sz val="13"/>
        <rFont val="Noto Sans CJK SC"/>
        <family val="2"/>
      </rPr>
      <t>원통연삭</t>
    </r>
    <r>
      <rPr>
        <sz val="13"/>
        <rFont val="맑은 고딕"/>
        <family val="3"/>
        <charset val="129"/>
      </rPr>
      <t>-</t>
    </r>
    <r>
      <rPr>
        <sz val="13"/>
        <rFont val="Noto Sans CJK SC"/>
        <family val="2"/>
      </rPr>
      <t>넥가공</t>
    </r>
    <r>
      <rPr>
        <sz val="13"/>
        <rFont val="맑은 고딕"/>
        <family val="3"/>
        <charset val="129"/>
      </rPr>
      <t>-2JJCR040010200 §2</t>
    </r>
  </si>
  <si>
    <r>
      <rPr>
        <b/>
        <sz val="13"/>
        <rFont val="Noto Sans CJK SC"/>
        <family val="2"/>
      </rPr>
      <t xml:space="preserve">검산 </t>
    </r>
    <r>
      <rPr>
        <b/>
        <sz val="13"/>
        <rFont val="맑은 고딕"/>
        <family val="3"/>
        <charset val="129"/>
      </rPr>
      <t xml:space="preserve">2 — </t>
    </r>
    <r>
      <rPr>
        <b/>
        <sz val="13"/>
        <rFont val="Noto Sans CJK SC"/>
        <family val="2"/>
      </rPr>
      <t xml:space="preserve">테스트 </t>
    </r>
    <r>
      <rPr>
        <b/>
        <sz val="13"/>
        <rFont val="맑은 고딕"/>
        <family val="3"/>
        <charset val="129"/>
      </rPr>
      <t>D4 L2 8 → 14</t>
    </r>
  </si>
  <si>
    <r>
      <rPr>
        <sz val="13"/>
        <rFont val="맑은 고딕"/>
        <family val="3"/>
        <charset val="129"/>
      </rPr>
      <t xml:space="preserve">S1 −4.1 / 3.90 · S2 −8.0 / 5.72 · Start OD 6.0 · S3 −13.72 / 4.01 → −17.73 · </t>
    </r>
    <r>
      <rPr>
        <sz val="13"/>
        <rFont val="Noto Sans CJK SC"/>
        <family val="2"/>
      </rPr>
      <t xml:space="preserve">최대 </t>
    </r>
    <r>
      <rPr>
        <sz val="13"/>
        <rFont val="맑은 고딕"/>
        <family val="3"/>
        <charset val="129"/>
      </rPr>
      <t>1.075 · 0.05 mm → 22</t>
    </r>
    <r>
      <rPr>
        <sz val="13"/>
        <rFont val="Noto Sans CJK SC"/>
        <family val="2"/>
      </rPr>
      <t>패스</t>
    </r>
  </si>
  <si>
    <t>같은 페이지 테스트 제품 절</t>
  </si>
  <si>
    <r>
      <rPr>
        <b/>
        <sz val="13"/>
        <rFont val="Noto Sans CJK SC"/>
        <family val="2"/>
      </rPr>
      <t xml:space="preserve">미결 </t>
    </r>
    <r>
      <rPr>
        <b/>
        <sz val="13"/>
        <rFont val="맑은 고딕"/>
        <family val="3"/>
        <charset val="129"/>
      </rPr>
      <t>(</t>
    </r>
    <r>
      <rPr>
        <b/>
        <sz val="13"/>
        <rFont val="Noto Sans CJK SC"/>
        <family val="2"/>
      </rPr>
      <t>확인 필요</t>
    </r>
    <r>
      <rPr>
        <b/>
        <sz val="13"/>
        <rFont val="맑은 고딕"/>
        <family val="3"/>
        <charset val="129"/>
      </rPr>
      <t>)</t>
    </r>
  </si>
  <si>
    <r>
      <rPr>
        <sz val="13"/>
        <rFont val="맑은 고딕"/>
        <family val="3"/>
        <charset val="129"/>
      </rPr>
      <t xml:space="preserve">① Step taper </t>
    </r>
    <r>
      <rPr>
        <sz val="13"/>
        <rFont val="Noto Sans CJK SC"/>
        <family val="2"/>
      </rPr>
      <t>한쪽</t>
    </r>
    <r>
      <rPr>
        <sz val="13"/>
        <rFont val="맑은 고딕"/>
        <family val="3"/>
        <charset val="129"/>
      </rPr>
      <t>/</t>
    </r>
    <r>
      <rPr>
        <sz val="13"/>
        <rFont val="Noto Sans CJK SC"/>
        <family val="2"/>
      </rPr>
      <t>양쪽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>부호 ② 황삭 절입이 반경</t>
    </r>
    <r>
      <rPr>
        <sz val="13"/>
        <rFont val="맑은 고딕"/>
        <family val="3"/>
        <charset val="129"/>
      </rPr>
      <t>/</t>
    </r>
    <r>
      <rPr>
        <sz val="13"/>
        <rFont val="Noto Sans CJK SC"/>
        <family val="2"/>
      </rPr>
      <t xml:space="preserve">직경 기준인지 ③ </t>
    </r>
    <r>
      <rPr>
        <sz val="13"/>
        <rFont val="맑은 고딕"/>
        <family val="3"/>
        <charset val="129"/>
      </rPr>
      <t xml:space="preserve">Finish stock 1.333 </t>
    </r>
    <r>
      <rPr>
        <sz val="13"/>
        <rFont val="Noto Sans CJK SC"/>
        <family val="2"/>
      </rPr>
      <t xml:space="preserve">의미 ④ </t>
    </r>
    <r>
      <rPr>
        <sz val="13"/>
        <rFont val="맑은 고딕"/>
        <family val="3"/>
        <charset val="129"/>
      </rPr>
      <t>7.95</t>
    </r>
    <r>
      <rPr>
        <sz val="13"/>
        <rFont val="Noto Sans CJK SC"/>
        <family val="2"/>
      </rPr>
      <t xml:space="preserve">분 </t>
    </r>
    <r>
      <rPr>
        <sz val="13"/>
        <rFont val="맑은 고딕"/>
        <family val="3"/>
        <charset val="129"/>
      </rPr>
      <t xml:space="preserve">vs 3:15 ⑤ </t>
    </r>
    <r>
      <rPr>
        <sz val="13"/>
        <rFont val="Noto Sans CJK SC"/>
        <family val="2"/>
      </rPr>
      <t>정삭 휠 지름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 xml:space="preserve">폭 ⑥ </t>
    </r>
    <r>
      <rPr>
        <sz val="13"/>
        <rFont val="맑은 고딕"/>
        <family val="3"/>
        <charset val="129"/>
      </rPr>
      <t>A</t>
    </r>
    <r>
      <rPr>
        <sz val="13"/>
        <rFont val="Noto Sans CJK SC"/>
        <family val="2"/>
      </rPr>
      <t xml:space="preserve">축 최대 </t>
    </r>
    <r>
      <rPr>
        <sz val="13"/>
        <rFont val="맑은 고딕"/>
        <family val="3"/>
        <charset val="129"/>
      </rPr>
      <t xml:space="preserve">rpm ⑦ Allow Wheel Overhang </t>
    </r>
    <r>
      <rPr>
        <sz val="13"/>
        <rFont val="Noto Sans CJK SC"/>
        <family val="2"/>
      </rPr>
      <t>공식 정의</t>
    </r>
  </si>
  <si>
    <r>
      <rPr>
        <sz val="13"/>
        <rFont val="맑은 고딕"/>
        <family val="3"/>
        <charset val="129"/>
      </rPr>
      <t xml:space="preserve">iGrind </t>
    </r>
    <r>
      <rPr>
        <sz val="13"/>
        <rFont val="Noto Sans CJK SC"/>
        <family val="2"/>
      </rPr>
      <t xml:space="preserve">넥 페이지 </t>
    </r>
    <r>
      <rPr>
        <sz val="13"/>
        <rFont val="맑은 고딕"/>
        <family val="3"/>
        <charset val="129"/>
      </rPr>
      <t xml:space="preserve">§5 </t>
    </r>
    <r>
      <rPr>
        <sz val="13"/>
        <rFont val="Noto Sans CJK SC"/>
        <family val="2"/>
      </rPr>
      <t>미결</t>
    </r>
  </si>
  <si>
    <t>안전</t>
  </si>
  <si>
    <r>
      <rPr>
        <sz val="13"/>
        <rFont val="맑은 고딕"/>
        <family val="3"/>
        <charset val="129"/>
      </rPr>
      <t xml:space="preserve">AI </t>
    </r>
    <r>
      <rPr>
        <sz val="13"/>
        <rFont val="Noto Sans CJK SC"/>
        <family val="2"/>
      </rPr>
      <t>제시 수치는 참고값</t>
    </r>
    <r>
      <rPr>
        <sz val="13"/>
        <rFont val="맑은 고딕"/>
        <family val="3"/>
        <charset val="129"/>
      </rPr>
      <t xml:space="preserve">. </t>
    </r>
    <r>
      <rPr>
        <sz val="13"/>
        <rFont val="Noto Sans CJK SC"/>
        <family val="2"/>
      </rPr>
      <t xml:space="preserve">신규 조건은 </t>
    </r>
    <r>
      <rPr>
        <sz val="13"/>
        <rFont val="맑은 고딕"/>
        <family val="3"/>
        <charset val="129"/>
      </rPr>
      <t xml:space="preserve">CIM3D → </t>
    </r>
    <r>
      <rPr>
        <sz val="13"/>
        <rFont val="Noto Sans CJK SC"/>
        <family val="2"/>
      </rPr>
      <t xml:space="preserve">시험 </t>
    </r>
    <r>
      <rPr>
        <sz val="13"/>
        <rFont val="맑은 고딕"/>
        <family val="3"/>
        <charset val="129"/>
      </rPr>
      <t>1</t>
    </r>
    <r>
      <rPr>
        <sz val="13"/>
        <rFont val="Noto Sans CJK SC"/>
        <family val="2"/>
      </rPr>
      <t>개 → 측정 → 검증</t>
    </r>
    <r>
      <rPr>
        <sz val="13"/>
        <rFont val="맑은 고딕"/>
        <family val="3"/>
        <charset val="129"/>
      </rPr>
      <t xml:space="preserve">. </t>
    </r>
    <r>
      <rPr>
        <sz val="13"/>
        <rFont val="Noto Sans CJK SC"/>
        <family val="2"/>
      </rPr>
      <t>양산 적용은 현장 최종 판단</t>
    </r>
  </si>
  <si>
    <r>
      <rPr>
        <sz val="13"/>
        <rFont val="맑은 고딕"/>
        <family val="3"/>
        <charset val="129"/>
      </rPr>
      <t xml:space="preserve">CLAUDE.md §2 </t>
    </r>
    <r>
      <rPr>
        <sz val="13"/>
        <rFont val="Noto Sans CJK SC"/>
        <family val="2"/>
      </rPr>
      <t>조건 적용 안전 규칙</t>
    </r>
  </si>
  <si>
    <r>
      <rPr>
        <b/>
        <sz val="22"/>
        <rFont val="Noto Sans CJK SC"/>
        <family val="2"/>
      </rPr>
      <t xml:space="preserve">변경 이력 </t>
    </r>
    <r>
      <rPr>
        <b/>
        <sz val="22"/>
        <rFont val="맑은 고딕"/>
        <family val="3"/>
        <charset val="129"/>
      </rPr>
      <t>(</t>
    </r>
    <r>
      <rPr>
        <b/>
        <sz val="22"/>
        <rFont val="Noto Sans CJK SC"/>
        <family val="2"/>
      </rPr>
      <t>기존 값 삭제 금지</t>
    </r>
    <r>
      <rPr>
        <b/>
        <sz val="22"/>
        <rFont val="맑은 고딕"/>
        <family val="3"/>
        <charset val="129"/>
      </rPr>
      <t>)</t>
    </r>
  </si>
  <si>
    <t>날짜</t>
  </si>
  <si>
    <t>내용</t>
  </si>
  <si>
    <t>사유</t>
  </si>
  <si>
    <t>양산 적용</t>
  </si>
  <si>
    <t>2026-10-20</t>
  </si>
  <si>
    <r>
      <rPr>
        <sz val="13"/>
        <rFont val="맑은 고딕"/>
        <family val="3"/>
        <charset val="129"/>
      </rPr>
      <t xml:space="preserve">v1 </t>
    </r>
    <r>
      <rPr>
        <sz val="13"/>
        <rFont val="Noto Sans CJK SC"/>
        <family val="2"/>
      </rPr>
      <t>신규 — 단일 섹션</t>
    </r>
    <r>
      <rPr>
        <sz val="13"/>
        <rFont val="맑은 고딕"/>
        <family val="3"/>
        <charset val="129"/>
      </rPr>
      <t xml:space="preserve">(washout </t>
    </r>
    <r>
      <rPr>
        <sz val="13"/>
        <rFont val="Noto Sans CJK SC"/>
        <family val="2"/>
      </rPr>
      <t>연결</t>
    </r>
    <r>
      <rPr>
        <sz val="13"/>
        <rFont val="맑은 고딕"/>
        <family val="3"/>
        <charset val="129"/>
      </rPr>
      <t>) · 3</t>
    </r>
    <r>
      <rPr>
        <sz val="13"/>
        <rFont val="Noto Sans CJK SC"/>
        <family val="2"/>
      </rPr>
      <t>섹션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넥 연장</t>
    </r>
    <r>
      <rPr>
        <sz val="13"/>
        <rFont val="맑은 고딕"/>
        <family val="3"/>
        <charset val="129"/>
      </rPr>
      <t xml:space="preserve">) </t>
    </r>
    <r>
      <rPr>
        <sz val="13"/>
        <rFont val="Noto Sans CJK SC"/>
        <family val="2"/>
      </rPr>
      <t>자동 판별</t>
    </r>
    <r>
      <rPr>
        <sz val="13"/>
        <rFont val="맑은 고딕"/>
        <family val="3"/>
        <charset val="129"/>
      </rPr>
      <t xml:space="preserve">, </t>
    </r>
    <r>
      <rPr>
        <sz val="13"/>
        <rFont val="Noto Sans CJK SC"/>
        <family val="2"/>
      </rPr>
      <t>가능성 비교 시트</t>
    </r>
    <r>
      <rPr>
        <sz val="13"/>
        <rFont val="맑은 고딕"/>
        <family val="3"/>
        <charset val="129"/>
      </rPr>
      <t xml:space="preserve">, </t>
    </r>
    <r>
      <rPr>
        <sz val="13"/>
        <rFont val="Noto Sans CJK SC"/>
        <family val="2"/>
      </rPr>
      <t xml:space="preserve">검산 </t>
    </r>
    <r>
      <rPr>
        <sz val="13"/>
        <rFont val="맑은 고딕"/>
        <family val="3"/>
        <charset val="129"/>
      </rPr>
      <t>2</t>
    </r>
    <r>
      <rPr>
        <sz val="13"/>
        <rFont val="Noto Sans CJK SC"/>
        <family val="2"/>
      </rPr>
      <t>건 일치</t>
    </r>
  </si>
  <si>
    <r>
      <rPr>
        <sz val="13"/>
        <rFont val="Noto Sans CJK SC"/>
        <family val="2"/>
      </rPr>
      <t>한경준님 요청 — 날장</t>
    </r>
    <r>
      <rPr>
        <sz val="13"/>
        <rFont val="맑은 고딕"/>
        <family val="3"/>
        <charset val="129"/>
      </rPr>
      <t>·L2·</t>
    </r>
    <r>
      <rPr>
        <sz val="13"/>
        <rFont val="Noto Sans CJK SC"/>
        <family val="2"/>
      </rPr>
      <t>전장</t>
    </r>
    <r>
      <rPr>
        <sz val="13"/>
        <rFont val="맑은 고딕"/>
        <family val="3"/>
        <charset val="129"/>
      </rPr>
      <t>·D·</t>
    </r>
    <r>
      <rPr>
        <sz val="13"/>
        <rFont val="Noto Sans CJK SC"/>
        <family val="2"/>
      </rPr>
      <t>넥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 xml:space="preserve">생크 별 </t>
    </r>
    <r>
      <rPr>
        <sz val="13"/>
        <rFont val="맑은 고딕"/>
        <family val="3"/>
        <charset val="129"/>
      </rPr>
      <t xml:space="preserve">iGrind </t>
    </r>
    <r>
      <rPr>
        <sz val="13"/>
        <rFont val="Noto Sans CJK SC"/>
        <family val="2"/>
      </rPr>
      <t>입력값 계산</t>
    </r>
  </si>
  <si>
    <r>
      <rPr>
        <sz val="13"/>
        <rFont val="Noto Sans CJK SC"/>
        <family val="2"/>
      </rPr>
      <t xml:space="preserve">❌ 미적용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계산 도구</t>
    </r>
    <r>
      <rPr>
        <sz val="13"/>
        <rFont val="맑은 고딕"/>
        <family val="3"/>
        <charset val="129"/>
      </rPr>
      <t>)</t>
    </r>
  </si>
  <si>
    <r>
      <rPr>
        <sz val="13"/>
        <rFont val="맑은 고딕"/>
        <family val="3"/>
        <charset val="129"/>
      </rPr>
      <t xml:space="preserve">v2 — ① </t>
    </r>
    <r>
      <rPr>
        <sz val="13"/>
        <rFont val="Noto Sans CJK SC"/>
        <family val="2"/>
      </rPr>
      <t>치수 기호 설명도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넥계산기 입력 칸 오른쪽</t>
    </r>
    <r>
      <rPr>
        <sz val="13"/>
        <rFont val="맑은 고딕"/>
        <family val="3"/>
        <charset val="129"/>
      </rPr>
      <t xml:space="preserve">, </t>
    </r>
    <r>
      <rPr>
        <sz val="13"/>
        <rFont val="Noto Sans CJK SC"/>
        <family val="2"/>
      </rPr>
      <t>단일</t>
    </r>
    <r>
      <rPr>
        <sz val="13"/>
        <rFont val="맑은 고딕"/>
        <family val="3"/>
        <charset val="129"/>
      </rPr>
      <t>/3</t>
    </r>
    <r>
      <rPr>
        <sz val="13"/>
        <rFont val="Noto Sans CJK SC"/>
        <family val="2"/>
      </rPr>
      <t>섹션 두 판</t>
    </r>
    <r>
      <rPr>
        <sz val="13"/>
        <rFont val="맑은 고딕"/>
        <family val="3"/>
        <charset val="129"/>
      </rPr>
      <t xml:space="preserve">) ② </t>
    </r>
    <r>
      <rPr>
        <sz val="13"/>
        <rFont val="Noto Sans CJK SC"/>
        <family val="2"/>
      </rPr>
      <t xml:space="preserve">자동 단면 그래프 </t>
    </r>
    <r>
      <rPr>
        <sz val="13"/>
        <rFont val="맑은 고딕"/>
        <family val="3"/>
        <charset val="129"/>
      </rPr>
      <t xml:space="preserve">· </t>
    </r>
    <r>
      <rPr>
        <sz val="13"/>
        <rFont val="Noto Sans CJK SC"/>
        <family val="2"/>
      </rPr>
      <t>반경 제거량 그래프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섹션 표 오른쪽</t>
    </r>
    <r>
      <rPr>
        <sz val="13"/>
        <rFont val="맑은 고딕"/>
        <family val="3"/>
        <charset val="129"/>
      </rPr>
      <t xml:space="preserve">, </t>
    </r>
    <r>
      <rPr>
        <sz val="13"/>
        <rFont val="Noto Sans CJK SC"/>
        <family val="2"/>
      </rPr>
      <t>「단면데이터」 시트 수식</t>
    </r>
    <r>
      <rPr>
        <sz val="13"/>
        <rFont val="맑은 고딕"/>
        <family val="3"/>
        <charset val="129"/>
      </rPr>
      <t xml:space="preserve">) ③ </t>
    </r>
    <r>
      <rPr>
        <sz val="13"/>
        <rFont val="Noto Sans CJK SC"/>
        <family val="2"/>
      </rPr>
      <t>「예시도면」 시트</t>
    </r>
    <r>
      <rPr>
        <sz val="13"/>
        <rFont val="맑은 고딕"/>
        <family val="3"/>
        <charset val="129"/>
      </rPr>
      <t xml:space="preserve">(2JJCR · </t>
    </r>
    <r>
      <rPr>
        <sz val="13"/>
        <rFont val="Noto Sans CJK SC"/>
        <family val="2"/>
      </rPr>
      <t xml:space="preserve">테스트 </t>
    </r>
    <r>
      <rPr>
        <sz val="13"/>
        <rFont val="맑은 고딕"/>
        <family val="3"/>
        <charset val="129"/>
      </rPr>
      <t xml:space="preserve">D4 </t>
    </r>
    <r>
      <rPr>
        <sz val="13"/>
        <rFont val="Noto Sans CJK SC"/>
        <family val="2"/>
      </rPr>
      <t xml:space="preserve">도면 </t>
    </r>
    <r>
      <rPr>
        <sz val="13"/>
        <rFont val="맑은 고딕"/>
        <family val="3"/>
        <charset val="129"/>
      </rPr>
      <t xml:space="preserve">+ </t>
    </r>
    <r>
      <rPr>
        <sz val="13"/>
        <rFont val="Noto Sans CJK SC"/>
        <family val="2"/>
      </rPr>
      <t>검산 입력값</t>
    </r>
    <r>
      <rPr>
        <sz val="13"/>
        <rFont val="맑은 고딕"/>
        <family val="3"/>
        <charset val="129"/>
      </rPr>
      <t xml:space="preserve">). </t>
    </r>
    <r>
      <rPr>
        <sz val="13"/>
        <rFont val="Noto Sans CJK SC"/>
        <family val="2"/>
      </rPr>
      <t>표 열 너비 조정</t>
    </r>
    <r>
      <rPr>
        <sz val="13"/>
        <rFont val="맑은 고딕"/>
        <family val="3"/>
        <charset val="129"/>
      </rPr>
      <t xml:space="preserve">. </t>
    </r>
    <r>
      <rPr>
        <sz val="13"/>
        <rFont val="Noto Sans CJK SC"/>
        <family val="2"/>
      </rPr>
      <t>표기 변경</t>
    </r>
    <r>
      <rPr>
        <sz val="13"/>
        <rFont val="맑은 고딕"/>
        <family val="3"/>
        <charset val="129"/>
      </rPr>
      <t xml:space="preserve">: </t>
    </r>
    <r>
      <rPr>
        <sz val="13"/>
        <rFont val="Noto Sans CJK SC"/>
        <family val="2"/>
      </rPr>
      <t xml:space="preserve">생크 </t>
    </r>
    <r>
      <rPr>
        <sz val="13"/>
        <rFont val="맑은 고딕"/>
        <family val="3"/>
        <charset val="129"/>
      </rPr>
      <t>S → d(</t>
    </r>
    <r>
      <rPr>
        <sz val="13"/>
        <rFont val="Noto Sans CJK SC"/>
        <family val="2"/>
      </rPr>
      <t>도면</t>
    </r>
    <r>
      <rPr>
        <sz val="13"/>
        <rFont val="맑은 고딕"/>
        <family val="3"/>
        <charset val="129"/>
      </rPr>
      <t>·</t>
    </r>
    <r>
      <rPr>
        <sz val="13"/>
        <rFont val="Noto Sans CJK SC"/>
        <family val="2"/>
      </rPr>
      <t xml:space="preserve">카탈로그 </t>
    </r>
    <r>
      <rPr>
        <sz val="13"/>
        <rFont val="맑은 고딕"/>
        <family val="3"/>
        <charset val="129"/>
      </rPr>
      <t xml:space="preserve">Ød), </t>
    </r>
    <r>
      <rPr>
        <sz val="13"/>
        <rFont val="Noto Sans CJK SC"/>
        <family val="2"/>
      </rPr>
      <t xml:space="preserve">넥 </t>
    </r>
    <r>
      <rPr>
        <sz val="13"/>
        <rFont val="맑은 고딕"/>
        <family val="3"/>
        <charset val="129"/>
      </rPr>
      <t>d → dn (</t>
    </r>
    <r>
      <rPr>
        <sz val="13"/>
        <rFont val="Noto Sans CJK SC"/>
        <family val="2"/>
      </rPr>
      <t xml:space="preserve">한경준님 </t>
    </r>
    <r>
      <rPr>
        <sz val="13"/>
        <rFont val="맑은 고딕"/>
        <family val="3"/>
        <charset val="129"/>
      </rPr>
      <t xml:space="preserve">2026-10-20). </t>
    </r>
    <r>
      <rPr>
        <sz val="13"/>
        <rFont val="Noto Sans CJK SC"/>
        <family val="2"/>
      </rPr>
      <t xml:space="preserve">계산 수식은 </t>
    </r>
    <r>
      <rPr>
        <sz val="13"/>
        <rFont val="맑은 고딕"/>
        <family val="3"/>
        <charset val="129"/>
      </rPr>
      <t xml:space="preserve">v1 </t>
    </r>
    <r>
      <rPr>
        <sz val="13"/>
        <rFont val="Noto Sans CJK SC"/>
        <family val="2"/>
      </rPr>
      <t>과 같음</t>
    </r>
  </si>
  <si>
    <r>
      <rPr>
        <sz val="13"/>
        <rFont val="Noto Sans CJK SC"/>
        <family val="2"/>
      </rPr>
      <t xml:space="preserve">한경준님 — 도면을 예시로 붙여 보이게 </t>
    </r>
    <r>
      <rPr>
        <sz val="13"/>
        <rFont val="맑은 고딕"/>
        <family val="3"/>
        <charset val="129"/>
      </rPr>
      <t>(</t>
    </r>
    <r>
      <rPr>
        <sz val="13"/>
        <rFont val="Noto Sans CJK SC"/>
        <family val="2"/>
      </rPr>
      <t>세 가지 모두 진행</t>
    </r>
    <r>
      <rPr>
        <sz val="13"/>
        <rFont val="맑은 고딕"/>
        <family val="3"/>
        <charset val="129"/>
      </rPr>
      <t>)</t>
    </r>
  </si>
  <si>
    <r>
      <rPr>
        <b/>
        <sz val="15"/>
        <rFont val="Noto Sans CJK SC"/>
        <family val="2"/>
      </rPr>
      <t xml:space="preserve">단면 그래프용 계산 </t>
    </r>
    <r>
      <rPr>
        <b/>
        <sz val="15"/>
        <rFont val="맑은 고딕"/>
        <family val="3"/>
        <charset val="129"/>
      </rPr>
      <t>(</t>
    </r>
    <r>
      <rPr>
        <b/>
        <sz val="15"/>
        <rFont val="Noto Sans CJK SC"/>
        <family val="2"/>
      </rPr>
      <t>자동 — 고치지 마세요</t>
    </r>
    <r>
      <rPr>
        <b/>
        <sz val="15"/>
        <rFont val="맑은 고딕"/>
        <family val="3"/>
        <charset val="129"/>
      </rPr>
      <t>)</t>
    </r>
  </si>
  <si>
    <t>기준점</t>
  </si>
  <si>
    <t>X (mm)</t>
  </si>
  <si>
    <r>
      <rPr>
        <b/>
        <sz val="13"/>
        <rFont val="맑은 고딕"/>
        <family val="3"/>
        <charset val="129"/>
      </rPr>
      <t xml:space="preserve">X </t>
    </r>
    <r>
      <rPr>
        <b/>
        <sz val="13"/>
        <rFont val="Noto Sans CJK SC"/>
        <family val="2"/>
      </rPr>
      <t>정렬</t>
    </r>
  </si>
  <si>
    <r>
      <rPr>
        <b/>
        <sz val="13"/>
        <rFont val="Noto Sans CJK SC"/>
        <family val="2"/>
      </rPr>
      <t xml:space="preserve">가공 전 </t>
    </r>
    <r>
      <rPr>
        <b/>
        <sz val="13"/>
        <rFont val="맑은 고딕"/>
        <family val="3"/>
        <charset val="129"/>
      </rPr>
      <t>r</t>
    </r>
  </si>
  <si>
    <r>
      <rPr>
        <b/>
        <sz val="13"/>
        <rFont val="Noto Sans CJK SC"/>
        <family val="2"/>
      </rPr>
      <t xml:space="preserve">가공 후 </t>
    </r>
    <r>
      <rPr>
        <b/>
        <sz val="13"/>
        <rFont val="맑은 고딕"/>
        <family val="3"/>
        <charset val="129"/>
      </rPr>
      <t>r</t>
    </r>
  </si>
  <si>
    <r>
      <rPr>
        <b/>
        <sz val="13"/>
        <rFont val="Noto Sans CJK SC"/>
        <family val="2"/>
      </rPr>
      <t>가공 전 −</t>
    </r>
    <r>
      <rPr>
        <b/>
        <sz val="13"/>
        <rFont val="맑은 고딕"/>
        <family val="3"/>
        <charset val="129"/>
      </rPr>
      <t>r</t>
    </r>
  </si>
  <si>
    <r>
      <rPr>
        <b/>
        <sz val="13"/>
        <rFont val="Noto Sans CJK SC"/>
        <family val="2"/>
      </rPr>
      <t>가공 후 −</t>
    </r>
    <r>
      <rPr>
        <b/>
        <sz val="13"/>
        <rFont val="맑은 고딕"/>
        <family val="3"/>
        <charset val="129"/>
      </rPr>
      <t>r</t>
    </r>
  </si>
  <si>
    <t>반경 제거량</t>
  </si>
  <si>
    <t>EOT</t>
  </si>
  <si>
    <r>
      <rPr>
        <sz val="13"/>
        <rFont val="맑은 고딕"/>
        <family val="3"/>
        <charset val="129"/>
      </rPr>
      <t xml:space="preserve">X Start </t>
    </r>
    <r>
      <rPr>
        <sz val="13"/>
        <rFont val="Noto Sans CJK SC"/>
        <family val="2"/>
      </rPr>
      <t>직전</t>
    </r>
  </si>
  <si>
    <r>
      <rPr>
        <sz val="13"/>
        <rFont val="맑은 고딕"/>
        <family val="3"/>
        <charset val="129"/>
      </rPr>
      <t>L2(</t>
    </r>
    <r>
      <rPr>
        <sz val="13"/>
        <rFont val="Noto Sans CJK SC"/>
        <family val="2"/>
      </rPr>
      <t>블랭크</t>
    </r>
    <r>
      <rPr>
        <sz val="13"/>
        <rFont val="맑은 고딕"/>
        <family val="3"/>
        <charset val="129"/>
      </rPr>
      <t>)</t>
    </r>
  </si>
  <si>
    <t>넥 직선 끝</t>
  </si>
  <si>
    <r>
      <rPr>
        <sz val="13"/>
        <rFont val="맑은 고딕"/>
        <family val="3"/>
        <charset val="129"/>
      </rPr>
      <t>L2(</t>
    </r>
    <r>
      <rPr>
        <sz val="13"/>
        <rFont val="Noto Sans CJK SC"/>
        <family val="2"/>
      </rPr>
      <t>목표</t>
    </r>
    <r>
      <rPr>
        <sz val="13"/>
        <rFont val="맑은 고딕"/>
        <family val="3"/>
        <charset val="129"/>
      </rPr>
      <t>)</t>
    </r>
  </si>
  <si>
    <t>기존 테이퍼 끝</t>
  </si>
  <si>
    <t>가공 후 테이퍼 끝</t>
  </si>
  <si>
    <r>
      <rPr>
        <sz val="13"/>
        <rFont val="Noto Sans CJK SC"/>
        <family val="2"/>
      </rPr>
      <t xml:space="preserve">그래프 끝 </t>
    </r>
    <r>
      <rPr>
        <sz val="13"/>
        <rFont val="맑은 고딕"/>
        <family val="3"/>
        <charset val="129"/>
      </rPr>
      <t xml:space="preserve">(L, </t>
    </r>
    <r>
      <rPr>
        <sz val="13"/>
        <rFont val="Noto Sans CJK SC"/>
        <family val="2"/>
      </rPr>
      <t xml:space="preserve">없으면 </t>
    </r>
    <r>
      <rPr>
        <sz val="13"/>
        <rFont val="맑은 고딕"/>
        <family val="3"/>
        <charset val="129"/>
      </rPr>
      <t>+10)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</si>
</sst>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"/>
    <numFmt numFmtId="177" formatCode="0.0"/>
    <numFmt numFmtId="178" formatCode="0.00000"/>
    <numFmt numFmtId="179" formatCode="0.0##"/>
    <numFmt numFmtId="180" formatCode="0.00#"/>
  </numFmts>
  <fonts count="22">
    <font>
      <sz val="11"/>
      <color theme="1"/>
      <name val="Calibri"/>
      <family val="2"/>
      <charset val="1"/>
    </font>
    <font>
      <b/>
      <sz val="22"/>
      <name val="Noto Sans CJK SC"/>
      <family val="2"/>
    </font>
    <font>
      <b/>
      <sz val="22"/>
      <name val="맑은 고딕"/>
      <family val="3"/>
      <charset val="129"/>
    </font>
    <font>
      <sz val="11"/>
      <color rgb="FF555555"/>
      <name val="Noto Sans CJK SC"/>
      <family val="2"/>
    </font>
    <font>
      <sz val="11"/>
      <color rgb="FF555555"/>
      <name val="맑은 고딕"/>
      <family val="3"/>
      <charset val="129"/>
    </font>
    <font>
      <b/>
      <sz val="15"/>
      <name val="Noto Sans CJK SC"/>
      <family val="2"/>
    </font>
    <font>
      <b/>
      <sz val="15"/>
      <name val="맑은 고딕"/>
      <family val="3"/>
      <charset val="129"/>
    </font>
    <font>
      <sz val="13"/>
      <name val="맑은 고딕"/>
      <family val="3"/>
      <charset val="129"/>
    </font>
    <font>
      <sz val="13"/>
      <name val="Noto Sans CJK SC"/>
      <family val="2"/>
    </font>
    <font>
      <b/>
      <sz val="13"/>
      <color rgb="FF0000FF"/>
      <name val="맑은 고딕"/>
      <family val="3"/>
      <charset val="129"/>
    </font>
    <font>
      <b/>
      <sz val="13"/>
      <name val="Noto Sans CJK SC"/>
      <family val="2"/>
    </font>
    <font>
      <b/>
      <sz val="13"/>
      <name val="맑은 고딕"/>
      <family val="3"/>
      <charset val="129"/>
    </font>
    <font>
      <b/>
      <sz val="13"/>
      <color rgb="FFC00000"/>
      <name val="맑은 고딕"/>
      <family val="3"/>
      <charset val="129"/>
    </font>
    <font>
      <sz val="13"/>
      <color rgb="FF008000"/>
      <name val="맑은 고딕"/>
      <family val="3"/>
      <charset val="129"/>
    </font>
    <font>
      <b/>
      <sz val="12"/>
      <name val="Noto Sans CJK SC"/>
      <family val="2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sz val="12"/>
      <color rgb="FF0000FF"/>
      <name val="맑은 고딕"/>
      <family val="3"/>
      <charset val="129"/>
    </font>
    <font>
      <sz val="12"/>
      <name val="맑은 고딕"/>
      <family val="3"/>
      <charset val="129"/>
    </font>
    <font>
      <sz val="12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4" fillId="0" borderId="0" xfId="0" applyFont="1" applyBorder="1"/>
    <xf numFmtId="0" fontId="3" fillId="0" borderId="0" xfId="0" applyFont="1" applyBorder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76" fontId="9" fillId="2" borderId="1" xfId="0" applyNumberFormat="1" applyFont="1" applyFill="1" applyBorder="1" applyAlignment="1">
      <alignment horizontal="center" vertical="center" wrapText="1"/>
    </xf>
    <xf numFmtId="177" fontId="9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2" fontId="9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176" fontId="11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176" fontId="13" fillId="0" borderId="0" xfId="0" applyNumberFormat="1" applyFont="1"/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179" fontId="18" fillId="2" borderId="1" xfId="0" applyNumberFormat="1" applyFont="1" applyFill="1" applyBorder="1" applyAlignment="1">
      <alignment horizontal="center" vertical="center" wrapText="1"/>
    </xf>
    <xf numFmtId="180" fontId="19" fillId="4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1" fontId="19" fillId="4" borderId="1" xfId="0" applyNumberFormat="1" applyFont="1" applyFill="1" applyBorder="1" applyAlignment="1">
      <alignment horizontal="center" vertical="center" wrapText="1"/>
    </xf>
    <xf numFmtId="2" fontId="19" fillId="4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3" fillId="0" borderId="0" xfId="0" applyFont="1"/>
    <xf numFmtId="0" fontId="10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5" borderId="1" xfId="0" applyFont="1" applyFill="1" applyBorder="1"/>
    <xf numFmtId="0" fontId="10" fillId="5" borderId="0" xfId="0" applyFont="1" applyFill="1"/>
    <xf numFmtId="0" fontId="11" fillId="5" borderId="0" xfId="0" applyFont="1" applyFill="1"/>
    <xf numFmtId="176" fontId="7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88888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② 가공 전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후 단면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자동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—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입력 바꾸면 갱신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가공 전</c:v>
          </c:tx>
          <c:spPr>
            <a:ln w="2196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4.0998999999999999</c:v>
                </c:pt>
                <c:pt idx="2">
                  <c:v>4.0999999999999996</c:v>
                </c:pt>
                <c:pt idx="3">
                  <c:v>19.720096189432333</c:v>
                </c:pt>
                <c:pt idx="4">
                  <c:v>20</c:v>
                </c:pt>
                <c:pt idx="5">
                  <c:v>20</c:v>
                </c:pt>
                <c:pt idx="6">
                  <c:v>23.732050807568879</c:v>
                </c:pt>
                <c:pt idx="7">
                  <c:v>23.732050807568879</c:v>
                </c:pt>
                <c:pt idx="8">
                  <c:v>50</c:v>
                </c:pt>
              </c:numCache>
            </c:numRef>
          </c:xVal>
          <c:yVal>
            <c:numRef>
              <c:f>단면데이터!$E$4:$E$12</c:f>
              <c:numCache>
                <c:formatCode>0.000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yVal>
          <c:smooth val="0"/>
        </c:ser>
        <c:ser>
          <c:idx val="1"/>
          <c:order val="1"/>
          <c:tx>
            <c:v>가공 후</c:v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4.0998999999999999</c:v>
                </c:pt>
                <c:pt idx="2">
                  <c:v>4.0999999999999996</c:v>
                </c:pt>
                <c:pt idx="3">
                  <c:v>19.720096189432333</c:v>
                </c:pt>
                <c:pt idx="4">
                  <c:v>20</c:v>
                </c:pt>
                <c:pt idx="5">
                  <c:v>20</c:v>
                </c:pt>
                <c:pt idx="6">
                  <c:v>23.732050807568879</c:v>
                </c:pt>
                <c:pt idx="7">
                  <c:v>23.732050807568879</c:v>
                </c:pt>
                <c:pt idx="8">
                  <c:v>50</c:v>
                </c:pt>
              </c:numCache>
            </c:numRef>
          </c:xVal>
          <c:yVal>
            <c:numRef>
              <c:f>단면데이터!$F$4:$F$12</c:f>
              <c:numCache>
                <c:formatCode>0.000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1.925</c:v>
                </c:pt>
                <c:pt idx="3">
                  <c:v>1.925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yVal>
          <c:smooth val="0"/>
        </c:ser>
        <c:ser>
          <c:idx val="2"/>
          <c:order val="2"/>
          <c:tx>
            <c:v>가공 전 (아래)</c:v>
          </c:tx>
          <c:spPr>
            <a:ln w="2196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4.0998999999999999</c:v>
                </c:pt>
                <c:pt idx="2">
                  <c:v>4.0999999999999996</c:v>
                </c:pt>
                <c:pt idx="3">
                  <c:v>19.720096189432333</c:v>
                </c:pt>
                <c:pt idx="4">
                  <c:v>20</c:v>
                </c:pt>
                <c:pt idx="5">
                  <c:v>20</c:v>
                </c:pt>
                <c:pt idx="6">
                  <c:v>23.732050807568879</c:v>
                </c:pt>
                <c:pt idx="7">
                  <c:v>23.732050807568879</c:v>
                </c:pt>
                <c:pt idx="8">
                  <c:v>50</c:v>
                </c:pt>
              </c:numCache>
            </c:numRef>
          </c:xVal>
          <c:yVal>
            <c:numRef>
              <c:f>단면데이터!$G$4:$G$12</c:f>
              <c:numCache>
                <c:formatCode>0.000</c:formatCode>
                <c:ptCount val="9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</c:numCache>
            </c:numRef>
          </c:yVal>
          <c:smooth val="0"/>
        </c:ser>
        <c:ser>
          <c:idx val="3"/>
          <c:order val="3"/>
          <c:tx>
            <c:v>가공 후 (아래)</c:v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4.0998999999999999</c:v>
                </c:pt>
                <c:pt idx="2">
                  <c:v>4.0999999999999996</c:v>
                </c:pt>
                <c:pt idx="3">
                  <c:v>19.720096189432333</c:v>
                </c:pt>
                <c:pt idx="4">
                  <c:v>20</c:v>
                </c:pt>
                <c:pt idx="5">
                  <c:v>20</c:v>
                </c:pt>
                <c:pt idx="6">
                  <c:v>23.732050807568879</c:v>
                </c:pt>
                <c:pt idx="7">
                  <c:v>23.732050807568879</c:v>
                </c:pt>
                <c:pt idx="8">
                  <c:v>50</c:v>
                </c:pt>
              </c:numCache>
            </c:numRef>
          </c:xVal>
          <c:yVal>
            <c:numRef>
              <c:f>단면데이터!$H$4:$H$12</c:f>
              <c:numCache>
                <c:formatCode>0.000</c:formatCode>
                <c:ptCount val="9"/>
                <c:pt idx="0">
                  <c:v>-2</c:v>
                </c:pt>
                <c:pt idx="1">
                  <c:v>-2</c:v>
                </c:pt>
                <c:pt idx="2">
                  <c:v>-1.925</c:v>
                </c:pt>
                <c:pt idx="3">
                  <c:v>-1.925</c:v>
                </c:pt>
                <c:pt idx="4">
                  <c:v>-2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51424"/>
        <c:axId val="167353344"/>
      </c:scatterChart>
      <c:valAx>
        <c:axId val="167351424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EOT 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로부터 거리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mm) — iGrind X 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는 이 값의 음수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7353344"/>
        <c:crosses val="autoZero"/>
        <c:crossBetween val="midCat"/>
      </c:valAx>
      <c:valAx>
        <c:axId val="167353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반경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mm)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7351424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반경 제거량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mm) —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황삭 분할 판단용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반경 제거량</c:v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4.0998999999999999</c:v>
                </c:pt>
                <c:pt idx="2">
                  <c:v>4.0999999999999996</c:v>
                </c:pt>
                <c:pt idx="3">
                  <c:v>19.720096189432333</c:v>
                </c:pt>
                <c:pt idx="4">
                  <c:v>20</c:v>
                </c:pt>
                <c:pt idx="5">
                  <c:v>20</c:v>
                </c:pt>
                <c:pt idx="6">
                  <c:v>23.732050807568879</c:v>
                </c:pt>
                <c:pt idx="7">
                  <c:v>23.732050807568879</c:v>
                </c:pt>
                <c:pt idx="8">
                  <c:v>50</c:v>
                </c:pt>
              </c:numCache>
            </c:numRef>
          </c:xVal>
          <c:yVal>
            <c:numRef>
              <c:f>단면데이터!$I$4:$I$12</c:f>
              <c:numCache>
                <c:formatCode>0.000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7.4999999999999956E-2</c:v>
                </c:pt>
                <c:pt idx="3">
                  <c:v>7.4999999999999956E-2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03904"/>
        <c:axId val="167405824"/>
      </c:scatterChart>
      <c:valAx>
        <c:axId val="167403904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EOT 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로부터 거리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mm)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7405824"/>
        <c:crosses val="autoZero"/>
        <c:crossBetween val="midCat"/>
      </c:valAx>
      <c:valAx>
        <c:axId val="167405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제거량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mm)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74039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33</xdr:row>
      <xdr:rowOff>223560</xdr:rowOff>
    </xdr:from>
    <xdr:to>
      <xdr:col>23</xdr:col>
      <xdr:colOff>113040</xdr:colOff>
      <xdr:row>44</xdr:row>
      <xdr:rowOff>252360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52</xdr:row>
      <xdr:rowOff>223560</xdr:rowOff>
    </xdr:from>
    <xdr:to>
      <xdr:col>23</xdr:col>
      <xdr:colOff>113040</xdr:colOff>
      <xdr:row>61</xdr:row>
      <xdr:rowOff>257040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66675</xdr:colOff>
      <xdr:row>5</xdr:row>
      <xdr:rowOff>117060</xdr:rowOff>
    </xdr:from>
    <xdr:to>
      <xdr:col>23</xdr:col>
      <xdr:colOff>197715</xdr:colOff>
      <xdr:row>22</xdr:row>
      <xdr:rowOff>156390</xdr:rowOff>
    </xdr:to>
    <xdr:pic>
      <xdr:nvPicPr>
        <xdr:cNvPr id="4" name="Image 3" descr="Picture"/>
        <xdr:cNvPicPr/>
      </xdr:nvPicPr>
      <xdr:blipFill>
        <a:blip xmlns:r="http://schemas.openxmlformats.org/officeDocument/2006/relationships" r:embed="rId3"/>
        <a:stretch/>
      </xdr:blipFill>
      <xdr:spPr>
        <a:xfrm>
          <a:off x="12734925" y="1498185"/>
          <a:ext cx="6522315" cy="473515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18</xdr:col>
      <xdr:colOff>557640</xdr:colOff>
      <xdr:row>21</xdr:row>
      <xdr:rowOff>104400</xdr:rowOff>
    </xdr:to>
    <xdr:pic>
      <xdr:nvPicPr>
        <xdr:cNvPr id="3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419120"/>
          <a:ext cx="10953360" cy="406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18</xdr:col>
      <xdr:colOff>557640</xdr:colOff>
      <xdr:row>43</xdr:row>
      <xdr:rowOff>171000</xdr:rowOff>
    </xdr:to>
    <xdr:pic>
      <xdr:nvPicPr>
        <xdr:cNvPr id="4" name="Image 2" descr="Picture"/>
        <xdr:cNvPicPr/>
      </xdr:nvPicPr>
      <xdr:blipFill>
        <a:blip xmlns:r="http://schemas.openxmlformats.org/officeDocument/2006/relationships" r:embed="rId2"/>
        <a:stretch/>
      </xdr:blipFill>
      <xdr:spPr>
        <a:xfrm>
          <a:off x="211320" y="6867360"/>
          <a:ext cx="10953360" cy="413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zoomScaleNormal="100" workbookViewId="0">
      <pane ySplit="3" topLeftCell="A4" activePane="bottomLeft" state="frozen"/>
      <selection pane="bottomLeft" activeCell="C17" sqref="C17"/>
    </sheetView>
  </sheetViews>
  <sheetFormatPr defaultColWidth="8.7109375" defaultRowHeight="15"/>
  <cols>
    <col min="1" max="1" width="42" customWidth="1"/>
    <col min="2" max="2" width="18" customWidth="1"/>
    <col min="3" max="3" width="12" customWidth="1"/>
    <col min="4" max="4" width="13" customWidth="1"/>
    <col min="5" max="6" width="12" customWidth="1"/>
    <col min="7" max="8" width="11" customWidth="1"/>
    <col min="9" max="9" width="12" customWidth="1"/>
    <col min="10" max="10" width="21" customWidth="1"/>
    <col min="11" max="12" width="13" customWidth="1"/>
  </cols>
  <sheetData>
    <row r="1" spans="1:13" ht="33.75">
      <c r="A1" s="7" t="s">
        <v>0</v>
      </c>
    </row>
    <row r="2" spans="1:13" ht="16.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3" ht="21.75" customHeight="1">
      <c r="A4" s="9" t="s">
        <v>3</v>
      </c>
    </row>
    <row r="5" spans="1:13" ht="21.75" customHeight="1">
      <c r="A5" s="10" t="s">
        <v>4</v>
      </c>
      <c r="B5" s="11">
        <v>4</v>
      </c>
      <c r="C5" s="10" t="s">
        <v>5</v>
      </c>
      <c r="D5" s="6" t="s">
        <v>6</v>
      </c>
      <c r="E5" s="6"/>
      <c r="F5" s="6"/>
      <c r="G5" s="6"/>
      <c r="H5" s="6"/>
      <c r="I5" s="6"/>
      <c r="J5" s="6"/>
      <c r="K5" s="6"/>
      <c r="L5" s="6"/>
      <c r="M5" s="8" t="s">
        <v>2</v>
      </c>
    </row>
    <row r="6" spans="1:13" ht="21.75" customHeight="1">
      <c r="A6" s="10" t="s">
        <v>7</v>
      </c>
      <c r="B6" s="11">
        <v>4</v>
      </c>
      <c r="C6" s="10" t="s">
        <v>5</v>
      </c>
      <c r="D6" s="6" t="s">
        <v>8</v>
      </c>
      <c r="E6" s="6"/>
      <c r="F6" s="6"/>
      <c r="G6" s="6"/>
      <c r="H6" s="6"/>
      <c r="I6" s="6"/>
      <c r="J6" s="6"/>
      <c r="K6" s="6"/>
      <c r="L6" s="6"/>
    </row>
    <row r="7" spans="1:13" ht="21.75" customHeight="1">
      <c r="A7" s="10" t="s">
        <v>9</v>
      </c>
      <c r="B7" s="11">
        <v>20</v>
      </c>
      <c r="C7" s="10" t="s">
        <v>5</v>
      </c>
      <c r="D7" s="6" t="s">
        <v>10</v>
      </c>
      <c r="E7" s="6"/>
      <c r="F7" s="6"/>
      <c r="G7" s="6"/>
      <c r="H7" s="6"/>
      <c r="I7" s="6"/>
      <c r="J7" s="6"/>
      <c r="K7" s="6"/>
      <c r="L7" s="6"/>
    </row>
    <row r="8" spans="1:13" ht="21.75" customHeight="1">
      <c r="A8" s="10" t="s">
        <v>11</v>
      </c>
      <c r="B8" s="11">
        <v>20</v>
      </c>
      <c r="C8" s="10" t="s">
        <v>5</v>
      </c>
      <c r="D8" s="6" t="s">
        <v>12</v>
      </c>
      <c r="E8" s="6"/>
      <c r="F8" s="6"/>
      <c r="G8" s="6"/>
      <c r="H8" s="6"/>
      <c r="I8" s="6"/>
      <c r="J8" s="6"/>
      <c r="K8" s="6"/>
      <c r="L8" s="6"/>
    </row>
    <row r="9" spans="1:13" ht="21.75" customHeight="1">
      <c r="A9" s="10" t="s">
        <v>13</v>
      </c>
      <c r="B9" s="11">
        <v>50</v>
      </c>
      <c r="C9" s="10" t="s">
        <v>5</v>
      </c>
      <c r="D9" s="6" t="s">
        <v>14</v>
      </c>
      <c r="E9" s="6"/>
      <c r="F9" s="6"/>
      <c r="G9" s="6"/>
      <c r="H9" s="6"/>
      <c r="I9" s="6"/>
      <c r="J9" s="6"/>
      <c r="K9" s="6"/>
      <c r="L9" s="6"/>
    </row>
    <row r="10" spans="1:13" ht="21.75" customHeight="1">
      <c r="A10" s="10" t="s">
        <v>15</v>
      </c>
      <c r="B10" s="11">
        <v>6</v>
      </c>
      <c r="C10" s="10" t="s">
        <v>5</v>
      </c>
      <c r="D10" s="6" t="s">
        <v>16</v>
      </c>
      <c r="E10" s="6"/>
      <c r="F10" s="6"/>
      <c r="G10" s="6"/>
      <c r="H10" s="6"/>
      <c r="I10" s="6"/>
      <c r="J10" s="6"/>
      <c r="K10" s="6"/>
      <c r="L10" s="6"/>
    </row>
    <row r="11" spans="1:13" ht="21.75" customHeight="1">
      <c r="A11" s="10" t="s">
        <v>17</v>
      </c>
      <c r="B11" s="12">
        <v>15</v>
      </c>
      <c r="C11" s="10" t="s">
        <v>18</v>
      </c>
      <c r="D11" s="6" t="s">
        <v>19</v>
      </c>
      <c r="E11" s="6"/>
      <c r="F11" s="6"/>
      <c r="G11" s="6"/>
      <c r="H11" s="6"/>
      <c r="I11" s="6"/>
      <c r="J11" s="6"/>
      <c r="K11" s="6"/>
      <c r="L11" s="6"/>
    </row>
    <row r="12" spans="1:13" ht="21.75" customHeight="1">
      <c r="A12" s="10" t="s">
        <v>20</v>
      </c>
      <c r="B12" s="11"/>
      <c r="C12" s="10" t="s">
        <v>5</v>
      </c>
      <c r="D12" s="6" t="s">
        <v>21</v>
      </c>
      <c r="E12" s="6"/>
      <c r="F12" s="6"/>
      <c r="G12" s="6"/>
      <c r="H12" s="6"/>
      <c r="I12" s="6"/>
      <c r="J12" s="6"/>
      <c r="K12" s="6"/>
      <c r="L12" s="6"/>
    </row>
    <row r="13" spans="1:13" ht="21.75" customHeight="1">
      <c r="A13" s="13" t="s">
        <v>22</v>
      </c>
      <c r="B13" s="11">
        <v>0.15</v>
      </c>
      <c r="C13" s="10" t="s">
        <v>5</v>
      </c>
      <c r="D13" s="6" t="s">
        <v>23</v>
      </c>
      <c r="E13" s="6"/>
      <c r="F13" s="6"/>
      <c r="G13" s="6"/>
      <c r="H13" s="6"/>
      <c r="I13" s="6"/>
      <c r="J13" s="6"/>
      <c r="K13" s="6"/>
      <c r="L13" s="6"/>
    </row>
    <row r="14" spans="1:13" ht="21.75" customHeight="1">
      <c r="A14" s="10" t="s">
        <v>24</v>
      </c>
      <c r="B14" s="11">
        <v>0.1</v>
      </c>
      <c r="C14" s="10" t="s">
        <v>5</v>
      </c>
      <c r="D14" s="5" t="s">
        <v>25</v>
      </c>
      <c r="E14" s="5"/>
      <c r="F14" s="5"/>
      <c r="G14" s="5"/>
      <c r="H14" s="5"/>
      <c r="I14" s="5"/>
      <c r="J14" s="5"/>
      <c r="K14" s="5"/>
      <c r="L14" s="5"/>
    </row>
    <row r="15" spans="1:13" ht="21.75" customHeight="1">
      <c r="A15" s="13" t="s">
        <v>26</v>
      </c>
      <c r="B15" s="11"/>
      <c r="C15" s="10" t="s">
        <v>5</v>
      </c>
      <c r="D15" s="6" t="s">
        <v>27</v>
      </c>
      <c r="E15" s="6"/>
      <c r="F15" s="6"/>
      <c r="G15" s="6"/>
      <c r="H15" s="6"/>
      <c r="I15" s="6"/>
      <c r="J15" s="6"/>
      <c r="K15" s="6"/>
      <c r="L15" s="6"/>
    </row>
    <row r="16" spans="1:13" ht="21.75" customHeight="1"/>
    <row r="17" spans="1:12" ht="21.75" customHeight="1">
      <c r="A17" s="9" t="s">
        <v>28</v>
      </c>
    </row>
    <row r="18" spans="1:12" ht="21.75" customHeight="1">
      <c r="A18" s="13" t="s">
        <v>29</v>
      </c>
      <c r="B18" s="11">
        <v>0.05</v>
      </c>
      <c r="C18" s="10" t="s">
        <v>30</v>
      </c>
      <c r="D18" s="5" t="s">
        <v>31</v>
      </c>
      <c r="E18" s="5"/>
      <c r="F18" s="5"/>
      <c r="G18" s="5"/>
      <c r="H18" s="5"/>
      <c r="I18" s="5"/>
      <c r="J18" s="5"/>
      <c r="K18" s="5"/>
      <c r="L18" s="5"/>
    </row>
    <row r="19" spans="1:12" ht="21.75" customHeight="1">
      <c r="A19" s="13" t="s">
        <v>32</v>
      </c>
      <c r="B19" s="11">
        <v>7.4999999999999997E-2</v>
      </c>
      <c r="C19" s="10" t="s">
        <v>5</v>
      </c>
      <c r="D19" s="6" t="s">
        <v>33</v>
      </c>
      <c r="E19" s="6"/>
      <c r="F19" s="6"/>
      <c r="G19" s="6"/>
      <c r="H19" s="6"/>
      <c r="I19" s="6"/>
      <c r="J19" s="6"/>
      <c r="K19" s="6"/>
      <c r="L19" s="6"/>
    </row>
    <row r="20" spans="1:12" ht="21.75" customHeight="1">
      <c r="A20" s="13" t="s">
        <v>34</v>
      </c>
      <c r="B20" s="14">
        <v>2</v>
      </c>
      <c r="C20" s="10" t="s">
        <v>35</v>
      </c>
      <c r="D20" s="6" t="s">
        <v>36</v>
      </c>
      <c r="E20" s="6"/>
      <c r="F20" s="6"/>
      <c r="G20" s="6"/>
      <c r="H20" s="6"/>
      <c r="I20" s="6"/>
      <c r="J20" s="6"/>
      <c r="K20" s="6"/>
      <c r="L20" s="6"/>
    </row>
    <row r="21" spans="1:12" ht="21.75" customHeight="1">
      <c r="A21" s="10" t="s">
        <v>37</v>
      </c>
      <c r="B21" s="12">
        <v>25</v>
      </c>
      <c r="C21" s="10" t="s">
        <v>38</v>
      </c>
      <c r="D21" s="6" t="s">
        <v>39</v>
      </c>
      <c r="E21" s="6"/>
      <c r="F21" s="6"/>
      <c r="G21" s="6"/>
      <c r="H21" s="6"/>
      <c r="I21" s="6"/>
      <c r="J21" s="6"/>
      <c r="K21" s="6"/>
      <c r="L21" s="6"/>
    </row>
    <row r="22" spans="1:12" ht="21.75" customHeight="1">
      <c r="A22" s="13" t="s">
        <v>40</v>
      </c>
      <c r="B22" s="12"/>
      <c r="C22" s="10" t="s">
        <v>5</v>
      </c>
      <c r="D22" s="5" t="s">
        <v>41</v>
      </c>
      <c r="E22" s="5"/>
      <c r="F22" s="5"/>
      <c r="G22" s="5"/>
      <c r="H22" s="5"/>
      <c r="I22" s="5"/>
      <c r="J22" s="5"/>
      <c r="K22" s="5"/>
      <c r="L22" s="5"/>
    </row>
    <row r="23" spans="1:12" ht="21.75" customHeight="1">
      <c r="A23" s="13" t="s">
        <v>42</v>
      </c>
      <c r="B23" s="15">
        <v>3000</v>
      </c>
      <c r="C23" s="10" t="s">
        <v>38</v>
      </c>
      <c r="D23" s="6" t="s">
        <v>43</v>
      </c>
      <c r="E23" s="6"/>
      <c r="F23" s="6"/>
      <c r="G23" s="6"/>
      <c r="H23" s="6"/>
      <c r="I23" s="6"/>
      <c r="J23" s="6"/>
      <c r="K23" s="6"/>
      <c r="L23" s="6"/>
    </row>
    <row r="24" spans="1:12" ht="21.75" customHeight="1"/>
    <row r="25" spans="1:12" ht="21.75" customHeight="1">
      <c r="A25" s="9" t="s">
        <v>44</v>
      </c>
    </row>
    <row r="26" spans="1:12" ht="21.75" customHeight="1">
      <c r="A26" s="16" t="s">
        <v>45</v>
      </c>
      <c r="B26" s="17">
        <f>IF($B$12="",$B$5-$B$13,$B$12)</f>
        <v>3.85</v>
      </c>
      <c r="C26" s="10" t="s">
        <v>5</v>
      </c>
      <c r="D26" s="6" t="s">
        <v>46</v>
      </c>
      <c r="E26" s="6"/>
      <c r="F26" s="6"/>
      <c r="G26" s="6"/>
      <c r="H26" s="6"/>
      <c r="I26" s="6"/>
      <c r="J26" s="6"/>
      <c r="K26" s="6"/>
      <c r="L26" s="6"/>
    </row>
    <row r="27" spans="1:12" ht="21.75" customHeight="1">
      <c r="A27" s="16" t="s">
        <v>47</v>
      </c>
      <c r="B27" s="18" t="str">
        <f>IF(($B$8&gt;$B$7),"3섹션 (넥 연장)","단일 섹션")</f>
        <v>단일 섹션</v>
      </c>
      <c r="C27" s="10"/>
      <c r="D27" s="6" t="s">
        <v>48</v>
      </c>
      <c r="E27" s="6"/>
      <c r="F27" s="6"/>
      <c r="G27" s="6"/>
      <c r="H27" s="6"/>
      <c r="I27" s="6"/>
      <c r="J27" s="6"/>
      <c r="K27" s="6"/>
      <c r="L27" s="6"/>
    </row>
    <row r="28" spans="1:12" ht="21.75" customHeight="1">
      <c r="A28" s="10" t="s">
        <v>49</v>
      </c>
      <c r="B28" s="19">
        <f>($B$5-$B$26)/2</f>
        <v>7.4999999999999956E-2</v>
      </c>
      <c r="C28" s="10" t="s">
        <v>5</v>
      </c>
      <c r="D28" s="6" t="s">
        <v>50</v>
      </c>
      <c r="E28" s="6"/>
      <c r="F28" s="6"/>
      <c r="G28" s="6"/>
      <c r="H28" s="6"/>
      <c r="I28" s="6"/>
      <c r="J28" s="6"/>
      <c r="K28" s="6"/>
      <c r="L28" s="6"/>
    </row>
    <row r="29" spans="1:12" ht="21.75" customHeight="1">
      <c r="A29" s="10" t="s">
        <v>51</v>
      </c>
      <c r="B29" s="20">
        <f>TAN(RADIANS($B$11))</f>
        <v>0.2679491924311227</v>
      </c>
      <c r="C29" s="10"/>
      <c r="D29" s="5" t="s">
        <v>52</v>
      </c>
      <c r="E29" s="5"/>
      <c r="F29" s="5"/>
      <c r="G29" s="5"/>
      <c r="H29" s="5"/>
      <c r="I29" s="5"/>
      <c r="J29" s="5"/>
      <c r="K29" s="5"/>
      <c r="L29" s="5"/>
    </row>
    <row r="30" spans="1:12" ht="21.75" customHeight="1">
      <c r="A30" s="10" t="s">
        <v>53</v>
      </c>
      <c r="B30" s="19">
        <f>$B$28/$B$29</f>
        <v>0.27990381056766567</v>
      </c>
      <c r="C30" s="10" t="s">
        <v>5</v>
      </c>
      <c r="D30" s="6" t="s">
        <v>54</v>
      </c>
      <c r="E30" s="6"/>
      <c r="F30" s="6"/>
      <c r="G30" s="6"/>
      <c r="H30" s="6"/>
      <c r="I30" s="6"/>
      <c r="J30" s="6"/>
      <c r="K30" s="6"/>
      <c r="L30" s="6"/>
    </row>
    <row r="31" spans="1:12" ht="21.75" customHeight="1">
      <c r="A31" s="13" t="s">
        <v>55</v>
      </c>
      <c r="B31" s="19">
        <f>$B$8-$B$30</f>
        <v>19.720096189432333</v>
      </c>
      <c r="C31" s="10" t="s">
        <v>5</v>
      </c>
      <c r="D31" s="6" t="s">
        <v>56</v>
      </c>
      <c r="E31" s="6"/>
      <c r="F31" s="6"/>
      <c r="G31" s="6"/>
      <c r="H31" s="6"/>
      <c r="I31" s="6"/>
      <c r="J31" s="6"/>
      <c r="K31" s="6"/>
      <c r="L31" s="6"/>
    </row>
    <row r="32" spans="1:12" ht="21.75" customHeight="1">
      <c r="A32" s="21" t="s">
        <v>57</v>
      </c>
      <c r="B32" s="17">
        <f>-($B$6+$B$14)</f>
        <v>-4.0999999999999996</v>
      </c>
      <c r="C32" s="10" t="s">
        <v>5</v>
      </c>
      <c r="D32" s="6" t="s">
        <v>58</v>
      </c>
      <c r="E32" s="6"/>
      <c r="F32" s="6"/>
      <c r="G32" s="6"/>
      <c r="H32" s="6"/>
      <c r="I32" s="6"/>
      <c r="J32" s="6"/>
      <c r="K32" s="6"/>
      <c r="L32" s="6"/>
    </row>
    <row r="33" spans="1:13" ht="21.75" customHeight="1">
      <c r="A33" s="13" t="s">
        <v>59</v>
      </c>
      <c r="B33" s="19">
        <f>$B$31-($B$6+$B$14)</f>
        <v>15.620096189432333</v>
      </c>
      <c r="C33" s="10" t="s">
        <v>5</v>
      </c>
      <c r="D33" s="6" t="s">
        <v>60</v>
      </c>
      <c r="E33" s="6"/>
      <c r="F33" s="6"/>
      <c r="G33" s="6"/>
      <c r="H33" s="6"/>
      <c r="I33" s="6"/>
      <c r="J33" s="6"/>
      <c r="K33" s="6"/>
      <c r="L33" s="6"/>
    </row>
    <row r="34" spans="1:13" ht="21.75" customHeight="1">
      <c r="M34" s="8" t="s">
        <v>61</v>
      </c>
    </row>
    <row r="35" spans="1:13" ht="21.75" customHeight="1">
      <c r="A35" s="9" t="s">
        <v>62</v>
      </c>
    </row>
    <row r="36" spans="1:13" ht="49.5" customHeight="1">
      <c r="A36" s="22" t="s">
        <v>63</v>
      </c>
      <c r="B36" s="22" t="s">
        <v>64</v>
      </c>
      <c r="C36" s="23" t="s">
        <v>65</v>
      </c>
      <c r="D36" s="23" t="s">
        <v>66</v>
      </c>
      <c r="E36" s="23" t="s">
        <v>67</v>
      </c>
      <c r="F36" s="23" t="s">
        <v>68</v>
      </c>
      <c r="G36" s="23" t="s">
        <v>69</v>
      </c>
      <c r="H36" s="23" t="s">
        <v>70</v>
      </c>
      <c r="I36" s="23" t="s">
        <v>71</v>
      </c>
      <c r="J36" s="23" t="s">
        <v>72</v>
      </c>
      <c r="K36" s="23" t="s">
        <v>73</v>
      </c>
      <c r="L36" s="23" t="s">
        <v>74</v>
      </c>
    </row>
    <row r="37" spans="1:13" ht="21.75" customHeight="1">
      <c r="A37" s="24" t="s">
        <v>75</v>
      </c>
      <c r="B37" s="25" t="s">
        <v>64</v>
      </c>
      <c r="C37" s="26">
        <f>$B$32</f>
        <v>-4.0999999999999996</v>
      </c>
      <c r="D37" s="26">
        <f>IF(($B$8&gt;$B$7),$B$7-($B$6+$B$14),$B$31-($B$6+$B$14))</f>
        <v>15.620096189432333</v>
      </c>
      <c r="E37" s="26">
        <f>C37-D37</f>
        <v>-19.720096189432333</v>
      </c>
      <c r="F37" s="26">
        <f>$B$26</f>
        <v>3.85</v>
      </c>
      <c r="G37" s="27">
        <v>0</v>
      </c>
      <c r="H37" s="27">
        <f>IF(($B$8&gt;$B$7),0,$B$11)</f>
        <v>15</v>
      </c>
      <c r="I37" s="19">
        <f>IF(($B$8&gt;$B$7),0,$B$30)</f>
        <v>0.27990381056766567</v>
      </c>
      <c r="J37" s="25" t="str">
        <f>IF($B$28&gt;$B$19,"켬 (Δr &gt; 실적 — 분할)","끔 (정삭 1패스)")</f>
        <v>끔 (정삭 1패스)</v>
      </c>
      <c r="K37" s="25" t="str">
        <f>IF(($B$8&gt;$B$7),"Define "&amp;TEXT($B$5,"0.0##"),"Blank (Ø D)")</f>
        <v>Blank (Ø D)</v>
      </c>
      <c r="L37" s="25" t="s">
        <v>76</v>
      </c>
    </row>
    <row r="38" spans="1:13" ht="21.75" customHeight="1">
      <c r="A38" s="24" t="s">
        <v>77</v>
      </c>
      <c r="B38" s="25" t="str">
        <f>IF(($B$8&gt;$B$7),"사용","— (없음)")</f>
        <v>— (없음)</v>
      </c>
      <c r="C38" s="26" t="str">
        <f>IF(($B$8&gt;$B$7),-$B$7,"—")</f>
        <v>—</v>
      </c>
      <c r="D38" s="26" t="str">
        <f>IF(($B$8&gt;$B$7),$B$31-$B$7,"—")</f>
        <v>—</v>
      </c>
      <c r="E38" s="26" t="str">
        <f>IF(($B$8&gt;$B$7),C38-D38,"—")</f>
        <v>—</v>
      </c>
      <c r="F38" s="26" t="str">
        <f>IF(($B$8&gt;$B$7),$B$26,"—")</f>
        <v>—</v>
      </c>
      <c r="G38" s="27" t="str">
        <f>IF(($B$8&gt;$B$7),0,"—")</f>
        <v>—</v>
      </c>
      <c r="H38" s="27" t="str">
        <f>IF(($B$8&gt;$B$7),0,"—")</f>
        <v>—</v>
      </c>
      <c r="I38" s="19" t="str">
        <f>IF(($B$8&gt;$B$7),0,"—")</f>
        <v>—</v>
      </c>
      <c r="J38" s="25" t="str">
        <f>IF(($B$8&gt;$B$7),"켬","—")</f>
        <v>—</v>
      </c>
      <c r="K38" s="25" t="str">
        <f>IF(($B$8&gt;$B$7),"Define "&amp;TEXT(MIN($B$10,$B$5+2*($B$31-$B$7)*$B$29),"0.0##"),"—")</f>
        <v>—</v>
      </c>
      <c r="L38" s="25" t="str">
        <f>IF(($B$8&gt;$B$7),"끔","—")</f>
        <v>—</v>
      </c>
    </row>
    <row r="39" spans="1:13" ht="21.75" customHeight="1">
      <c r="A39" s="24" t="s">
        <v>78</v>
      </c>
      <c r="B39" s="25" t="str">
        <f>IF(($B$8&gt;$B$7),"사용","— (없음)")</f>
        <v>— (없음)</v>
      </c>
      <c r="C39" s="26" t="str">
        <f>IF(($B$8&gt;$B$7),-$B$31,"—")</f>
        <v>—</v>
      </c>
      <c r="D39" s="26" t="str">
        <f>IF(($B$8&gt;$B$7),($B$10-$B$26)/(2*$B$29),"—")</f>
        <v>—</v>
      </c>
      <c r="E39" s="26" t="str">
        <f>IF(($B$8&gt;$B$7),C39-D39,"—")</f>
        <v>—</v>
      </c>
      <c r="F39" s="26" t="str">
        <f>IF(($B$8&gt;$B$7),$B$26,"—")</f>
        <v>—</v>
      </c>
      <c r="G39" s="27" t="str">
        <f>IF(($B$8&gt;$B$7),$B$11,"—")</f>
        <v>—</v>
      </c>
      <c r="H39" s="27" t="str">
        <f>IF(($B$8&gt;$B$7),0,"—")</f>
        <v>—</v>
      </c>
      <c r="I39" s="19" t="str">
        <f>IF(($B$8&gt;$B$7),0,"—")</f>
        <v>—</v>
      </c>
      <c r="J39" s="25" t="str">
        <f>IF(($B$8&gt;$B$7),"켬","—")</f>
        <v>—</v>
      </c>
      <c r="K39" s="25" t="str">
        <f>IF(($B$8&gt;$B$7),"Define "&amp;TEXT($B$10,"0.0##"),"—")</f>
        <v>—</v>
      </c>
      <c r="L39" s="25" t="str">
        <f>IF(($B$8&gt;$B$7),"끔","—")</f>
        <v>—</v>
      </c>
    </row>
    <row r="40" spans="1:13" ht="21.75" customHeight="1">
      <c r="A40" s="5" t="s">
        <v>79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3" ht="21.75" customHeight="1">
      <c r="A41" s="5" t="s">
        <v>80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3" ht="21.75" customHeight="1"/>
    <row r="43" spans="1:13" ht="21.75" customHeight="1">
      <c r="A43" s="9" t="s">
        <v>81</v>
      </c>
    </row>
    <row r="44" spans="1:13" ht="21.75" customHeight="1">
      <c r="A44" s="16" t="s">
        <v>82</v>
      </c>
      <c r="B44" s="17">
        <f>IF(($B$8&gt;$B$7),(MIN($B$10,$B$5+2*($B$31-$B$7)*$B$29)-$B$26)/2,$B$28)</f>
        <v>7.4999999999999956E-2</v>
      </c>
      <c r="C44" s="10" t="s">
        <v>5</v>
      </c>
      <c r="D44" s="6" t="s">
        <v>83</v>
      </c>
      <c r="E44" s="6"/>
      <c r="F44" s="6"/>
      <c r="G44" s="6"/>
      <c r="H44" s="6"/>
      <c r="I44" s="6"/>
      <c r="J44" s="6"/>
      <c r="K44" s="6"/>
      <c r="L44" s="6"/>
    </row>
    <row r="45" spans="1:13" ht="21.75" customHeight="1">
      <c r="A45" s="10" t="s">
        <v>84</v>
      </c>
      <c r="B45" s="19" t="str">
        <f>IF(($B$8&gt;$B$7),MIN($B$10,$B$5+2*($B$31-$B$7)*$B$29),"—")</f>
        <v>—</v>
      </c>
      <c r="C45" s="10" t="s">
        <v>5</v>
      </c>
      <c r="D45" s="6" t="s">
        <v>85</v>
      </c>
      <c r="E45" s="6"/>
      <c r="F45" s="6"/>
      <c r="G45" s="6"/>
      <c r="H45" s="6"/>
      <c r="I45" s="6"/>
      <c r="J45" s="6"/>
      <c r="K45" s="6"/>
      <c r="L45" s="6"/>
    </row>
    <row r="46" spans="1:13" ht="21.75" customHeight="1">
      <c r="A46" s="16" t="s">
        <v>86</v>
      </c>
      <c r="B46" s="28">
        <f>IF(($B$8&gt;$B$7),ROUNDUP($B$44/$B$18,0),IF($B$28&gt;$B$19,ROUNDUP($B$28/$B$18,0),1))</f>
        <v>1</v>
      </c>
      <c r="C46" s="13" t="s">
        <v>87</v>
      </c>
      <c r="D46" s="6" t="s">
        <v>88</v>
      </c>
      <c r="E46" s="6"/>
      <c r="F46" s="6"/>
      <c r="G46" s="6"/>
      <c r="H46" s="6"/>
      <c r="I46" s="6"/>
      <c r="J46" s="6"/>
      <c r="K46" s="6"/>
      <c r="L46" s="6"/>
    </row>
    <row r="47" spans="1:13" ht="21.75" customHeight="1">
      <c r="A47" s="13" t="s">
        <v>89</v>
      </c>
      <c r="B47" s="29">
        <f>($B$26/$B$5)^4</f>
        <v>0.85822854003906268</v>
      </c>
      <c r="C47" s="10"/>
      <c r="D47" s="6" t="s">
        <v>90</v>
      </c>
      <c r="E47" s="6"/>
      <c r="F47" s="6"/>
      <c r="G47" s="6"/>
      <c r="H47" s="6"/>
      <c r="I47" s="6"/>
      <c r="J47" s="6"/>
      <c r="K47" s="6"/>
      <c r="L47" s="6"/>
    </row>
    <row r="48" spans="1:13" ht="21.75" customHeight="1">
      <c r="A48" s="13" t="s">
        <v>91</v>
      </c>
      <c r="B48" s="29">
        <f>1/$B$47</f>
        <v>1.1651908009893082</v>
      </c>
      <c r="C48" s="13" t="s">
        <v>92</v>
      </c>
      <c r="D48" s="6" t="s">
        <v>93</v>
      </c>
      <c r="E48" s="6"/>
      <c r="F48" s="6"/>
      <c r="G48" s="6"/>
      <c r="H48" s="6"/>
      <c r="I48" s="6"/>
      <c r="J48" s="6"/>
      <c r="K48" s="6"/>
      <c r="L48" s="6"/>
    </row>
    <row r="49" spans="1:12" ht="21.75" customHeight="1">
      <c r="A49" s="10" t="s">
        <v>94</v>
      </c>
      <c r="B49" s="27">
        <f>$B$8/$B$5</f>
        <v>5</v>
      </c>
      <c r="C49" s="13" t="s">
        <v>92</v>
      </c>
      <c r="D49" s="6" t="s">
        <v>95</v>
      </c>
      <c r="E49" s="6"/>
      <c r="F49" s="6"/>
      <c r="G49" s="6"/>
      <c r="H49" s="6"/>
      <c r="I49" s="6"/>
      <c r="J49" s="6"/>
      <c r="K49" s="6"/>
      <c r="L49" s="6"/>
    </row>
    <row r="50" spans="1:12" ht="21.75" customHeight="1">
      <c r="A50" s="13" t="s">
        <v>96</v>
      </c>
      <c r="B50" s="30" t="str">
        <f>IF($B$5&lt;0.5,"⛔ 미적용 (D0.5 미만)",IF($B$5&lt;2,"🔴 개별 확인",IF($B$5&lt;2.5,"🟡 개별 확인 (유효장 길면)",IF($B$5&lt;8,"🟢 기본 적용","🟡 여유 확인 (처짐·런아웃 대비)"))))</f>
        <v>🟢 기본 적용</v>
      </c>
      <c r="C50" s="10"/>
      <c r="D50" s="6" t="s">
        <v>97</v>
      </c>
      <c r="E50" s="6"/>
      <c r="F50" s="6"/>
      <c r="G50" s="6"/>
      <c r="H50" s="6"/>
      <c r="I50" s="6"/>
      <c r="J50" s="6"/>
      <c r="K50" s="6"/>
      <c r="L50" s="6"/>
    </row>
    <row r="51" spans="1:12" ht="21.75" customHeight="1">
      <c r="A51" s="13" t="s">
        <v>98</v>
      </c>
      <c r="B51" s="19">
        <f>$B$7+($B$10-$B$5)/(2*$B$29)</f>
        <v>23.732050807568879</v>
      </c>
      <c r="C51" s="10" t="s">
        <v>5</v>
      </c>
      <c r="D51" s="6" t="s">
        <v>99</v>
      </c>
      <c r="E51" s="6"/>
      <c r="F51" s="6"/>
      <c r="G51" s="6"/>
      <c r="H51" s="6"/>
      <c r="I51" s="6"/>
      <c r="J51" s="6"/>
      <c r="K51" s="6"/>
      <c r="L51" s="6"/>
    </row>
    <row r="52" spans="1:12" ht="21.75" customHeight="1">
      <c r="A52" s="13" t="s">
        <v>100</v>
      </c>
      <c r="B52" s="19">
        <f>IF(($B$8&gt;$B$7),$B$31+($B$10-$B$26)/(2*$B$29),$B$51)</f>
        <v>23.732050807568879</v>
      </c>
      <c r="C52" s="10" t="s">
        <v>5</v>
      </c>
      <c r="D52" s="6" t="s">
        <v>101</v>
      </c>
      <c r="E52" s="6"/>
      <c r="F52" s="6"/>
      <c r="G52" s="6"/>
      <c r="H52" s="6"/>
      <c r="I52" s="6"/>
      <c r="J52" s="6"/>
      <c r="K52" s="6"/>
      <c r="L52" s="6"/>
    </row>
    <row r="53" spans="1:12" ht="21.75" customHeight="1">
      <c r="A53" s="13" t="s">
        <v>102</v>
      </c>
      <c r="B53" s="19">
        <f>IF($B$9="","전장 입력 필요",$B$9-$B$52)</f>
        <v>26.267949192431121</v>
      </c>
      <c r="C53" s="10" t="s">
        <v>5</v>
      </c>
      <c r="D53" s="6" t="s">
        <v>103</v>
      </c>
      <c r="E53" s="6"/>
      <c r="F53" s="6"/>
      <c r="G53" s="6"/>
      <c r="H53" s="6"/>
      <c r="I53" s="6"/>
      <c r="J53" s="6"/>
      <c r="K53" s="6"/>
      <c r="L53" s="6"/>
    </row>
    <row r="54" spans="1:12" ht="21.75" customHeight="1">
      <c r="A54" s="13" t="s">
        <v>104</v>
      </c>
      <c r="B54" s="27" t="str">
        <f>IF($B$22="","휠 지름 입력 필요",PI()*$B$22*$B$23/60000)</f>
        <v>휠 지름 입력 필요</v>
      </c>
      <c r="C54" s="10" t="s">
        <v>105</v>
      </c>
      <c r="D54" s="6" t="s">
        <v>106</v>
      </c>
      <c r="E54" s="6"/>
      <c r="F54" s="6"/>
      <c r="G54" s="6"/>
      <c r="H54" s="6"/>
      <c r="I54" s="6"/>
      <c r="J54" s="6"/>
      <c r="K54" s="6"/>
      <c r="L54" s="6"/>
    </row>
    <row r="55" spans="1:12" ht="21.75" customHeight="1">
      <c r="A55" s="13" t="s">
        <v>107</v>
      </c>
      <c r="B55" s="19">
        <f>$B$20/$B$21</f>
        <v>0.08</v>
      </c>
      <c r="C55" s="10" t="s">
        <v>108</v>
      </c>
      <c r="D55" s="6" t="s">
        <v>109</v>
      </c>
      <c r="E55" s="6"/>
      <c r="F55" s="6"/>
      <c r="G55" s="6"/>
      <c r="H55" s="6"/>
      <c r="I55" s="6"/>
      <c r="J55" s="6"/>
      <c r="K55" s="6"/>
      <c r="L55" s="6"/>
    </row>
    <row r="56" spans="1:12" ht="21.75" customHeight="1">
      <c r="A56" s="13" t="s">
        <v>110</v>
      </c>
      <c r="B56" s="29">
        <f>PI()*$B$26*$B$21/1000</f>
        <v>0.3023782929080176</v>
      </c>
      <c r="C56" s="10" t="s">
        <v>111</v>
      </c>
      <c r="D56" s="6" t="s">
        <v>112</v>
      </c>
      <c r="E56" s="6"/>
      <c r="F56" s="6"/>
      <c r="G56" s="6"/>
      <c r="H56" s="6"/>
      <c r="I56" s="6"/>
      <c r="J56" s="6"/>
      <c r="K56" s="6"/>
      <c r="L56" s="6"/>
    </row>
    <row r="57" spans="1:12" ht="21.75" customHeight="1">
      <c r="A57" s="13" t="s">
        <v>113</v>
      </c>
      <c r="B57" s="29">
        <f>PI()*($B$26+$B$28)*$B$28*$B$20</f>
        <v>1.8496126748009893</v>
      </c>
      <c r="C57" s="10" t="s">
        <v>114</v>
      </c>
      <c r="D57" s="6" t="s">
        <v>115</v>
      </c>
      <c r="E57" s="6"/>
      <c r="F57" s="6"/>
      <c r="G57" s="6"/>
      <c r="H57" s="6"/>
      <c r="I57" s="6"/>
      <c r="J57" s="6"/>
      <c r="K57" s="6"/>
      <c r="L57" s="6"/>
    </row>
    <row r="58" spans="1:12" ht="21.75" customHeight="1">
      <c r="A58" s="13" t="s">
        <v>116</v>
      </c>
      <c r="B58" s="29">
        <f>IF(($B$8&gt;$B$7),($D$37+$D$38+$D$39)/$B$20,($D$37+$B$30)/$B$20)</f>
        <v>7.9499999999999993</v>
      </c>
      <c r="C58" s="13" t="s">
        <v>117</v>
      </c>
      <c r="D58" s="6" t="s">
        <v>118</v>
      </c>
      <c r="E58" s="6"/>
      <c r="F58" s="6"/>
      <c r="G58" s="6"/>
      <c r="H58" s="6"/>
      <c r="I58" s="6"/>
      <c r="J58" s="6"/>
      <c r="K58" s="6"/>
      <c r="L58" s="6"/>
    </row>
    <row r="59" spans="1:12" ht="21.75" customHeight="1">
      <c r="A59" s="13" t="s">
        <v>119</v>
      </c>
      <c r="B59" s="27">
        <f>IF(($B$8&gt;$B$7),$B$46*($D$38+$D$39)/$B$20,IF($B$46&gt;1,$B$46*($D$37+$B$30)/$B$20,0))</f>
        <v>0</v>
      </c>
      <c r="C59" s="13" t="s">
        <v>117</v>
      </c>
      <c r="D59" s="6" t="s">
        <v>120</v>
      </c>
      <c r="E59" s="6"/>
      <c r="F59" s="6"/>
      <c r="G59" s="6"/>
      <c r="H59" s="6"/>
      <c r="I59" s="6"/>
      <c r="J59" s="6"/>
      <c r="K59" s="6"/>
      <c r="L59" s="6"/>
    </row>
    <row r="60" spans="1:12" ht="21.75" customHeight="1"/>
    <row r="61" spans="1:12" ht="21.75" customHeight="1">
      <c r="A61" s="9" t="s">
        <v>121</v>
      </c>
    </row>
    <row r="62" spans="1:12" ht="21.75" customHeight="1">
      <c r="A62" s="4" t="str">
        <f>IF($B$26&gt;=$B$5,"⛔ 넥 지름 dn 이 D 이상 — 넥이 아님","")</f>
        <v/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21.75" customHeight="1">
      <c r="A63" s="4" t="str">
        <f>IF($B$5&lt;0.5,"⛔ D0.5 미만은 D − 0.15 미적용 (형상 성립 안 함) — dn 직접 입력","")</f>
        <v/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21.75" customHeight="1">
      <c r="A64" s="4" t="str">
        <f>IF($B$33&lt;=0,"⛔ 넥 직선 길이 0 이하 — L2(목표)·날장·washout 확인","")</f>
        <v/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21.75" customHeight="1">
      <c r="A65" s="4" t="str">
        <f>IF(AND(($B$8&gt;$B$7),$B$7&lt;=($B$6+$B$14)),"⛔ S1 길이 0 이하 — 날장이 기존 Ø D 구간보다 김, 섹션 재구성","")</f>
        <v/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21.75" customHeight="1">
      <c r="A66" s="4" t="str">
        <f>IF(($B$8&gt;$B$7),"⚠️ 상위 오퍼레이션 Blank OD = 생크 d "&amp;TEXT($B$10,"0.0##")&amp;" 로 설정 — Ø D 그대로면 제거량을 Δr 로 보고 1패스만 잡음 → 과부하·파손 위험","")</f>
        <v/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21.75" customHeight="1">
      <c r="A67" s="4" t="str">
        <f>IF(($B$8&gt;$B$7),"⚠️ CIM3D 블랭크를 실제 형상(Ø D → L2(블랭크)에서 θ 테이퍼 → 생크 Ød)으로 지정해야 연결부 검증 가능","")</f>
        <v/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21.75" customHeight="1">
      <c r="A68" s="4" t="str">
        <f>IF($B$28&gt;$B$19,"⚠️ 경고: 초경 고절입 — 머리 구간 반경 절입 "&amp;TEXT($B$28,"0.000")&amp;" mm 가 사내 1패스 실적 "&amp;TEXT($B$19,"0.000")&amp;" mm 초과 → Roughing 분할","")</f>
        <v/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21.75" customHeight="1">
      <c r="A69" s="4" t="str">
        <f>IF(($B$8&gt;$B$7),IF($B$44&gt;$B$19,"⚠️ 경고: 초경 고절입 — 생크 구간 최대 반경 "&amp;TEXT($B$44,"0.000")&amp;" mm → 황삭 "&amp;$B$46&amp;"패스 분할 필수, 생크(Ød)는 원주가 커 같은 절입에도 부하 큼",""),"")</f>
        <v/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21.75" customHeight="1">
      <c r="A70" s="4" t="str">
        <f>IF(AND($B$15&lt;&gt;"",$B$9&lt;&gt;""),IF($B$9-$B$52&lt;$B$15,"⚠️ 생크 남는 길이가 홀더 물림 최소 길이보다 짧음",""),"")</f>
        <v/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21.75" customHeight="1">
      <c r="A71" s="4" t="str">
        <f>IF($B$22="","",IF(PI()*$B$22*$B$23/60000&gt;30,"⚠️ 경고: 고속 연삭 Vc &gt; 30 m/s — Resin Bond 초과 가능성",IF(PI()*$B$22*$B$23/60000&gt;25,"⚠️ Vc 가 사내 상한 25 m/s 초과","")))</f>
        <v/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21.75" customHeight="1">
      <c r="A72" s="4" t="str">
        <f>IF($B$5&lt;2.5,"🔴 D2.5 미만 — 강성 비 "&amp;TEXT($B$47,"0.00")&amp;", 유효장 길면 개별 확인",IF($B$5&gt;=8,"🟡 D8 이상 — 한쪽 여유 "&amp;TEXT($B$28,"0.000")&amp;" mm 가 처짐·런아웃보다 큰지 확인",""))</f>
        <v/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21.75" customHeight="1">
      <c r="A73" s="3" t="str">
        <f>"✅ 항상: Allow Wheel Overhang 섹션마다 해제 확인 (머리 &gt; 넥이면 켜져 있을 때 날장을 깎음 — CIM3D 확인, decisions 2026-10-19 (5))"</f>
        <v>✅ 항상: Allow Wheel Overhang 섹션마다 해제 확인 (머리 &gt; 넥이면 켜져 있을 때 날장을 깎음 — CIM3D 확인, decisions 2026-10-19 (5))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21.75" customHeight="1">
      <c r="A74" s="3" t="str">
        <f>"✅ 항상: 시험 연삭 1개 → 넥 지름 · 진원도 · Ra μm · 턱/테이퍼 연결부 · 치핑 · 스핀들 부하 측정 후 양산 판단"</f>
        <v>✅ 항상: 시험 연삭 1개 → 넥 지름 · 진원도 · Ra μm · 턱/테이퍼 연결부 · 치핑 · 스핀들 부하 측정 후 양산 판단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21.75" customHeight="1"/>
  </sheetData>
  <mergeCells count="57">
    <mergeCell ref="A73:L73"/>
    <mergeCell ref="A74:L74"/>
    <mergeCell ref="A68:L68"/>
    <mergeCell ref="A69:L69"/>
    <mergeCell ref="A70:L70"/>
    <mergeCell ref="A71:L71"/>
    <mergeCell ref="A72:L72"/>
    <mergeCell ref="A63:L63"/>
    <mergeCell ref="A64:L64"/>
    <mergeCell ref="A65:L65"/>
    <mergeCell ref="A66:L66"/>
    <mergeCell ref="A67:L67"/>
    <mergeCell ref="D56:L56"/>
    <mergeCell ref="D57:L57"/>
    <mergeCell ref="D58:L58"/>
    <mergeCell ref="D59:L59"/>
    <mergeCell ref="A62:L62"/>
    <mergeCell ref="D51:L51"/>
    <mergeCell ref="D52:L52"/>
    <mergeCell ref="D53:L53"/>
    <mergeCell ref="D54:L54"/>
    <mergeCell ref="D55:L55"/>
    <mergeCell ref="D46:L46"/>
    <mergeCell ref="D47:L47"/>
    <mergeCell ref="D48:L48"/>
    <mergeCell ref="D49:L49"/>
    <mergeCell ref="D50:L50"/>
    <mergeCell ref="D33:L33"/>
    <mergeCell ref="A40:L40"/>
    <mergeCell ref="A41:L41"/>
    <mergeCell ref="D44:L44"/>
    <mergeCell ref="D45:L45"/>
    <mergeCell ref="D28:L28"/>
    <mergeCell ref="D29:L29"/>
    <mergeCell ref="D30:L30"/>
    <mergeCell ref="D31:L31"/>
    <mergeCell ref="D32:L32"/>
    <mergeCell ref="D21:L21"/>
    <mergeCell ref="D22:L22"/>
    <mergeCell ref="D23:L23"/>
    <mergeCell ref="D26:L26"/>
    <mergeCell ref="D27:L27"/>
    <mergeCell ref="D14:L14"/>
    <mergeCell ref="D15:L15"/>
    <mergeCell ref="D18:L18"/>
    <mergeCell ref="D19:L19"/>
    <mergeCell ref="D20:L20"/>
    <mergeCell ref="D9:L9"/>
    <mergeCell ref="D10:L10"/>
    <mergeCell ref="D11:L11"/>
    <mergeCell ref="D12:L12"/>
    <mergeCell ref="D13:L13"/>
    <mergeCell ref="A2:L2"/>
    <mergeCell ref="D5:L5"/>
    <mergeCell ref="D6:L6"/>
    <mergeCell ref="D7:L7"/>
    <mergeCell ref="D8:L8"/>
  </mergeCells>
  <phoneticPr fontId="21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/>
  <cols>
    <col min="1" max="1" width="44" customWidth="1"/>
    <col min="2" max="2" width="8" customWidth="1"/>
    <col min="3" max="3" width="9" customWidth="1"/>
    <col min="4" max="5" width="11" customWidth="1"/>
    <col min="6" max="7" width="9" customWidth="1"/>
    <col min="8" max="8" width="7" customWidth="1"/>
    <col min="9" max="10" width="9" customWidth="1"/>
    <col min="11" max="11" width="14" customWidth="1"/>
    <col min="12" max="12" width="11" customWidth="1"/>
    <col min="13" max="13" width="10" customWidth="1"/>
    <col min="14" max="19" width="11" customWidth="1"/>
    <col min="20" max="22" width="9" customWidth="1"/>
    <col min="23" max="23" width="8" customWidth="1"/>
    <col min="24" max="24" width="22" customWidth="1"/>
    <col min="25" max="26" width="11" customWidth="1"/>
  </cols>
  <sheetData>
    <row r="1" spans="1:26" ht="33.75">
      <c r="A1" s="7" t="s">
        <v>122</v>
      </c>
    </row>
    <row r="2" spans="1:26" ht="16.5">
      <c r="A2" s="6" t="s">
        <v>123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9.5">
      <c r="A3" s="16" t="s">
        <v>124</v>
      </c>
      <c r="B3" s="2" t="s">
        <v>125</v>
      </c>
      <c r="C3" s="2"/>
      <c r="D3" s="31">
        <f>넥계산기!$B$13</f>
        <v>0.15</v>
      </c>
      <c r="E3" s="1" t="s">
        <v>126</v>
      </c>
      <c r="F3" s="1"/>
      <c r="G3" s="31">
        <f>넥계산기!$B$14</f>
        <v>0.1</v>
      </c>
      <c r="H3" s="2" t="s">
        <v>127</v>
      </c>
      <c r="I3" s="2"/>
      <c r="J3" s="31">
        <f>넥계산기!$B$18</f>
        <v>0.05</v>
      </c>
      <c r="K3" s="2" t="s">
        <v>128</v>
      </c>
      <c r="L3" s="2"/>
      <c r="M3" s="31">
        <f>넥계산기!$B$19</f>
        <v>7.4999999999999997E-2</v>
      </c>
      <c r="N3" s="2" t="s">
        <v>129</v>
      </c>
      <c r="O3" s="2"/>
      <c r="P3" s="31">
        <f>넥계산기!$B$20</f>
        <v>2</v>
      </c>
    </row>
    <row r="5" spans="1:26" ht="48" customHeight="1">
      <c r="A5" s="32" t="s">
        <v>130</v>
      </c>
      <c r="B5" s="33" t="s">
        <v>131</v>
      </c>
      <c r="C5" s="33" t="s">
        <v>132</v>
      </c>
      <c r="D5" s="33" t="s">
        <v>133</v>
      </c>
      <c r="E5" s="33" t="s">
        <v>134</v>
      </c>
      <c r="F5" s="33" t="s">
        <v>135</v>
      </c>
      <c r="G5" s="33" t="s">
        <v>136</v>
      </c>
      <c r="H5" s="33" t="s">
        <v>137</v>
      </c>
      <c r="I5" s="33" t="s">
        <v>138</v>
      </c>
      <c r="J5" s="32" t="s">
        <v>139</v>
      </c>
      <c r="K5" s="32" t="s">
        <v>47</v>
      </c>
      <c r="L5" s="33" t="s">
        <v>140</v>
      </c>
      <c r="M5" s="33" t="s">
        <v>141</v>
      </c>
      <c r="N5" s="33" t="s">
        <v>142</v>
      </c>
      <c r="O5" s="33" t="s">
        <v>143</v>
      </c>
      <c r="P5" s="33" t="s">
        <v>144</v>
      </c>
      <c r="Q5" s="32" t="s">
        <v>145</v>
      </c>
      <c r="R5" s="33" t="s">
        <v>146</v>
      </c>
      <c r="S5" s="32" t="s">
        <v>147</v>
      </c>
      <c r="T5" s="32" t="s">
        <v>148</v>
      </c>
      <c r="U5" s="32" t="s">
        <v>149</v>
      </c>
      <c r="V5" s="32" t="s">
        <v>150</v>
      </c>
      <c r="W5" s="33" t="s">
        <v>151</v>
      </c>
      <c r="X5" s="32" t="s">
        <v>152</v>
      </c>
      <c r="Y5" s="32" t="s">
        <v>102</v>
      </c>
      <c r="Z5" s="32" t="s">
        <v>153</v>
      </c>
    </row>
    <row r="6" spans="1:26" ht="36" customHeight="1">
      <c r="A6" s="34" t="s">
        <v>154</v>
      </c>
      <c r="B6" s="35">
        <v>4</v>
      </c>
      <c r="C6" s="35">
        <v>4</v>
      </c>
      <c r="D6" s="35">
        <v>20</v>
      </c>
      <c r="E6" s="35">
        <v>20</v>
      </c>
      <c r="F6" s="35">
        <v>50</v>
      </c>
      <c r="G6" s="35">
        <v>6</v>
      </c>
      <c r="H6" s="35">
        <v>15</v>
      </c>
      <c r="I6" s="35"/>
      <c r="J6" s="36">
        <f>IF(B6="","",IF(I6="",B6-넥계산기!$B$13,I6))</f>
        <v>3.85</v>
      </c>
      <c r="K6" s="37" t="str">
        <f t="shared" ref="K6:K25" si="0">IF(B6="","",IF((E6&gt;D6),"3섹션 연장","단일"))</f>
        <v>단일</v>
      </c>
      <c r="L6" s="38">
        <f t="shared" ref="L6:L25" si="1">IF(B6="","",((B6-J6)/2)/TAN(RADIANS(H6)))</f>
        <v>0.27990381056766567</v>
      </c>
      <c r="M6" s="38">
        <f>IF(B6="","",-(C6+넥계산기!$B$14))</f>
        <v>-4.0999999999999996</v>
      </c>
      <c r="N6" s="38">
        <f>IF(B6="","",IF((E6&gt;D6),D6-(C6+넥계산기!$B$14),Q6-(C6+넥계산기!$B$14)))</f>
        <v>15.620096189432333</v>
      </c>
      <c r="O6" s="38" t="str">
        <f t="shared" ref="O6:O25" si="2">IF(B6="","",IF((E6&gt;D6),Q6-D6,"—"))</f>
        <v>—</v>
      </c>
      <c r="P6" s="38" t="str">
        <f t="shared" ref="P6:P25" si="3">IF(B6="","",IF((E6&gt;D6),(G6-J6)/(2*TAN(RADIANS(H6))),"—"))</f>
        <v>—</v>
      </c>
      <c r="Q6" s="38">
        <f t="shared" ref="Q6:Q25" si="4">IF(B6="","",E6-L6)</f>
        <v>19.720096189432333</v>
      </c>
      <c r="R6" s="38" t="str">
        <f t="shared" ref="R6:R25" si="5">IF(B6="","",IF((E6&gt;D6),MIN(G6,B6+2*(Q6-D6)*TAN(RADIANS(H6))),"—"))</f>
        <v>—</v>
      </c>
      <c r="S6" s="38">
        <f t="shared" ref="S6:S25" si="6">IF(B6="","",IF((E6&gt;D6),(MIN(G6,B6+2*(Q6-D6)*TAN(RADIANS(H6)))-J6)/2,((B6-J6)/2)))</f>
        <v>7.4999999999999956E-2</v>
      </c>
      <c r="T6" s="39">
        <f>IF(B6="","",IF((E6&gt;D6),ROUNDUP(S6/넥계산기!$B$18,0),IF(((B6-J6)/2)&gt;넥계산기!$B$19,ROUNDUP(((B6-J6)/2)/넥계산기!$B$18,0),1)))</f>
        <v>1</v>
      </c>
      <c r="U6" s="40">
        <f t="shared" ref="U6:U25" si="7">IF(B6="","",(J6/B6)^4)</f>
        <v>0.85822854003906268</v>
      </c>
      <c r="V6" s="40">
        <f t="shared" ref="V6:V25" si="8">IF(B6="","",1/U6)</f>
        <v>1.1651908009893082</v>
      </c>
      <c r="W6" s="40">
        <f t="shared" ref="W6:W25" si="9">IF(B6="","",E6/B6)</f>
        <v>5</v>
      </c>
      <c r="X6" s="37" t="str">
        <f t="shared" ref="X6:X25" si="10">IF(B6="","",IF(B6&lt;0.5,"⛔ 미적용",IF(B6&lt;2,"🔴 개별 확인",IF(B6&lt;2.5,"🟡 개별(유효장 길면)",IF(B6&lt;8,"🟢 기본 적용","🟡 여유 확인")))))</f>
        <v>🟢 기본 적용</v>
      </c>
      <c r="Y6" s="36">
        <f t="shared" ref="Y6:Y25" si="11">IF(B6="","",IF(F6="","전장 입력",F6-IF((E6&gt;D6),Q6+P6,D6+(G6-B6)/(2*TAN(RADIANS(H6))))))</f>
        <v>26.267949192431121</v>
      </c>
      <c r="Z6" s="36">
        <f>IF(B6="","",IF((E6&gt;D6),(N6+O6+P6)/넥계산기!$B$20,(N6+L6)/넥계산기!$B$20))</f>
        <v>7.9499999999999993</v>
      </c>
    </row>
    <row r="7" spans="1:26" ht="36" customHeight="1">
      <c r="A7" s="41" t="s">
        <v>155</v>
      </c>
      <c r="B7" s="35">
        <v>4</v>
      </c>
      <c r="C7" s="35">
        <v>4</v>
      </c>
      <c r="D7" s="35">
        <v>8</v>
      </c>
      <c r="E7" s="35">
        <v>14</v>
      </c>
      <c r="F7" s="35"/>
      <c r="G7" s="35">
        <v>6</v>
      </c>
      <c r="H7" s="35">
        <v>15</v>
      </c>
      <c r="I7" s="35"/>
      <c r="J7" s="36">
        <f>IF(B7="","",IF(I7="",B7-넥계산기!$B$13,I7))</f>
        <v>3.85</v>
      </c>
      <c r="K7" s="37" t="str">
        <f t="shared" si="0"/>
        <v>3섹션 연장</v>
      </c>
      <c r="L7" s="38">
        <f t="shared" si="1"/>
        <v>0.27990381056766567</v>
      </c>
      <c r="M7" s="38">
        <f>IF(B7="","",-(C7+넥계산기!$B$14))</f>
        <v>-4.0999999999999996</v>
      </c>
      <c r="N7" s="38">
        <f>IF(B7="","",IF((E7&gt;D7),D7-(C7+넥계산기!$B$14),Q7-(C7+넥계산기!$B$14)))</f>
        <v>3.9000000000000004</v>
      </c>
      <c r="O7" s="38">
        <f t="shared" si="2"/>
        <v>5.7200961894323346</v>
      </c>
      <c r="P7" s="38">
        <f t="shared" si="3"/>
        <v>4.0119546181365431</v>
      </c>
      <c r="Q7" s="38">
        <f t="shared" si="4"/>
        <v>13.720096189432335</v>
      </c>
      <c r="R7" s="38">
        <f t="shared" si="5"/>
        <v>6</v>
      </c>
      <c r="S7" s="38">
        <f t="shared" si="6"/>
        <v>1.075</v>
      </c>
      <c r="T7" s="39">
        <f>IF(B7="","",IF((E7&gt;D7),ROUNDUP(S7/넥계산기!$B$18,0),IF(((B7-J7)/2)&gt;넥계산기!$B$19,ROUNDUP(((B7-J7)/2)/넥계산기!$B$18,0),1)))</f>
        <v>22</v>
      </c>
      <c r="U7" s="40">
        <f t="shared" si="7"/>
        <v>0.85822854003906268</v>
      </c>
      <c r="V7" s="40">
        <f t="shared" si="8"/>
        <v>1.1651908009893082</v>
      </c>
      <c r="W7" s="40">
        <f t="shared" si="9"/>
        <v>3.5</v>
      </c>
      <c r="X7" s="37" t="str">
        <f t="shared" si="10"/>
        <v>🟢 기본 적용</v>
      </c>
      <c r="Y7" s="36" t="str">
        <f t="shared" si="11"/>
        <v>전장 입력</v>
      </c>
      <c r="Z7" s="36">
        <f>IF(B7="","",IF((E7&gt;D7),(N7+O7+P7)/넥계산기!$B$20,(N7+L7)/넥계산기!$B$20))</f>
        <v>6.8160254037844386</v>
      </c>
    </row>
    <row r="8" spans="1:26" ht="36" customHeight="1">
      <c r="A8" s="41" t="s">
        <v>156</v>
      </c>
      <c r="B8" s="35">
        <v>4</v>
      </c>
      <c r="C8" s="35">
        <v>4</v>
      </c>
      <c r="D8" s="35">
        <v>8</v>
      </c>
      <c r="E8" s="35">
        <v>12</v>
      </c>
      <c r="F8" s="35">
        <v>50</v>
      </c>
      <c r="G8" s="35">
        <v>6</v>
      </c>
      <c r="H8" s="35">
        <v>15</v>
      </c>
      <c r="I8" s="35"/>
      <c r="J8" s="36">
        <f>IF(B8="","",IF(I8="",B8-넥계산기!$B$13,I8))</f>
        <v>3.85</v>
      </c>
      <c r="K8" s="37" t="str">
        <f t="shared" si="0"/>
        <v>3섹션 연장</v>
      </c>
      <c r="L8" s="38">
        <f t="shared" si="1"/>
        <v>0.27990381056766567</v>
      </c>
      <c r="M8" s="38">
        <f>IF(B8="","",-(C8+넥계산기!$B$14))</f>
        <v>-4.0999999999999996</v>
      </c>
      <c r="N8" s="38">
        <f>IF(B8="","",IF((E8&gt;D8),D8-(C8+넥계산기!$B$14),Q8-(C8+넥계산기!$B$14)))</f>
        <v>3.9000000000000004</v>
      </c>
      <c r="O8" s="38">
        <f t="shared" si="2"/>
        <v>3.7200961894323346</v>
      </c>
      <c r="P8" s="38">
        <f t="shared" si="3"/>
        <v>4.0119546181365431</v>
      </c>
      <c r="Q8" s="38">
        <f t="shared" si="4"/>
        <v>11.720096189432335</v>
      </c>
      <c r="R8" s="38">
        <f t="shared" si="5"/>
        <v>5.9935935394489821</v>
      </c>
      <c r="S8" s="38">
        <f t="shared" si="6"/>
        <v>1.071796769724491</v>
      </c>
      <c r="T8" s="39">
        <f>IF(B8="","",IF((E8&gt;D8),ROUNDUP(S8/넥계산기!$B$18,0),IF(((B8-J8)/2)&gt;넥계산기!$B$19,ROUNDUP(((B8-J8)/2)/넥계산기!$B$18,0),1)))</f>
        <v>22</v>
      </c>
      <c r="U8" s="40">
        <f t="shared" si="7"/>
        <v>0.85822854003906268</v>
      </c>
      <c r="V8" s="40">
        <f t="shared" si="8"/>
        <v>1.1651908009893082</v>
      </c>
      <c r="W8" s="40">
        <f t="shared" si="9"/>
        <v>3</v>
      </c>
      <c r="X8" s="37" t="str">
        <f t="shared" si="10"/>
        <v>🟢 기본 적용</v>
      </c>
      <c r="Y8" s="36">
        <f t="shared" si="11"/>
        <v>34.267949192431118</v>
      </c>
      <c r="Z8" s="36">
        <f>IF(B8="","",IF((E8&gt;D8),(N8+O8+P8)/넥계산기!$B$20,(N8+L8)/넥계산기!$B$20))</f>
        <v>5.8160254037844386</v>
      </c>
    </row>
    <row r="9" spans="1:26" ht="36" customHeight="1">
      <c r="A9" s="41" t="s">
        <v>157</v>
      </c>
      <c r="B9" s="35">
        <v>4</v>
      </c>
      <c r="C9" s="35">
        <v>4</v>
      </c>
      <c r="D9" s="35">
        <v>8</v>
      </c>
      <c r="E9" s="35">
        <v>16</v>
      </c>
      <c r="F9" s="35">
        <v>50</v>
      </c>
      <c r="G9" s="35">
        <v>6</v>
      </c>
      <c r="H9" s="35">
        <v>15</v>
      </c>
      <c r="I9" s="35"/>
      <c r="J9" s="36">
        <f>IF(B9="","",IF(I9="",B9-넥계산기!$B$13,I9))</f>
        <v>3.85</v>
      </c>
      <c r="K9" s="37" t="str">
        <f t="shared" si="0"/>
        <v>3섹션 연장</v>
      </c>
      <c r="L9" s="38">
        <f t="shared" si="1"/>
        <v>0.27990381056766567</v>
      </c>
      <c r="M9" s="38">
        <f>IF(B9="","",-(C9+넥계산기!$B$14))</f>
        <v>-4.0999999999999996</v>
      </c>
      <c r="N9" s="38">
        <f>IF(B9="","",IF((E9&gt;D9),D9-(C9+넥계산기!$B$14),Q9-(C9+넥계산기!$B$14)))</f>
        <v>3.9000000000000004</v>
      </c>
      <c r="O9" s="38">
        <f t="shared" si="2"/>
        <v>7.7200961894323346</v>
      </c>
      <c r="P9" s="38">
        <f t="shared" si="3"/>
        <v>4.0119546181365431</v>
      </c>
      <c r="Q9" s="38">
        <f t="shared" si="4"/>
        <v>15.720096189432335</v>
      </c>
      <c r="R9" s="38">
        <f t="shared" si="5"/>
        <v>6</v>
      </c>
      <c r="S9" s="38">
        <f t="shared" si="6"/>
        <v>1.075</v>
      </c>
      <c r="T9" s="39">
        <f>IF(B9="","",IF((E9&gt;D9),ROUNDUP(S9/넥계산기!$B$18,0),IF(((B9-J9)/2)&gt;넥계산기!$B$19,ROUNDUP(((B9-J9)/2)/넥계산기!$B$18,0),1)))</f>
        <v>22</v>
      </c>
      <c r="U9" s="40">
        <f t="shared" si="7"/>
        <v>0.85822854003906268</v>
      </c>
      <c r="V9" s="40">
        <f t="shared" si="8"/>
        <v>1.1651908009893082</v>
      </c>
      <c r="W9" s="40">
        <f t="shared" si="9"/>
        <v>4</v>
      </c>
      <c r="X9" s="37" t="str">
        <f t="shared" si="10"/>
        <v>🟢 기본 적용</v>
      </c>
      <c r="Y9" s="36">
        <f t="shared" si="11"/>
        <v>30.267949192431121</v>
      </c>
      <c r="Z9" s="36">
        <f>IF(B9="","",IF((E9&gt;D9),(N9+O9+P9)/넥계산기!$B$20,(N9+L9)/넥계산기!$B$20))</f>
        <v>7.8160254037844386</v>
      </c>
    </row>
    <row r="10" spans="1:26" ht="36" customHeight="1">
      <c r="A10" s="41" t="s">
        <v>158</v>
      </c>
      <c r="B10" s="35">
        <v>4</v>
      </c>
      <c r="C10" s="35">
        <v>4</v>
      </c>
      <c r="D10" s="35">
        <v>8</v>
      </c>
      <c r="E10" s="35">
        <v>20</v>
      </c>
      <c r="F10" s="35">
        <v>50</v>
      </c>
      <c r="G10" s="35">
        <v>6</v>
      </c>
      <c r="H10" s="35">
        <v>15</v>
      </c>
      <c r="I10" s="35"/>
      <c r="J10" s="36">
        <f>IF(B10="","",IF(I10="",B10-넥계산기!$B$13,I10))</f>
        <v>3.85</v>
      </c>
      <c r="K10" s="37" t="str">
        <f t="shared" si="0"/>
        <v>3섹션 연장</v>
      </c>
      <c r="L10" s="38">
        <f t="shared" si="1"/>
        <v>0.27990381056766567</v>
      </c>
      <c r="M10" s="38">
        <f>IF(B10="","",-(C10+넥계산기!$B$14))</f>
        <v>-4.0999999999999996</v>
      </c>
      <c r="N10" s="38">
        <f>IF(B10="","",IF((E10&gt;D10),D10-(C10+넥계산기!$B$14),Q10-(C10+넥계산기!$B$14)))</f>
        <v>3.9000000000000004</v>
      </c>
      <c r="O10" s="38">
        <f t="shared" si="2"/>
        <v>11.720096189432333</v>
      </c>
      <c r="P10" s="38">
        <f t="shared" si="3"/>
        <v>4.0119546181365431</v>
      </c>
      <c r="Q10" s="38">
        <f t="shared" si="4"/>
        <v>19.720096189432333</v>
      </c>
      <c r="R10" s="38">
        <f t="shared" si="5"/>
        <v>6</v>
      </c>
      <c r="S10" s="38">
        <f t="shared" si="6"/>
        <v>1.075</v>
      </c>
      <c r="T10" s="39">
        <f>IF(B10="","",IF((E10&gt;D10),ROUNDUP(S10/넥계산기!$B$18,0),IF(((B10-J10)/2)&gt;넥계산기!$B$19,ROUNDUP(((B10-J10)/2)/넥계산기!$B$18,0),1)))</f>
        <v>22</v>
      </c>
      <c r="U10" s="40">
        <f t="shared" si="7"/>
        <v>0.85822854003906268</v>
      </c>
      <c r="V10" s="40">
        <f t="shared" si="8"/>
        <v>1.1651908009893082</v>
      </c>
      <c r="W10" s="40">
        <f t="shared" si="9"/>
        <v>5</v>
      </c>
      <c r="X10" s="37" t="str">
        <f t="shared" si="10"/>
        <v>🟢 기본 적용</v>
      </c>
      <c r="Y10" s="36">
        <f t="shared" si="11"/>
        <v>26.267949192431125</v>
      </c>
      <c r="Z10" s="36">
        <f>IF(B10="","",IF((E10&gt;D10),(N10+O10+P10)/넥계산기!$B$20,(N10+L10)/넥계산기!$B$20))</f>
        <v>9.8160254037844386</v>
      </c>
    </row>
    <row r="11" spans="1:26" ht="36" customHeight="1">
      <c r="A11" s="34"/>
      <c r="B11" s="35"/>
      <c r="C11" s="35"/>
      <c r="D11" s="35"/>
      <c r="E11" s="35"/>
      <c r="F11" s="35"/>
      <c r="G11" s="35"/>
      <c r="H11" s="35"/>
      <c r="I11" s="35"/>
      <c r="J11" s="36" t="str">
        <f>IF(B11="","",IF(I11="",B11-넥계산기!$B$13,I11))</f>
        <v/>
      </c>
      <c r="K11" s="37" t="str">
        <f t="shared" si="0"/>
        <v/>
      </c>
      <c r="L11" s="38" t="str">
        <f t="shared" si="1"/>
        <v/>
      </c>
      <c r="M11" s="38" t="str">
        <f>IF(B11="","",-(C11+넥계산기!$B$14))</f>
        <v/>
      </c>
      <c r="N11" s="38" t="str">
        <f>IF(B11="","",IF((E11&gt;D11),D11-(C11+넥계산기!$B$14),Q11-(C11+넥계산기!$B$14)))</f>
        <v/>
      </c>
      <c r="O11" s="38" t="str">
        <f t="shared" si="2"/>
        <v/>
      </c>
      <c r="P11" s="38" t="str">
        <f t="shared" si="3"/>
        <v/>
      </c>
      <c r="Q11" s="38" t="str">
        <f t="shared" si="4"/>
        <v/>
      </c>
      <c r="R11" s="38" t="str">
        <f t="shared" si="5"/>
        <v/>
      </c>
      <c r="S11" s="38" t="str">
        <f t="shared" si="6"/>
        <v/>
      </c>
      <c r="T11" s="39" t="str">
        <f>IF(B11="","",IF((E11&gt;D11),ROUNDUP(S11/넥계산기!$B$18,0),IF(((B11-J11)/2)&gt;넥계산기!$B$19,ROUNDUP(((B11-J11)/2)/넥계산기!$B$18,0),1)))</f>
        <v/>
      </c>
      <c r="U11" s="40" t="str">
        <f t="shared" si="7"/>
        <v/>
      </c>
      <c r="V11" s="40" t="str">
        <f t="shared" si="8"/>
        <v/>
      </c>
      <c r="W11" s="40" t="str">
        <f t="shared" si="9"/>
        <v/>
      </c>
      <c r="X11" s="37" t="str">
        <f t="shared" si="10"/>
        <v/>
      </c>
      <c r="Y11" s="36" t="str">
        <f t="shared" si="11"/>
        <v/>
      </c>
      <c r="Z11" s="36" t="str">
        <f>IF(B11="","",IF((E11&gt;D11),(N11+O11+P11)/넥계산기!$B$20,(N11+L11)/넥계산기!$B$20))</f>
        <v/>
      </c>
    </row>
    <row r="12" spans="1:26" ht="36" customHeight="1">
      <c r="A12" s="34"/>
      <c r="B12" s="35"/>
      <c r="C12" s="35"/>
      <c r="D12" s="35"/>
      <c r="E12" s="35"/>
      <c r="F12" s="35"/>
      <c r="G12" s="35"/>
      <c r="H12" s="35"/>
      <c r="I12" s="35"/>
      <c r="J12" s="36" t="str">
        <f>IF(B12="","",IF(I12="",B12-넥계산기!$B$13,I12))</f>
        <v/>
      </c>
      <c r="K12" s="37" t="str">
        <f t="shared" si="0"/>
        <v/>
      </c>
      <c r="L12" s="38" t="str">
        <f t="shared" si="1"/>
        <v/>
      </c>
      <c r="M12" s="38" t="str">
        <f>IF(B12="","",-(C12+넥계산기!$B$14))</f>
        <v/>
      </c>
      <c r="N12" s="38" t="str">
        <f>IF(B12="","",IF((E12&gt;D12),D12-(C12+넥계산기!$B$14),Q12-(C12+넥계산기!$B$14)))</f>
        <v/>
      </c>
      <c r="O12" s="38" t="str">
        <f t="shared" si="2"/>
        <v/>
      </c>
      <c r="P12" s="38" t="str">
        <f t="shared" si="3"/>
        <v/>
      </c>
      <c r="Q12" s="38" t="str">
        <f t="shared" si="4"/>
        <v/>
      </c>
      <c r="R12" s="38" t="str">
        <f t="shared" si="5"/>
        <v/>
      </c>
      <c r="S12" s="38" t="str">
        <f t="shared" si="6"/>
        <v/>
      </c>
      <c r="T12" s="39" t="str">
        <f>IF(B12="","",IF((E12&gt;D12),ROUNDUP(S12/넥계산기!$B$18,0),IF(((B12-J12)/2)&gt;넥계산기!$B$19,ROUNDUP(((B12-J12)/2)/넥계산기!$B$18,0),1)))</f>
        <v/>
      </c>
      <c r="U12" s="40" t="str">
        <f t="shared" si="7"/>
        <v/>
      </c>
      <c r="V12" s="40" t="str">
        <f t="shared" si="8"/>
        <v/>
      </c>
      <c r="W12" s="40" t="str">
        <f t="shared" si="9"/>
        <v/>
      </c>
      <c r="X12" s="37" t="str">
        <f t="shared" si="10"/>
        <v/>
      </c>
      <c r="Y12" s="36" t="str">
        <f t="shared" si="11"/>
        <v/>
      </c>
      <c r="Z12" s="36" t="str">
        <f>IF(B12="","",IF((E12&gt;D12),(N12+O12+P12)/넥계산기!$B$20,(N12+L12)/넥계산기!$B$20))</f>
        <v/>
      </c>
    </row>
    <row r="13" spans="1:26" ht="36" customHeight="1">
      <c r="A13" s="34"/>
      <c r="B13" s="35"/>
      <c r="C13" s="35"/>
      <c r="D13" s="35"/>
      <c r="E13" s="35"/>
      <c r="F13" s="35"/>
      <c r="G13" s="35"/>
      <c r="H13" s="35"/>
      <c r="I13" s="35"/>
      <c r="J13" s="36" t="str">
        <f>IF(B13="","",IF(I13="",B13-넥계산기!$B$13,I13))</f>
        <v/>
      </c>
      <c r="K13" s="37" t="str">
        <f t="shared" si="0"/>
        <v/>
      </c>
      <c r="L13" s="38" t="str">
        <f t="shared" si="1"/>
        <v/>
      </c>
      <c r="M13" s="38" t="str">
        <f>IF(B13="","",-(C13+넥계산기!$B$14))</f>
        <v/>
      </c>
      <c r="N13" s="38" t="str">
        <f>IF(B13="","",IF((E13&gt;D13),D13-(C13+넥계산기!$B$14),Q13-(C13+넥계산기!$B$14)))</f>
        <v/>
      </c>
      <c r="O13" s="38" t="str">
        <f t="shared" si="2"/>
        <v/>
      </c>
      <c r="P13" s="38" t="str">
        <f t="shared" si="3"/>
        <v/>
      </c>
      <c r="Q13" s="38" t="str">
        <f t="shared" si="4"/>
        <v/>
      </c>
      <c r="R13" s="38" t="str">
        <f t="shared" si="5"/>
        <v/>
      </c>
      <c r="S13" s="38" t="str">
        <f t="shared" si="6"/>
        <v/>
      </c>
      <c r="T13" s="39" t="str">
        <f>IF(B13="","",IF((E13&gt;D13),ROUNDUP(S13/넥계산기!$B$18,0),IF(((B13-J13)/2)&gt;넥계산기!$B$19,ROUNDUP(((B13-J13)/2)/넥계산기!$B$18,0),1)))</f>
        <v/>
      </c>
      <c r="U13" s="40" t="str">
        <f t="shared" si="7"/>
        <v/>
      </c>
      <c r="V13" s="40" t="str">
        <f t="shared" si="8"/>
        <v/>
      </c>
      <c r="W13" s="40" t="str">
        <f t="shared" si="9"/>
        <v/>
      </c>
      <c r="X13" s="37" t="str">
        <f t="shared" si="10"/>
        <v/>
      </c>
      <c r="Y13" s="36" t="str">
        <f t="shared" si="11"/>
        <v/>
      </c>
      <c r="Z13" s="36" t="str">
        <f>IF(B13="","",IF((E13&gt;D13),(N13+O13+P13)/넥계산기!$B$20,(N13+L13)/넥계산기!$B$20))</f>
        <v/>
      </c>
    </row>
    <row r="14" spans="1:26" ht="36" customHeight="1">
      <c r="A14" s="34"/>
      <c r="B14" s="35"/>
      <c r="C14" s="35"/>
      <c r="D14" s="35"/>
      <c r="E14" s="35"/>
      <c r="F14" s="35"/>
      <c r="G14" s="35"/>
      <c r="H14" s="35"/>
      <c r="I14" s="35"/>
      <c r="J14" s="36" t="str">
        <f>IF(B14="","",IF(I14="",B14-넥계산기!$B$13,I14))</f>
        <v/>
      </c>
      <c r="K14" s="37" t="str">
        <f t="shared" si="0"/>
        <v/>
      </c>
      <c r="L14" s="38" t="str">
        <f t="shared" si="1"/>
        <v/>
      </c>
      <c r="M14" s="38" t="str">
        <f>IF(B14="","",-(C14+넥계산기!$B$14))</f>
        <v/>
      </c>
      <c r="N14" s="38" t="str">
        <f>IF(B14="","",IF((E14&gt;D14),D14-(C14+넥계산기!$B$14),Q14-(C14+넥계산기!$B$14)))</f>
        <v/>
      </c>
      <c r="O14" s="38" t="str">
        <f t="shared" si="2"/>
        <v/>
      </c>
      <c r="P14" s="38" t="str">
        <f t="shared" si="3"/>
        <v/>
      </c>
      <c r="Q14" s="38" t="str">
        <f t="shared" si="4"/>
        <v/>
      </c>
      <c r="R14" s="38" t="str">
        <f t="shared" si="5"/>
        <v/>
      </c>
      <c r="S14" s="38" t="str">
        <f t="shared" si="6"/>
        <v/>
      </c>
      <c r="T14" s="39" t="str">
        <f>IF(B14="","",IF((E14&gt;D14),ROUNDUP(S14/넥계산기!$B$18,0),IF(((B14-J14)/2)&gt;넥계산기!$B$19,ROUNDUP(((B14-J14)/2)/넥계산기!$B$18,0),1)))</f>
        <v/>
      </c>
      <c r="U14" s="40" t="str">
        <f t="shared" si="7"/>
        <v/>
      </c>
      <c r="V14" s="40" t="str">
        <f t="shared" si="8"/>
        <v/>
      </c>
      <c r="W14" s="40" t="str">
        <f t="shared" si="9"/>
        <v/>
      </c>
      <c r="X14" s="37" t="str">
        <f t="shared" si="10"/>
        <v/>
      </c>
      <c r="Y14" s="36" t="str">
        <f t="shared" si="11"/>
        <v/>
      </c>
      <c r="Z14" s="36" t="str">
        <f>IF(B14="","",IF((E14&gt;D14),(N14+O14+P14)/넥계산기!$B$20,(N14+L14)/넥계산기!$B$20))</f>
        <v/>
      </c>
    </row>
    <row r="15" spans="1:26" ht="36" customHeight="1">
      <c r="A15" s="34"/>
      <c r="B15" s="35"/>
      <c r="C15" s="35"/>
      <c r="D15" s="35"/>
      <c r="E15" s="35"/>
      <c r="F15" s="35"/>
      <c r="G15" s="35"/>
      <c r="H15" s="35"/>
      <c r="I15" s="35"/>
      <c r="J15" s="36" t="str">
        <f>IF(B15="","",IF(I15="",B15-넥계산기!$B$13,I15))</f>
        <v/>
      </c>
      <c r="K15" s="37" t="str">
        <f t="shared" si="0"/>
        <v/>
      </c>
      <c r="L15" s="38" t="str">
        <f t="shared" si="1"/>
        <v/>
      </c>
      <c r="M15" s="38" t="str">
        <f>IF(B15="","",-(C15+넥계산기!$B$14))</f>
        <v/>
      </c>
      <c r="N15" s="38" t="str">
        <f>IF(B15="","",IF((E15&gt;D15),D15-(C15+넥계산기!$B$14),Q15-(C15+넥계산기!$B$14)))</f>
        <v/>
      </c>
      <c r="O15" s="38" t="str">
        <f t="shared" si="2"/>
        <v/>
      </c>
      <c r="P15" s="38" t="str">
        <f t="shared" si="3"/>
        <v/>
      </c>
      <c r="Q15" s="38" t="str">
        <f t="shared" si="4"/>
        <v/>
      </c>
      <c r="R15" s="38" t="str">
        <f t="shared" si="5"/>
        <v/>
      </c>
      <c r="S15" s="38" t="str">
        <f t="shared" si="6"/>
        <v/>
      </c>
      <c r="T15" s="39" t="str">
        <f>IF(B15="","",IF((E15&gt;D15),ROUNDUP(S15/넥계산기!$B$18,0),IF(((B15-J15)/2)&gt;넥계산기!$B$19,ROUNDUP(((B15-J15)/2)/넥계산기!$B$18,0),1)))</f>
        <v/>
      </c>
      <c r="U15" s="40" t="str">
        <f t="shared" si="7"/>
        <v/>
      </c>
      <c r="V15" s="40" t="str">
        <f t="shared" si="8"/>
        <v/>
      </c>
      <c r="W15" s="40" t="str">
        <f t="shared" si="9"/>
        <v/>
      </c>
      <c r="X15" s="37" t="str">
        <f t="shared" si="10"/>
        <v/>
      </c>
      <c r="Y15" s="36" t="str">
        <f t="shared" si="11"/>
        <v/>
      </c>
      <c r="Z15" s="36" t="str">
        <f>IF(B15="","",IF((E15&gt;D15),(N15+O15+P15)/넥계산기!$B$20,(N15+L15)/넥계산기!$B$20))</f>
        <v/>
      </c>
    </row>
    <row r="16" spans="1:26" ht="36" customHeight="1">
      <c r="A16" s="34"/>
      <c r="B16" s="35"/>
      <c r="C16" s="35"/>
      <c r="D16" s="35"/>
      <c r="E16" s="35"/>
      <c r="F16" s="35"/>
      <c r="G16" s="35"/>
      <c r="H16" s="35"/>
      <c r="I16" s="35"/>
      <c r="J16" s="36" t="str">
        <f>IF(B16="","",IF(I16="",B16-넥계산기!$B$13,I16))</f>
        <v/>
      </c>
      <c r="K16" s="37" t="str">
        <f t="shared" si="0"/>
        <v/>
      </c>
      <c r="L16" s="38" t="str">
        <f t="shared" si="1"/>
        <v/>
      </c>
      <c r="M16" s="38" t="str">
        <f>IF(B16="","",-(C16+넥계산기!$B$14))</f>
        <v/>
      </c>
      <c r="N16" s="38" t="str">
        <f>IF(B16="","",IF((E16&gt;D16),D16-(C16+넥계산기!$B$14),Q16-(C16+넥계산기!$B$14)))</f>
        <v/>
      </c>
      <c r="O16" s="38" t="str">
        <f t="shared" si="2"/>
        <v/>
      </c>
      <c r="P16" s="38" t="str">
        <f t="shared" si="3"/>
        <v/>
      </c>
      <c r="Q16" s="38" t="str">
        <f t="shared" si="4"/>
        <v/>
      </c>
      <c r="R16" s="38" t="str">
        <f t="shared" si="5"/>
        <v/>
      </c>
      <c r="S16" s="38" t="str">
        <f t="shared" si="6"/>
        <v/>
      </c>
      <c r="T16" s="39" t="str">
        <f>IF(B16="","",IF((E16&gt;D16),ROUNDUP(S16/넥계산기!$B$18,0),IF(((B16-J16)/2)&gt;넥계산기!$B$19,ROUNDUP(((B16-J16)/2)/넥계산기!$B$18,0),1)))</f>
        <v/>
      </c>
      <c r="U16" s="40" t="str">
        <f t="shared" si="7"/>
        <v/>
      </c>
      <c r="V16" s="40" t="str">
        <f t="shared" si="8"/>
        <v/>
      </c>
      <c r="W16" s="40" t="str">
        <f t="shared" si="9"/>
        <v/>
      </c>
      <c r="X16" s="37" t="str">
        <f t="shared" si="10"/>
        <v/>
      </c>
      <c r="Y16" s="36" t="str">
        <f t="shared" si="11"/>
        <v/>
      </c>
      <c r="Z16" s="36" t="str">
        <f>IF(B16="","",IF((E16&gt;D16),(N16+O16+P16)/넥계산기!$B$20,(N16+L16)/넥계산기!$B$20))</f>
        <v/>
      </c>
    </row>
    <row r="17" spans="1:26" ht="36" customHeight="1">
      <c r="A17" s="34"/>
      <c r="B17" s="35"/>
      <c r="C17" s="35"/>
      <c r="D17" s="35"/>
      <c r="E17" s="35"/>
      <c r="F17" s="35"/>
      <c r="G17" s="35"/>
      <c r="H17" s="35"/>
      <c r="I17" s="35"/>
      <c r="J17" s="36" t="str">
        <f>IF(B17="","",IF(I17="",B17-넥계산기!$B$13,I17))</f>
        <v/>
      </c>
      <c r="K17" s="37" t="str">
        <f t="shared" si="0"/>
        <v/>
      </c>
      <c r="L17" s="38" t="str">
        <f t="shared" si="1"/>
        <v/>
      </c>
      <c r="M17" s="38" t="str">
        <f>IF(B17="","",-(C17+넥계산기!$B$14))</f>
        <v/>
      </c>
      <c r="N17" s="38" t="str">
        <f>IF(B17="","",IF((E17&gt;D17),D17-(C17+넥계산기!$B$14),Q17-(C17+넥계산기!$B$14)))</f>
        <v/>
      </c>
      <c r="O17" s="38" t="str">
        <f t="shared" si="2"/>
        <v/>
      </c>
      <c r="P17" s="38" t="str">
        <f t="shared" si="3"/>
        <v/>
      </c>
      <c r="Q17" s="38" t="str">
        <f t="shared" si="4"/>
        <v/>
      </c>
      <c r="R17" s="38" t="str">
        <f t="shared" si="5"/>
        <v/>
      </c>
      <c r="S17" s="38" t="str">
        <f t="shared" si="6"/>
        <v/>
      </c>
      <c r="T17" s="39" t="str">
        <f>IF(B17="","",IF((E17&gt;D17),ROUNDUP(S17/넥계산기!$B$18,0),IF(((B17-J17)/2)&gt;넥계산기!$B$19,ROUNDUP(((B17-J17)/2)/넥계산기!$B$18,0),1)))</f>
        <v/>
      </c>
      <c r="U17" s="40" t="str">
        <f t="shared" si="7"/>
        <v/>
      </c>
      <c r="V17" s="40" t="str">
        <f t="shared" si="8"/>
        <v/>
      </c>
      <c r="W17" s="40" t="str">
        <f t="shared" si="9"/>
        <v/>
      </c>
      <c r="X17" s="37" t="str">
        <f t="shared" si="10"/>
        <v/>
      </c>
      <c r="Y17" s="36" t="str">
        <f t="shared" si="11"/>
        <v/>
      </c>
      <c r="Z17" s="36" t="str">
        <f>IF(B17="","",IF((E17&gt;D17),(N17+O17+P17)/넥계산기!$B$20,(N17+L17)/넥계산기!$B$20))</f>
        <v/>
      </c>
    </row>
    <row r="18" spans="1:26" ht="36" customHeight="1">
      <c r="A18" s="34"/>
      <c r="B18" s="35"/>
      <c r="C18" s="35"/>
      <c r="D18" s="35"/>
      <c r="E18" s="35"/>
      <c r="F18" s="35"/>
      <c r="G18" s="35"/>
      <c r="H18" s="35"/>
      <c r="I18" s="35"/>
      <c r="J18" s="36" t="str">
        <f>IF(B18="","",IF(I18="",B18-넥계산기!$B$13,I18))</f>
        <v/>
      </c>
      <c r="K18" s="37" t="str">
        <f t="shared" si="0"/>
        <v/>
      </c>
      <c r="L18" s="38" t="str">
        <f t="shared" si="1"/>
        <v/>
      </c>
      <c r="M18" s="38" t="str">
        <f>IF(B18="","",-(C18+넥계산기!$B$14))</f>
        <v/>
      </c>
      <c r="N18" s="38" t="str">
        <f>IF(B18="","",IF((E18&gt;D18),D18-(C18+넥계산기!$B$14),Q18-(C18+넥계산기!$B$14)))</f>
        <v/>
      </c>
      <c r="O18" s="38" t="str">
        <f t="shared" si="2"/>
        <v/>
      </c>
      <c r="P18" s="38" t="str">
        <f t="shared" si="3"/>
        <v/>
      </c>
      <c r="Q18" s="38" t="str">
        <f t="shared" si="4"/>
        <v/>
      </c>
      <c r="R18" s="38" t="str">
        <f t="shared" si="5"/>
        <v/>
      </c>
      <c r="S18" s="38" t="str">
        <f t="shared" si="6"/>
        <v/>
      </c>
      <c r="T18" s="39" t="str">
        <f>IF(B18="","",IF((E18&gt;D18),ROUNDUP(S18/넥계산기!$B$18,0),IF(((B18-J18)/2)&gt;넥계산기!$B$19,ROUNDUP(((B18-J18)/2)/넥계산기!$B$18,0),1)))</f>
        <v/>
      </c>
      <c r="U18" s="40" t="str">
        <f t="shared" si="7"/>
        <v/>
      </c>
      <c r="V18" s="40" t="str">
        <f t="shared" si="8"/>
        <v/>
      </c>
      <c r="W18" s="40" t="str">
        <f t="shared" si="9"/>
        <v/>
      </c>
      <c r="X18" s="37" t="str">
        <f t="shared" si="10"/>
        <v/>
      </c>
      <c r="Y18" s="36" t="str">
        <f t="shared" si="11"/>
        <v/>
      </c>
      <c r="Z18" s="36" t="str">
        <f>IF(B18="","",IF((E18&gt;D18),(N18+O18+P18)/넥계산기!$B$20,(N18+L18)/넥계산기!$B$20))</f>
        <v/>
      </c>
    </row>
    <row r="19" spans="1:26" ht="36" customHeight="1">
      <c r="A19" s="34"/>
      <c r="B19" s="35"/>
      <c r="C19" s="35"/>
      <c r="D19" s="35"/>
      <c r="E19" s="35"/>
      <c r="F19" s="35"/>
      <c r="G19" s="35"/>
      <c r="H19" s="35"/>
      <c r="I19" s="35"/>
      <c r="J19" s="36" t="str">
        <f>IF(B19="","",IF(I19="",B19-넥계산기!$B$13,I19))</f>
        <v/>
      </c>
      <c r="K19" s="37" t="str">
        <f t="shared" si="0"/>
        <v/>
      </c>
      <c r="L19" s="38" t="str">
        <f t="shared" si="1"/>
        <v/>
      </c>
      <c r="M19" s="38" t="str">
        <f>IF(B19="","",-(C19+넥계산기!$B$14))</f>
        <v/>
      </c>
      <c r="N19" s="38" t="str">
        <f>IF(B19="","",IF((E19&gt;D19),D19-(C19+넥계산기!$B$14),Q19-(C19+넥계산기!$B$14)))</f>
        <v/>
      </c>
      <c r="O19" s="38" t="str">
        <f t="shared" si="2"/>
        <v/>
      </c>
      <c r="P19" s="38" t="str">
        <f t="shared" si="3"/>
        <v/>
      </c>
      <c r="Q19" s="38" t="str">
        <f t="shared" si="4"/>
        <v/>
      </c>
      <c r="R19" s="38" t="str">
        <f t="shared" si="5"/>
        <v/>
      </c>
      <c r="S19" s="38" t="str">
        <f t="shared" si="6"/>
        <v/>
      </c>
      <c r="T19" s="39" t="str">
        <f>IF(B19="","",IF((E19&gt;D19),ROUNDUP(S19/넥계산기!$B$18,0),IF(((B19-J19)/2)&gt;넥계산기!$B$19,ROUNDUP(((B19-J19)/2)/넥계산기!$B$18,0),1)))</f>
        <v/>
      </c>
      <c r="U19" s="40" t="str">
        <f t="shared" si="7"/>
        <v/>
      </c>
      <c r="V19" s="40" t="str">
        <f t="shared" si="8"/>
        <v/>
      </c>
      <c r="W19" s="40" t="str">
        <f t="shared" si="9"/>
        <v/>
      </c>
      <c r="X19" s="37" t="str">
        <f t="shared" si="10"/>
        <v/>
      </c>
      <c r="Y19" s="36" t="str">
        <f t="shared" si="11"/>
        <v/>
      </c>
      <c r="Z19" s="36" t="str">
        <f>IF(B19="","",IF((E19&gt;D19),(N19+O19+P19)/넥계산기!$B$20,(N19+L19)/넥계산기!$B$20))</f>
        <v/>
      </c>
    </row>
    <row r="20" spans="1:26" ht="36" customHeight="1">
      <c r="A20" s="34"/>
      <c r="B20" s="35"/>
      <c r="C20" s="35"/>
      <c r="D20" s="35"/>
      <c r="E20" s="35"/>
      <c r="F20" s="35"/>
      <c r="G20" s="35"/>
      <c r="H20" s="35"/>
      <c r="I20" s="35"/>
      <c r="J20" s="36" t="str">
        <f>IF(B20="","",IF(I20="",B20-넥계산기!$B$13,I20))</f>
        <v/>
      </c>
      <c r="K20" s="37" t="str">
        <f t="shared" si="0"/>
        <v/>
      </c>
      <c r="L20" s="38" t="str">
        <f t="shared" si="1"/>
        <v/>
      </c>
      <c r="M20" s="38" t="str">
        <f>IF(B20="","",-(C20+넥계산기!$B$14))</f>
        <v/>
      </c>
      <c r="N20" s="38" t="str">
        <f>IF(B20="","",IF((E20&gt;D20),D20-(C20+넥계산기!$B$14),Q20-(C20+넥계산기!$B$14)))</f>
        <v/>
      </c>
      <c r="O20" s="38" t="str">
        <f t="shared" si="2"/>
        <v/>
      </c>
      <c r="P20" s="38" t="str">
        <f t="shared" si="3"/>
        <v/>
      </c>
      <c r="Q20" s="38" t="str">
        <f t="shared" si="4"/>
        <v/>
      </c>
      <c r="R20" s="38" t="str">
        <f t="shared" si="5"/>
        <v/>
      </c>
      <c r="S20" s="38" t="str">
        <f t="shared" si="6"/>
        <v/>
      </c>
      <c r="T20" s="39" t="str">
        <f>IF(B20="","",IF((E20&gt;D20),ROUNDUP(S20/넥계산기!$B$18,0),IF(((B20-J20)/2)&gt;넥계산기!$B$19,ROUNDUP(((B20-J20)/2)/넥계산기!$B$18,0),1)))</f>
        <v/>
      </c>
      <c r="U20" s="40" t="str">
        <f t="shared" si="7"/>
        <v/>
      </c>
      <c r="V20" s="40" t="str">
        <f t="shared" si="8"/>
        <v/>
      </c>
      <c r="W20" s="40" t="str">
        <f t="shared" si="9"/>
        <v/>
      </c>
      <c r="X20" s="37" t="str">
        <f t="shared" si="10"/>
        <v/>
      </c>
      <c r="Y20" s="36" t="str">
        <f t="shared" si="11"/>
        <v/>
      </c>
      <c r="Z20" s="36" t="str">
        <f>IF(B20="","",IF((E20&gt;D20),(N20+O20+P20)/넥계산기!$B$20,(N20+L20)/넥계산기!$B$20))</f>
        <v/>
      </c>
    </row>
    <row r="21" spans="1:26" ht="36" customHeight="1">
      <c r="A21" s="34"/>
      <c r="B21" s="35"/>
      <c r="C21" s="35"/>
      <c r="D21" s="35"/>
      <c r="E21" s="35"/>
      <c r="F21" s="35"/>
      <c r="G21" s="35"/>
      <c r="H21" s="35"/>
      <c r="I21" s="35"/>
      <c r="J21" s="36" t="str">
        <f>IF(B21="","",IF(I21="",B21-넥계산기!$B$13,I21))</f>
        <v/>
      </c>
      <c r="K21" s="37" t="str">
        <f t="shared" si="0"/>
        <v/>
      </c>
      <c r="L21" s="38" t="str">
        <f t="shared" si="1"/>
        <v/>
      </c>
      <c r="M21" s="38" t="str">
        <f>IF(B21="","",-(C21+넥계산기!$B$14))</f>
        <v/>
      </c>
      <c r="N21" s="38" t="str">
        <f>IF(B21="","",IF((E21&gt;D21),D21-(C21+넥계산기!$B$14),Q21-(C21+넥계산기!$B$14)))</f>
        <v/>
      </c>
      <c r="O21" s="38" t="str">
        <f t="shared" si="2"/>
        <v/>
      </c>
      <c r="P21" s="38" t="str">
        <f t="shared" si="3"/>
        <v/>
      </c>
      <c r="Q21" s="38" t="str">
        <f t="shared" si="4"/>
        <v/>
      </c>
      <c r="R21" s="38" t="str">
        <f t="shared" si="5"/>
        <v/>
      </c>
      <c r="S21" s="38" t="str">
        <f t="shared" si="6"/>
        <v/>
      </c>
      <c r="T21" s="39" t="str">
        <f>IF(B21="","",IF((E21&gt;D21),ROUNDUP(S21/넥계산기!$B$18,0),IF(((B21-J21)/2)&gt;넥계산기!$B$19,ROUNDUP(((B21-J21)/2)/넥계산기!$B$18,0),1)))</f>
        <v/>
      </c>
      <c r="U21" s="40" t="str">
        <f t="shared" si="7"/>
        <v/>
      </c>
      <c r="V21" s="40" t="str">
        <f t="shared" si="8"/>
        <v/>
      </c>
      <c r="W21" s="40" t="str">
        <f t="shared" si="9"/>
        <v/>
      </c>
      <c r="X21" s="37" t="str">
        <f t="shared" si="10"/>
        <v/>
      </c>
      <c r="Y21" s="36" t="str">
        <f t="shared" si="11"/>
        <v/>
      </c>
      <c r="Z21" s="36" t="str">
        <f>IF(B21="","",IF((E21&gt;D21),(N21+O21+P21)/넥계산기!$B$20,(N21+L21)/넥계산기!$B$20))</f>
        <v/>
      </c>
    </row>
    <row r="22" spans="1:26" ht="36" customHeight="1">
      <c r="A22" s="34"/>
      <c r="B22" s="35"/>
      <c r="C22" s="35"/>
      <c r="D22" s="35"/>
      <c r="E22" s="35"/>
      <c r="F22" s="35"/>
      <c r="G22" s="35"/>
      <c r="H22" s="35"/>
      <c r="I22" s="35"/>
      <c r="J22" s="36" t="str">
        <f>IF(B22="","",IF(I22="",B22-넥계산기!$B$13,I22))</f>
        <v/>
      </c>
      <c r="K22" s="37" t="str">
        <f t="shared" si="0"/>
        <v/>
      </c>
      <c r="L22" s="38" t="str">
        <f t="shared" si="1"/>
        <v/>
      </c>
      <c r="M22" s="38" t="str">
        <f>IF(B22="","",-(C22+넥계산기!$B$14))</f>
        <v/>
      </c>
      <c r="N22" s="38" t="str">
        <f>IF(B22="","",IF((E22&gt;D22),D22-(C22+넥계산기!$B$14),Q22-(C22+넥계산기!$B$14)))</f>
        <v/>
      </c>
      <c r="O22" s="38" t="str">
        <f t="shared" si="2"/>
        <v/>
      </c>
      <c r="P22" s="38" t="str">
        <f t="shared" si="3"/>
        <v/>
      </c>
      <c r="Q22" s="38" t="str">
        <f t="shared" si="4"/>
        <v/>
      </c>
      <c r="R22" s="38" t="str">
        <f t="shared" si="5"/>
        <v/>
      </c>
      <c r="S22" s="38" t="str">
        <f t="shared" si="6"/>
        <v/>
      </c>
      <c r="T22" s="39" t="str">
        <f>IF(B22="","",IF((E22&gt;D22),ROUNDUP(S22/넥계산기!$B$18,0),IF(((B22-J22)/2)&gt;넥계산기!$B$19,ROUNDUP(((B22-J22)/2)/넥계산기!$B$18,0),1)))</f>
        <v/>
      </c>
      <c r="U22" s="40" t="str">
        <f t="shared" si="7"/>
        <v/>
      </c>
      <c r="V22" s="40" t="str">
        <f t="shared" si="8"/>
        <v/>
      </c>
      <c r="W22" s="40" t="str">
        <f t="shared" si="9"/>
        <v/>
      </c>
      <c r="X22" s="37" t="str">
        <f t="shared" si="10"/>
        <v/>
      </c>
      <c r="Y22" s="36" t="str">
        <f t="shared" si="11"/>
        <v/>
      </c>
      <c r="Z22" s="36" t="str">
        <f>IF(B22="","",IF((E22&gt;D22),(N22+O22+P22)/넥계산기!$B$20,(N22+L22)/넥계산기!$B$20))</f>
        <v/>
      </c>
    </row>
    <row r="23" spans="1:26" ht="36" customHeight="1">
      <c r="A23" s="34"/>
      <c r="B23" s="35"/>
      <c r="C23" s="35"/>
      <c r="D23" s="35"/>
      <c r="E23" s="35"/>
      <c r="F23" s="35"/>
      <c r="G23" s="35"/>
      <c r="H23" s="35"/>
      <c r="I23" s="35"/>
      <c r="J23" s="36" t="str">
        <f>IF(B23="","",IF(I23="",B23-넥계산기!$B$13,I23))</f>
        <v/>
      </c>
      <c r="K23" s="37" t="str">
        <f t="shared" si="0"/>
        <v/>
      </c>
      <c r="L23" s="38" t="str">
        <f t="shared" si="1"/>
        <v/>
      </c>
      <c r="M23" s="38" t="str">
        <f>IF(B23="","",-(C23+넥계산기!$B$14))</f>
        <v/>
      </c>
      <c r="N23" s="38" t="str">
        <f>IF(B23="","",IF((E23&gt;D23),D23-(C23+넥계산기!$B$14),Q23-(C23+넥계산기!$B$14)))</f>
        <v/>
      </c>
      <c r="O23" s="38" t="str">
        <f t="shared" si="2"/>
        <v/>
      </c>
      <c r="P23" s="38" t="str">
        <f t="shared" si="3"/>
        <v/>
      </c>
      <c r="Q23" s="38" t="str">
        <f t="shared" si="4"/>
        <v/>
      </c>
      <c r="R23" s="38" t="str">
        <f t="shared" si="5"/>
        <v/>
      </c>
      <c r="S23" s="38" t="str">
        <f t="shared" si="6"/>
        <v/>
      </c>
      <c r="T23" s="39" t="str">
        <f>IF(B23="","",IF((E23&gt;D23),ROUNDUP(S23/넥계산기!$B$18,0),IF(((B23-J23)/2)&gt;넥계산기!$B$19,ROUNDUP(((B23-J23)/2)/넥계산기!$B$18,0),1)))</f>
        <v/>
      </c>
      <c r="U23" s="40" t="str">
        <f t="shared" si="7"/>
        <v/>
      </c>
      <c r="V23" s="40" t="str">
        <f t="shared" si="8"/>
        <v/>
      </c>
      <c r="W23" s="40" t="str">
        <f t="shared" si="9"/>
        <v/>
      </c>
      <c r="X23" s="37" t="str">
        <f t="shared" si="10"/>
        <v/>
      </c>
      <c r="Y23" s="36" t="str">
        <f t="shared" si="11"/>
        <v/>
      </c>
      <c r="Z23" s="36" t="str">
        <f>IF(B23="","",IF((E23&gt;D23),(N23+O23+P23)/넥계산기!$B$20,(N23+L23)/넥계산기!$B$20))</f>
        <v/>
      </c>
    </row>
    <row r="24" spans="1:26" ht="36" customHeight="1">
      <c r="A24" s="34"/>
      <c r="B24" s="35"/>
      <c r="C24" s="35"/>
      <c r="D24" s="35"/>
      <c r="E24" s="35"/>
      <c r="F24" s="35"/>
      <c r="G24" s="35"/>
      <c r="H24" s="35"/>
      <c r="I24" s="35"/>
      <c r="J24" s="36" t="str">
        <f>IF(B24="","",IF(I24="",B24-넥계산기!$B$13,I24))</f>
        <v/>
      </c>
      <c r="K24" s="37" t="str">
        <f t="shared" si="0"/>
        <v/>
      </c>
      <c r="L24" s="38" t="str">
        <f t="shared" si="1"/>
        <v/>
      </c>
      <c r="M24" s="38" t="str">
        <f>IF(B24="","",-(C24+넥계산기!$B$14))</f>
        <v/>
      </c>
      <c r="N24" s="38" t="str">
        <f>IF(B24="","",IF((E24&gt;D24),D24-(C24+넥계산기!$B$14),Q24-(C24+넥계산기!$B$14)))</f>
        <v/>
      </c>
      <c r="O24" s="38" t="str">
        <f t="shared" si="2"/>
        <v/>
      </c>
      <c r="P24" s="38" t="str">
        <f t="shared" si="3"/>
        <v/>
      </c>
      <c r="Q24" s="38" t="str">
        <f t="shared" si="4"/>
        <v/>
      </c>
      <c r="R24" s="38" t="str">
        <f t="shared" si="5"/>
        <v/>
      </c>
      <c r="S24" s="38" t="str">
        <f t="shared" si="6"/>
        <v/>
      </c>
      <c r="T24" s="39" t="str">
        <f>IF(B24="","",IF((E24&gt;D24),ROUNDUP(S24/넥계산기!$B$18,0),IF(((B24-J24)/2)&gt;넥계산기!$B$19,ROUNDUP(((B24-J24)/2)/넥계산기!$B$18,0),1)))</f>
        <v/>
      </c>
      <c r="U24" s="40" t="str">
        <f t="shared" si="7"/>
        <v/>
      </c>
      <c r="V24" s="40" t="str">
        <f t="shared" si="8"/>
        <v/>
      </c>
      <c r="W24" s="40" t="str">
        <f t="shared" si="9"/>
        <v/>
      </c>
      <c r="X24" s="37" t="str">
        <f t="shared" si="10"/>
        <v/>
      </c>
      <c r="Y24" s="36" t="str">
        <f t="shared" si="11"/>
        <v/>
      </c>
      <c r="Z24" s="36" t="str">
        <f>IF(B24="","",IF((E24&gt;D24),(N24+O24+P24)/넥계산기!$B$20,(N24+L24)/넥계산기!$B$20))</f>
        <v/>
      </c>
    </row>
    <row r="25" spans="1:26" ht="36" customHeight="1">
      <c r="A25" s="34"/>
      <c r="B25" s="35"/>
      <c r="C25" s="35"/>
      <c r="D25" s="35"/>
      <c r="E25" s="35"/>
      <c r="F25" s="35"/>
      <c r="G25" s="35"/>
      <c r="H25" s="35"/>
      <c r="I25" s="35"/>
      <c r="J25" s="36" t="str">
        <f>IF(B25="","",IF(I25="",B25-넥계산기!$B$13,I25))</f>
        <v/>
      </c>
      <c r="K25" s="37" t="str">
        <f t="shared" si="0"/>
        <v/>
      </c>
      <c r="L25" s="38" t="str">
        <f t="shared" si="1"/>
        <v/>
      </c>
      <c r="M25" s="38" t="str">
        <f>IF(B25="","",-(C25+넥계산기!$B$14))</f>
        <v/>
      </c>
      <c r="N25" s="38" t="str">
        <f>IF(B25="","",IF((E25&gt;D25),D25-(C25+넥계산기!$B$14),Q25-(C25+넥계산기!$B$14)))</f>
        <v/>
      </c>
      <c r="O25" s="38" t="str">
        <f t="shared" si="2"/>
        <v/>
      </c>
      <c r="P25" s="38" t="str">
        <f t="shared" si="3"/>
        <v/>
      </c>
      <c r="Q25" s="38" t="str">
        <f t="shared" si="4"/>
        <v/>
      </c>
      <c r="R25" s="38" t="str">
        <f t="shared" si="5"/>
        <v/>
      </c>
      <c r="S25" s="38" t="str">
        <f t="shared" si="6"/>
        <v/>
      </c>
      <c r="T25" s="39" t="str">
        <f>IF(B25="","",IF((E25&gt;D25),ROUNDUP(S25/넥계산기!$B$18,0),IF(((B25-J25)/2)&gt;넥계산기!$B$19,ROUNDUP(((B25-J25)/2)/넥계산기!$B$18,0),1)))</f>
        <v/>
      </c>
      <c r="U25" s="40" t="str">
        <f t="shared" si="7"/>
        <v/>
      </c>
      <c r="V25" s="40" t="str">
        <f t="shared" si="8"/>
        <v/>
      </c>
      <c r="W25" s="40" t="str">
        <f t="shared" si="9"/>
        <v/>
      </c>
      <c r="X25" s="37" t="str">
        <f t="shared" si="10"/>
        <v/>
      </c>
      <c r="Y25" s="36" t="str">
        <f t="shared" si="11"/>
        <v/>
      </c>
      <c r="Z25" s="36" t="str">
        <f>IF(B25="","",IF((E25&gt;D25),(N25+O25+P25)/넥계산기!$B$20,(N25+L25)/넥계산기!$B$20))</f>
        <v/>
      </c>
    </row>
  </sheetData>
  <mergeCells count="6">
    <mergeCell ref="A2:Z2"/>
    <mergeCell ref="B3:C3"/>
    <mergeCell ref="E3:F3"/>
    <mergeCell ref="H3:I3"/>
    <mergeCell ref="K3:L3"/>
    <mergeCell ref="N3:O3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59"/>
  <sheetViews>
    <sheetView zoomScaleNormal="100" workbookViewId="0"/>
  </sheetViews>
  <sheetFormatPr defaultColWidth="8.7109375" defaultRowHeight="15"/>
  <cols>
    <col min="1" max="1" width="3" customWidth="1"/>
  </cols>
  <sheetData>
    <row r="1" spans="2:2" ht="33.75" customHeight="1">
      <c r="B1" s="7" t="s">
        <v>159</v>
      </c>
    </row>
    <row r="2" spans="2:2" ht="19.5" customHeight="1">
      <c r="B2" s="42" t="s">
        <v>160</v>
      </c>
    </row>
    <row r="3" spans="2:2" ht="19.5" customHeight="1"/>
    <row r="4" spans="2:2" ht="19.5" customHeight="1">
      <c r="B4" s="8" t="s">
        <v>161</v>
      </c>
    </row>
    <row r="5" spans="2:2" ht="19.5" customHeight="1">
      <c r="B5" s="16" t="s">
        <v>162</v>
      </c>
    </row>
    <row r="6" spans="2:2" ht="19.5" customHeight="1"/>
    <row r="7" spans="2:2" ht="19.5" customHeight="1"/>
    <row r="8" spans="2:2" ht="19.5" customHeight="1"/>
    <row r="9" spans="2:2" ht="19.5" customHeight="1"/>
    <row r="10" spans="2:2" ht="19.5" customHeight="1"/>
    <row r="11" spans="2:2" ht="19.5" customHeight="1"/>
    <row r="12" spans="2:2" ht="19.5" customHeight="1"/>
    <row r="13" spans="2:2" ht="19.5" customHeight="1"/>
    <row r="14" spans="2:2" ht="19.5" customHeight="1"/>
    <row r="15" spans="2:2" ht="19.5" customHeight="1"/>
    <row r="16" spans="2:2" ht="19.5" customHeight="1"/>
    <row r="17" spans="2:2" ht="19.5" customHeight="1"/>
    <row r="18" spans="2:2" ht="19.5" customHeight="1"/>
    <row r="19" spans="2:2" ht="19.5" customHeight="1"/>
    <row r="20" spans="2:2" ht="19.5" customHeight="1"/>
    <row r="21" spans="2:2" ht="19.5" customHeight="1"/>
    <row r="22" spans="2:2" ht="19.5" customHeight="1"/>
    <row r="23" spans="2:2" ht="19.5" customHeight="1"/>
    <row r="24" spans="2:2" ht="19.5" customHeight="1"/>
    <row r="25" spans="2:2" ht="19.5" customHeight="1"/>
    <row r="26" spans="2:2" ht="19.5" customHeight="1">
      <c r="B26" s="8" t="s">
        <v>163</v>
      </c>
    </row>
    <row r="27" spans="2:2" ht="19.5" customHeight="1">
      <c r="B27" s="16" t="s">
        <v>164</v>
      </c>
    </row>
    <row r="28" spans="2:2" ht="19.5" customHeight="1"/>
    <row r="29" spans="2:2" ht="19.5" customHeight="1"/>
    <row r="30" spans="2:2" ht="19.5" customHeight="1"/>
    <row r="31" spans="2:2" ht="19.5" customHeight="1"/>
    <row r="32" spans="2: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phoneticPr fontId="21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Normal="100" workbookViewId="0">
      <selection activeCell="B15" sqref="B15"/>
    </sheetView>
  </sheetViews>
  <sheetFormatPr defaultColWidth="8.7109375" defaultRowHeight="15"/>
  <cols>
    <col min="1" max="1" width="30" customWidth="1"/>
    <col min="2" max="2" width="70" customWidth="1"/>
    <col min="3" max="3" width="26" customWidth="1"/>
    <col min="4" max="4" width="34" customWidth="1"/>
  </cols>
  <sheetData>
    <row r="1" spans="1:4" ht="33.75">
      <c r="A1" s="7" t="s">
        <v>165</v>
      </c>
    </row>
    <row r="3" spans="1:4" ht="24" customHeight="1">
      <c r="A3" s="43" t="s">
        <v>166</v>
      </c>
      <c r="B3" s="43" t="s">
        <v>167</v>
      </c>
      <c r="C3" s="43" t="s">
        <v>168</v>
      </c>
      <c r="D3" s="43" t="s">
        <v>169</v>
      </c>
    </row>
    <row r="4" spans="1:4" ht="48" customHeight="1">
      <c r="A4" s="44" t="s">
        <v>170</v>
      </c>
      <c r="B4" s="45" t="s">
        <v>171</v>
      </c>
      <c r="C4" s="46" t="s">
        <v>172</v>
      </c>
      <c r="D4" s="45" t="s">
        <v>173</v>
      </c>
    </row>
    <row r="5" spans="1:4" ht="48" customHeight="1">
      <c r="A5" s="47" t="s">
        <v>174</v>
      </c>
      <c r="B5" s="45" t="s">
        <v>175</v>
      </c>
      <c r="C5" s="46" t="s">
        <v>176</v>
      </c>
      <c r="D5" s="45" t="s">
        <v>177</v>
      </c>
    </row>
    <row r="6" spans="1:4" ht="48" customHeight="1">
      <c r="A6" s="47" t="s">
        <v>141</v>
      </c>
      <c r="B6" s="45" t="s">
        <v>178</v>
      </c>
      <c r="C6" s="46" t="s">
        <v>179</v>
      </c>
      <c r="D6" s="45" t="s">
        <v>180</v>
      </c>
    </row>
    <row r="7" spans="1:4" ht="48" customHeight="1">
      <c r="A7" s="44" t="s">
        <v>181</v>
      </c>
      <c r="B7" s="45" t="s">
        <v>182</v>
      </c>
      <c r="C7" s="46" t="s">
        <v>183</v>
      </c>
      <c r="D7" s="45" t="s">
        <v>184</v>
      </c>
    </row>
    <row r="8" spans="1:4" ht="48" customHeight="1">
      <c r="A8" s="44" t="s">
        <v>185</v>
      </c>
      <c r="B8" s="45" t="s">
        <v>186</v>
      </c>
      <c r="C8" s="46" t="s">
        <v>176</v>
      </c>
      <c r="D8" s="45" t="s">
        <v>187</v>
      </c>
    </row>
    <row r="9" spans="1:4" ht="48" customHeight="1">
      <c r="A9" s="47" t="s">
        <v>188</v>
      </c>
      <c r="B9" s="45" t="s">
        <v>189</v>
      </c>
      <c r="C9" s="46" t="s">
        <v>176</v>
      </c>
      <c r="D9" s="45"/>
    </row>
    <row r="10" spans="1:4" ht="48" customHeight="1">
      <c r="A10" s="47" t="s">
        <v>75</v>
      </c>
      <c r="B10" s="45" t="s">
        <v>190</v>
      </c>
      <c r="C10" s="46" t="s">
        <v>191</v>
      </c>
      <c r="D10" s="45" t="s">
        <v>192</v>
      </c>
    </row>
    <row r="11" spans="1:4" ht="48" customHeight="1">
      <c r="A11" s="47" t="s">
        <v>77</v>
      </c>
      <c r="B11" s="45" t="s">
        <v>193</v>
      </c>
      <c r="C11" s="46" t="s">
        <v>194</v>
      </c>
      <c r="D11" s="46" t="s">
        <v>195</v>
      </c>
    </row>
    <row r="12" spans="1:4" ht="48" customHeight="1">
      <c r="A12" s="47" t="s">
        <v>78</v>
      </c>
      <c r="B12" s="45" t="s">
        <v>196</v>
      </c>
      <c r="C12" s="46" t="s">
        <v>197</v>
      </c>
      <c r="D12" s="46" t="s">
        <v>195</v>
      </c>
    </row>
    <row r="13" spans="1:4" ht="48" customHeight="1">
      <c r="A13" s="44" t="s">
        <v>147</v>
      </c>
      <c r="B13" s="46" t="s">
        <v>198</v>
      </c>
      <c r="C13" s="46" t="s">
        <v>176</v>
      </c>
      <c r="D13" s="45"/>
    </row>
    <row r="14" spans="1:4" ht="48" customHeight="1">
      <c r="A14" s="44" t="s">
        <v>148</v>
      </c>
      <c r="B14" s="45" t="s">
        <v>199</v>
      </c>
      <c r="C14" s="46" t="s">
        <v>200</v>
      </c>
      <c r="D14" s="45" t="s">
        <v>187</v>
      </c>
    </row>
    <row r="15" spans="1:4" ht="48" customHeight="1">
      <c r="A15" s="44" t="s">
        <v>201</v>
      </c>
      <c r="B15" s="45" t="s">
        <v>202</v>
      </c>
      <c r="C15" s="46" t="s">
        <v>203</v>
      </c>
      <c r="D15" s="45" t="s">
        <v>204</v>
      </c>
    </row>
    <row r="16" spans="1:4" ht="48" customHeight="1">
      <c r="A16" s="44" t="s">
        <v>205</v>
      </c>
      <c r="B16" s="45" t="s">
        <v>206</v>
      </c>
      <c r="C16" s="46" t="s">
        <v>207</v>
      </c>
      <c r="D16" s="46" t="s">
        <v>208</v>
      </c>
    </row>
    <row r="17" spans="1:4" ht="48" customHeight="1">
      <c r="A17" s="47" t="s">
        <v>209</v>
      </c>
      <c r="B17" s="45" t="s">
        <v>210</v>
      </c>
      <c r="C17" s="46" t="s">
        <v>211</v>
      </c>
      <c r="D17" s="45" t="s">
        <v>212</v>
      </c>
    </row>
    <row r="18" spans="1:4" ht="48" customHeight="1">
      <c r="A18" s="44" t="s">
        <v>213</v>
      </c>
      <c r="B18" s="46" t="s">
        <v>214</v>
      </c>
      <c r="C18" s="46" t="s">
        <v>194</v>
      </c>
      <c r="D18" s="45" t="s">
        <v>215</v>
      </c>
    </row>
    <row r="19" spans="1:4" ht="48" customHeight="1">
      <c r="A19" s="48"/>
      <c r="B19" s="49"/>
      <c r="C19" s="49"/>
      <c r="D19" s="49"/>
    </row>
    <row r="20" spans="1:4" ht="48" customHeight="1">
      <c r="A20" s="44" t="s">
        <v>216</v>
      </c>
      <c r="B20" s="45" t="s">
        <v>217</v>
      </c>
      <c r="C20" s="46" t="s">
        <v>218</v>
      </c>
      <c r="D20" s="45" t="s">
        <v>219</v>
      </c>
    </row>
    <row r="21" spans="1:4" ht="48" customHeight="1">
      <c r="A21" s="44" t="s">
        <v>220</v>
      </c>
      <c r="B21" s="45" t="s">
        <v>221</v>
      </c>
      <c r="C21" s="46" t="s">
        <v>218</v>
      </c>
      <c r="D21" s="46" t="s">
        <v>222</v>
      </c>
    </row>
    <row r="22" spans="1:4" ht="48" customHeight="1">
      <c r="A22" s="48"/>
      <c r="B22" s="49"/>
      <c r="C22" s="49"/>
      <c r="D22" s="49"/>
    </row>
    <row r="23" spans="1:4" ht="48" customHeight="1">
      <c r="A23" s="44" t="s">
        <v>223</v>
      </c>
      <c r="B23" s="45" t="s">
        <v>224</v>
      </c>
      <c r="C23" s="45"/>
      <c r="D23" s="45" t="s">
        <v>225</v>
      </c>
    </row>
    <row r="24" spans="1:4" ht="48" customHeight="1">
      <c r="A24" s="44" t="s">
        <v>226</v>
      </c>
      <c r="B24" s="45" t="s">
        <v>227</v>
      </c>
      <c r="C24" s="45"/>
      <c r="D24" s="45" t="s">
        <v>228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Normal="100" workbookViewId="0"/>
  </sheetViews>
  <sheetFormatPr defaultColWidth="8.7109375" defaultRowHeight="15"/>
  <cols>
    <col min="1" max="1" width="14" customWidth="1"/>
    <col min="2" max="2" width="70" customWidth="1"/>
    <col min="3" max="3" width="30" customWidth="1"/>
    <col min="4" max="4" width="16" customWidth="1"/>
  </cols>
  <sheetData>
    <row r="1" spans="1:4" ht="33.75">
      <c r="A1" s="7" t="s">
        <v>229</v>
      </c>
    </row>
    <row r="3" spans="1:4" ht="16.5">
      <c r="A3" s="50" t="s">
        <v>230</v>
      </c>
      <c r="B3" s="50" t="s">
        <v>231</v>
      </c>
      <c r="C3" s="50" t="s">
        <v>232</v>
      </c>
      <c r="D3" s="50" t="s">
        <v>233</v>
      </c>
    </row>
    <row r="4" spans="1:4" ht="39.75" customHeight="1">
      <c r="A4" s="45" t="s">
        <v>234</v>
      </c>
      <c r="B4" s="45" t="s">
        <v>235</v>
      </c>
      <c r="C4" s="46" t="s">
        <v>236</v>
      </c>
      <c r="D4" s="46" t="s">
        <v>237</v>
      </c>
    </row>
    <row r="5" spans="1:4" ht="69.75" customHeight="1">
      <c r="A5" s="45" t="s">
        <v>234</v>
      </c>
      <c r="B5" s="45" t="s">
        <v>238</v>
      </c>
      <c r="C5" s="46" t="s">
        <v>239</v>
      </c>
      <c r="D5" s="46" t="s">
        <v>237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Normal="100" workbookViewId="0"/>
  </sheetViews>
  <sheetFormatPr defaultColWidth="8.7109375" defaultRowHeight="15"/>
  <cols>
    <col min="1" max="1" width="26" customWidth="1"/>
    <col min="2" max="2" width="12" customWidth="1"/>
    <col min="3" max="3" width="4" customWidth="1"/>
    <col min="4" max="9" width="12" customWidth="1"/>
  </cols>
  <sheetData>
    <row r="1" spans="1:9" ht="24">
      <c r="A1" s="8" t="s">
        <v>240</v>
      </c>
    </row>
    <row r="3" spans="1:9" ht="19.5">
      <c r="A3" s="51" t="s">
        <v>241</v>
      </c>
      <c r="B3" s="52" t="s">
        <v>242</v>
      </c>
      <c r="C3" s="51"/>
      <c r="D3" s="52" t="s">
        <v>243</v>
      </c>
      <c r="E3" s="51" t="s">
        <v>244</v>
      </c>
      <c r="F3" s="51" t="s">
        <v>245</v>
      </c>
      <c r="G3" s="51" t="s">
        <v>246</v>
      </c>
      <c r="H3" s="51" t="s">
        <v>247</v>
      </c>
      <c r="I3" s="51" t="s">
        <v>248</v>
      </c>
    </row>
    <row r="4" spans="1:9" ht="19.5">
      <c r="A4" s="10" t="s">
        <v>249</v>
      </c>
      <c r="B4" s="53">
        <f>0</f>
        <v>0</v>
      </c>
      <c r="C4" s="10"/>
      <c r="D4" s="53">
        <f>SMALL($B$4:$B$12,1)</f>
        <v>0</v>
      </c>
      <c r="E4" s="53">
        <f>MIN(넥계산기!$B$10/2,넥계산기!$B$5/2+MAX(0,D4-넥계산기!$B$7)*넥계산기!$B$29)</f>
        <v>2</v>
      </c>
      <c r="F4" s="53">
        <f>IF(D4&lt;(넥계산기!$B$6+넥계산기!$B$14),넥계산기!$B$5/2,MIN(E4,넥계산기!$B$26/2+MAX(0,D4-넥계산기!$B$31)*넥계산기!$B$29))</f>
        <v>2</v>
      </c>
      <c r="G4" s="53">
        <f t="shared" ref="G4:G12" si="0">-E4</f>
        <v>-2</v>
      </c>
      <c r="H4" s="53">
        <f t="shared" ref="H4:H12" si="1">-F4</f>
        <v>-2</v>
      </c>
      <c r="I4" s="53">
        <f t="shared" ref="I4:I12" si="2">E4-F4</f>
        <v>0</v>
      </c>
    </row>
    <row r="5" spans="1:9" ht="19.5">
      <c r="A5" s="10" t="s">
        <v>250</v>
      </c>
      <c r="B5" s="53">
        <f>넥계산기!$B$6+넥계산기!$B$14-0.0001</f>
        <v>4.0998999999999999</v>
      </c>
      <c r="C5" s="10"/>
      <c r="D5" s="53">
        <f>SMALL($B$4:$B$12,2)</f>
        <v>4.0998999999999999</v>
      </c>
      <c r="E5" s="53">
        <f>MIN(넥계산기!$B$10/2,넥계산기!$B$5/2+MAX(0,D5-넥계산기!$B$7)*넥계산기!$B$29)</f>
        <v>2</v>
      </c>
      <c r="F5" s="53">
        <f>IF(D5&lt;(넥계산기!$B$6+넥계산기!$B$14),넥계산기!$B$5/2,MIN(E5,넥계산기!$B$26/2+MAX(0,D5-넥계산기!$B$31)*넥계산기!$B$29))</f>
        <v>2</v>
      </c>
      <c r="G5" s="53">
        <f t="shared" si="0"/>
        <v>-2</v>
      </c>
      <c r="H5" s="53">
        <f t="shared" si="1"/>
        <v>-2</v>
      </c>
      <c r="I5" s="53">
        <f t="shared" si="2"/>
        <v>0</v>
      </c>
    </row>
    <row r="6" spans="1:9" ht="19.5">
      <c r="A6" s="10" t="s">
        <v>141</v>
      </c>
      <c r="B6" s="53">
        <f>넥계산기!$B$6+넥계산기!$B$14</f>
        <v>4.0999999999999996</v>
      </c>
      <c r="C6" s="10"/>
      <c r="D6" s="53">
        <f>SMALL($B$4:$B$12,3)</f>
        <v>4.0999999999999996</v>
      </c>
      <c r="E6" s="53">
        <f>MIN(넥계산기!$B$10/2,넥계산기!$B$5/2+MAX(0,D6-넥계산기!$B$7)*넥계산기!$B$29)</f>
        <v>2</v>
      </c>
      <c r="F6" s="53">
        <f>IF(D6&lt;(넥계산기!$B$6+넥계산기!$B$14),넥계산기!$B$5/2,MIN(E6,넥계산기!$B$26/2+MAX(0,D6-넥계산기!$B$31)*넥계산기!$B$29))</f>
        <v>1.925</v>
      </c>
      <c r="G6" s="53">
        <f t="shared" si="0"/>
        <v>-2</v>
      </c>
      <c r="H6" s="53">
        <f t="shared" si="1"/>
        <v>-1.925</v>
      </c>
      <c r="I6" s="53">
        <f t="shared" si="2"/>
        <v>7.4999999999999956E-2</v>
      </c>
    </row>
    <row r="7" spans="1:9" ht="19.5">
      <c r="A7" s="10" t="s">
        <v>251</v>
      </c>
      <c r="B7" s="53">
        <f>넥계산기!$B$7</f>
        <v>20</v>
      </c>
      <c r="C7" s="10"/>
      <c r="D7" s="53">
        <f>SMALL($B$4:$B$12,4)</f>
        <v>19.720096189432333</v>
      </c>
      <c r="E7" s="53">
        <f>MIN(넥계산기!$B$10/2,넥계산기!$B$5/2+MAX(0,D7-넥계산기!$B$7)*넥계산기!$B$29)</f>
        <v>2</v>
      </c>
      <c r="F7" s="53">
        <f>IF(D7&lt;(넥계산기!$B$6+넥계산기!$B$14),넥계산기!$B$5/2,MIN(E7,넥계산기!$B$26/2+MAX(0,D7-넥계산기!$B$31)*넥계산기!$B$29))</f>
        <v>1.925</v>
      </c>
      <c r="G7" s="53">
        <f t="shared" si="0"/>
        <v>-2</v>
      </c>
      <c r="H7" s="53">
        <f t="shared" si="1"/>
        <v>-1.925</v>
      </c>
      <c r="I7" s="53">
        <f t="shared" si="2"/>
        <v>7.4999999999999956E-2</v>
      </c>
    </row>
    <row r="8" spans="1:9" ht="19.5">
      <c r="A8" s="13" t="s">
        <v>252</v>
      </c>
      <c r="B8" s="53">
        <f>넥계산기!$B$31</f>
        <v>19.720096189432333</v>
      </c>
      <c r="C8" s="10"/>
      <c r="D8" s="53">
        <f>SMALL($B$4:$B$12,5)</f>
        <v>20</v>
      </c>
      <c r="E8" s="53">
        <f>MIN(넥계산기!$B$10/2,넥계산기!$B$5/2+MAX(0,D8-넥계산기!$B$7)*넥계산기!$B$29)</f>
        <v>2</v>
      </c>
      <c r="F8" s="53">
        <f>IF(D8&lt;(넥계산기!$B$6+넥계산기!$B$14),넥계산기!$B$5/2,MIN(E8,넥계산기!$B$26/2+MAX(0,D8-넥계산기!$B$31)*넥계산기!$B$29))</f>
        <v>2</v>
      </c>
      <c r="G8" s="53">
        <f t="shared" si="0"/>
        <v>-2</v>
      </c>
      <c r="H8" s="53">
        <f t="shared" si="1"/>
        <v>-2</v>
      </c>
      <c r="I8" s="53">
        <f t="shared" si="2"/>
        <v>0</v>
      </c>
    </row>
    <row r="9" spans="1:9" ht="19.5">
      <c r="A9" s="10" t="s">
        <v>253</v>
      </c>
      <c r="B9" s="53">
        <f>넥계산기!$B$8</f>
        <v>20</v>
      </c>
      <c r="C9" s="10"/>
      <c r="D9" s="53">
        <f>SMALL($B$4:$B$12,6)</f>
        <v>20</v>
      </c>
      <c r="E9" s="53">
        <f>MIN(넥계산기!$B$10/2,넥계산기!$B$5/2+MAX(0,D9-넥계산기!$B$7)*넥계산기!$B$29)</f>
        <v>2</v>
      </c>
      <c r="F9" s="53">
        <f>IF(D9&lt;(넥계산기!$B$6+넥계산기!$B$14),넥계산기!$B$5/2,MIN(E9,넥계산기!$B$26/2+MAX(0,D9-넥계산기!$B$31)*넥계산기!$B$29))</f>
        <v>2</v>
      </c>
      <c r="G9" s="53">
        <f t="shared" si="0"/>
        <v>-2</v>
      </c>
      <c r="H9" s="53">
        <f t="shared" si="1"/>
        <v>-2</v>
      </c>
      <c r="I9" s="53">
        <f t="shared" si="2"/>
        <v>0</v>
      </c>
    </row>
    <row r="10" spans="1:9" ht="19.5">
      <c r="A10" s="13" t="s">
        <v>254</v>
      </c>
      <c r="B10" s="53">
        <f>넥계산기!$B$51</f>
        <v>23.732050807568879</v>
      </c>
      <c r="C10" s="10"/>
      <c r="D10" s="53">
        <f>SMALL($B$4:$B$12,7)</f>
        <v>23.732050807568879</v>
      </c>
      <c r="E10" s="53">
        <f>MIN(넥계산기!$B$10/2,넥계산기!$B$5/2+MAX(0,D10-넥계산기!$B$7)*넥계산기!$B$29)</f>
        <v>3</v>
      </c>
      <c r="F10" s="53">
        <f>IF(D10&lt;(넥계산기!$B$6+넥계산기!$B$14),넥계산기!$B$5/2,MIN(E10,넥계산기!$B$26/2+MAX(0,D10-넥계산기!$B$31)*넥계산기!$B$29))</f>
        <v>3</v>
      </c>
      <c r="G10" s="53">
        <f t="shared" si="0"/>
        <v>-3</v>
      </c>
      <c r="H10" s="53">
        <f t="shared" si="1"/>
        <v>-3</v>
      </c>
      <c r="I10" s="53">
        <f t="shared" si="2"/>
        <v>0</v>
      </c>
    </row>
    <row r="11" spans="1:9" ht="19.5">
      <c r="A11" s="13" t="s">
        <v>255</v>
      </c>
      <c r="B11" s="53">
        <f>넥계산기!$B$52</f>
        <v>23.732050807568879</v>
      </c>
      <c r="C11" s="10"/>
      <c r="D11" s="53">
        <f>SMALL($B$4:$B$12,8)</f>
        <v>23.732050807568879</v>
      </c>
      <c r="E11" s="53">
        <f>MIN(넥계산기!$B$10/2,넥계산기!$B$5/2+MAX(0,D11-넥계산기!$B$7)*넥계산기!$B$29)</f>
        <v>3</v>
      </c>
      <c r="F11" s="53">
        <f>IF(D11&lt;(넥계산기!$B$6+넥계산기!$B$14),넥계산기!$B$5/2,MIN(E11,넥계산기!$B$26/2+MAX(0,D11-넥계산기!$B$31)*넥계산기!$B$29))</f>
        <v>3</v>
      </c>
      <c r="G11" s="53">
        <f t="shared" si="0"/>
        <v>-3</v>
      </c>
      <c r="H11" s="53">
        <f t="shared" si="1"/>
        <v>-3</v>
      </c>
      <c r="I11" s="53">
        <f t="shared" si="2"/>
        <v>0</v>
      </c>
    </row>
    <row r="12" spans="1:9" ht="19.5">
      <c r="A12" s="13" t="s">
        <v>256</v>
      </c>
      <c r="B12" s="53">
        <f>IF(넥계산기!$B$9="",넥계산기!$B$52+10,넥계산기!$B$9)</f>
        <v>50</v>
      </c>
      <c r="C12" s="10"/>
      <c r="D12" s="53">
        <f>SMALL($B$4:$B$12,9)</f>
        <v>50</v>
      </c>
      <c r="E12" s="53">
        <f>MIN(넥계산기!$B$10/2,넥계산기!$B$5/2+MAX(0,D12-넥계산기!$B$7)*넥계산기!$B$29)</f>
        <v>3</v>
      </c>
      <c r="F12" s="53">
        <f>IF(D12&lt;(넥계산기!$B$6+넥계산기!$B$14),넥계산기!$B$5/2,MIN(E12,넥계산기!$B$26/2+MAX(0,D12-넥계산기!$B$31)*넥계산기!$B$29))</f>
        <v>3</v>
      </c>
      <c r="G12" s="53">
        <f t="shared" si="0"/>
        <v>-3</v>
      </c>
      <c r="H12" s="53">
        <f t="shared" si="1"/>
        <v>-3</v>
      </c>
      <c r="I12" s="53">
        <f t="shared" si="2"/>
        <v>0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넥계산기</vt:lpstr>
      <vt:lpstr>가능성비교</vt:lpstr>
      <vt:lpstr>예시도면</vt:lpstr>
      <vt:lpstr>설명·근거</vt:lpstr>
      <vt:lpstr>변경이력</vt:lpstr>
      <vt:lpstr>단면데이터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TOOLKOREA</cp:lastModifiedBy>
  <cp:revision>1</cp:revision>
  <dcterms:created xsi:type="dcterms:W3CDTF">2026-10-19T23:37:54Z</dcterms:created>
  <dcterms:modified xsi:type="dcterms:W3CDTF">2026-10-19T23:43:43Z</dcterms:modified>
  <dc:language>en-US</dc:language>
</cp:coreProperties>
</file>