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넥계산기" sheetId="1" state="visible" r:id="rId3"/>
    <sheet name="가능성비교" sheetId="2" state="visible" r:id="rId4"/>
    <sheet name="설명·근거" sheetId="3" state="visible" r:id="rId5"/>
    <sheet name="변경이력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<sst xmlns="http://schemas.openxmlformats.org/spreadsheetml/2006/main" count="271" uniqueCount="230">
  <si>
    <r>
      <rPr>
        <b val="true"/>
        <sz val="22"/>
        <rFont val="Noto Sans CJK SC"/>
        <family val="2"/>
      </rPr>
      <t xml:space="preserve">넥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목</t>
    </r>
    <r>
      <rPr>
        <b val="true"/>
        <sz val="22"/>
        <rFont val="맑은 고딕"/>
        <family val="0"/>
        <charset val="1"/>
      </rPr>
      <t xml:space="preserve">) </t>
    </r>
    <r>
      <rPr>
        <b val="true"/>
        <sz val="22"/>
        <rFont val="Noto Sans CJK SC"/>
        <family val="2"/>
      </rPr>
      <t xml:space="preserve">원통연삭 — </t>
    </r>
    <r>
      <rPr>
        <b val="true"/>
        <sz val="22"/>
        <rFont val="맑은 고딕"/>
        <family val="0"/>
        <charset val="1"/>
      </rPr>
      <t xml:space="preserve">iGrind </t>
    </r>
    <r>
      <rPr>
        <b val="true"/>
        <sz val="22"/>
        <rFont val="Noto Sans CJK SC"/>
        <family val="2"/>
      </rPr>
      <t xml:space="preserve">입력값 계산기 </t>
    </r>
    <r>
      <rPr>
        <b val="true"/>
        <sz val="22"/>
        <rFont val="맑은 고딕"/>
        <family val="0"/>
        <charset val="1"/>
      </rPr>
      <t xml:space="preserve">v1</t>
    </r>
  </si>
  <si>
    <r>
      <rPr>
        <sz val="11"/>
        <color rgb="FF555555"/>
        <rFont val="Noto Sans CJK SC"/>
        <family val="2"/>
      </rPr>
      <t xml:space="preserve">노란 칸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파란 글자</t>
    </r>
    <r>
      <rPr>
        <sz val="11"/>
        <color rgb="FF555555"/>
        <rFont val="맑은 고딕"/>
        <family val="0"/>
        <charset val="1"/>
      </rPr>
      <t xml:space="preserve">)</t>
    </r>
    <r>
      <rPr>
        <sz val="11"/>
        <color rgb="FF555555"/>
        <rFont val="Noto Sans CJK SC"/>
        <family val="2"/>
      </rPr>
      <t xml:space="preserve">만 고치세요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나머지는 수식입니다</t>
    </r>
    <r>
      <rPr>
        <sz val="11"/>
        <color rgb="FF555555"/>
        <rFont val="맑은 고딕"/>
        <family val="0"/>
        <charset val="1"/>
      </rPr>
      <t xml:space="preserve">. AI </t>
    </r>
    <r>
      <rPr>
        <sz val="11"/>
        <color rgb="FF555555"/>
        <rFont val="Noto Sans CJK SC"/>
        <family val="2"/>
      </rPr>
      <t xml:space="preserve">제시 수치는 참고값 — </t>
    </r>
    <r>
      <rPr>
        <sz val="11"/>
        <color rgb="FF555555"/>
        <rFont val="맑은 고딕"/>
        <family val="0"/>
        <charset val="1"/>
      </rPr>
      <t xml:space="preserve">CIM3D </t>
    </r>
    <r>
      <rPr>
        <sz val="11"/>
        <color rgb="FF555555"/>
        <rFont val="Noto Sans CJK SC"/>
        <family val="2"/>
      </rPr>
      <t xml:space="preserve">시뮬레이션 → 시험 연삭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개 → 측정 → 검증 후 양산 적용</t>
    </r>
    <r>
      <rPr>
        <sz val="11"/>
        <color rgb="FF555555"/>
        <rFont val="맑은 고딕"/>
        <family val="0"/>
        <charset val="1"/>
      </rPr>
      <t xml:space="preserve">.</t>
    </r>
  </si>
  <si>
    <r>
      <rPr>
        <b val="true"/>
        <sz val="15"/>
        <rFont val="맑은 고딕"/>
        <family val="0"/>
        <charset val="1"/>
      </rPr>
      <t xml:space="preserve">1. </t>
    </r>
    <r>
      <rPr>
        <b val="true"/>
        <sz val="15"/>
        <rFont val="Noto Sans CJK SC"/>
        <family val="2"/>
      </rPr>
      <t xml:space="preserve">공구 치수 입력 </t>
    </r>
    <r>
      <rPr>
        <b val="true"/>
        <sz val="15"/>
        <rFont val="맑은 고딕"/>
        <family val="0"/>
        <charset val="1"/>
      </rPr>
      <t xml:space="preserve">(mm)</t>
    </r>
  </si>
  <si>
    <r>
      <rPr>
        <sz val="13"/>
        <rFont val="맑은 고딕"/>
        <family val="0"/>
        <charset val="1"/>
      </rPr>
      <t xml:space="preserve">D — </t>
    </r>
    <r>
      <rPr>
        <sz val="13"/>
        <rFont val="Noto Sans CJK SC"/>
        <family val="2"/>
      </rPr>
      <t xml:space="preserve">날지름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머리</t>
    </r>
    <r>
      <rPr>
        <sz val="13"/>
        <rFont val="맑은 고딕"/>
        <family val="0"/>
        <charset val="1"/>
      </rPr>
      <t xml:space="preserve">)</t>
    </r>
  </si>
  <si>
    <t xml:space="preserve">mm</t>
  </si>
  <si>
    <r>
      <rPr>
        <sz val="11"/>
        <color rgb="FF555555"/>
        <rFont val="Noto Sans CJK SC"/>
        <family val="2"/>
      </rPr>
      <t xml:space="preserve">카탈로그 날지름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넥은 이 지름보다 가늘게 냄</t>
    </r>
  </si>
  <si>
    <r>
      <rPr>
        <sz val="13"/>
        <rFont val="맑은 고딕"/>
        <family val="0"/>
        <charset val="1"/>
      </rPr>
      <t xml:space="preserve">L1 — </t>
    </r>
    <r>
      <rPr>
        <sz val="13"/>
        <rFont val="Noto Sans CJK SC"/>
        <family val="2"/>
      </rPr>
      <t xml:space="preserve">날장</t>
    </r>
  </si>
  <si>
    <r>
      <rPr>
        <sz val="11"/>
        <color rgb="FF555555"/>
        <rFont val="Noto Sans CJK SC"/>
        <family val="2"/>
      </rPr>
      <t xml:space="preserve">공구 끝</t>
    </r>
    <r>
      <rPr>
        <sz val="11"/>
        <color rgb="FF555555"/>
        <rFont val="맑은 고딕"/>
        <family val="0"/>
        <charset val="1"/>
      </rPr>
      <t xml:space="preserve">(EOT)</t>
    </r>
    <r>
      <rPr>
        <sz val="11"/>
        <color rgb="FF555555"/>
        <rFont val="Noto Sans CJK SC"/>
        <family val="2"/>
      </rPr>
      <t xml:space="preserve">에서 날 끝까지</t>
    </r>
    <r>
      <rPr>
        <sz val="11"/>
        <color rgb="FF555555"/>
        <rFont val="맑은 고딕"/>
        <family val="0"/>
        <charset val="1"/>
      </rPr>
      <t xml:space="preserve">. X Start = −(L1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</si>
  <si>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지금 </t>
    </r>
    <r>
      <rPr>
        <sz val="13"/>
        <rFont val="맑은 고딕"/>
        <family val="0"/>
        <charset val="1"/>
      </rPr>
      <t xml:space="preserve">Ø D </t>
    </r>
    <r>
      <rPr>
        <sz val="13"/>
        <rFont val="Noto Sans CJK SC"/>
        <family val="2"/>
      </rPr>
      <t xml:space="preserve">가 끝나는 위치</t>
    </r>
  </si>
  <si>
    <r>
      <rPr>
        <sz val="11"/>
        <color rgb="FF555555"/>
        <rFont val="Noto Sans CJK SC"/>
        <family val="2"/>
      </rPr>
      <t xml:space="preserve">가공 전 공구에서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원통이 끝나고 기존 테이퍼가 시작하는 위치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넥을 늘리지 않으면 </t>
    </r>
    <r>
      <rPr>
        <sz val="11"/>
        <color rgb="FF555555"/>
        <rFont val="맑은 고딕"/>
        <family val="0"/>
        <charset val="1"/>
      </rPr>
      <t xml:space="preserve">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</t>
    </r>
    <r>
      <rPr>
        <sz val="11"/>
        <color rgb="FF555555"/>
        <rFont val="Noto Sans CJK SC"/>
        <family val="2"/>
      </rPr>
      <t xml:space="preserve">와 같게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</si>
  <si>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유효장</t>
    </r>
  </si>
  <si>
    <r>
      <rPr>
        <sz val="11"/>
        <color rgb="FF555555"/>
        <rFont val="Noto Sans CJK SC"/>
        <family val="2"/>
      </rPr>
      <t xml:space="preserve">넥이 끝나 테이퍼에서 다시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가 되는 위치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카탈로그 </t>
    </r>
    <r>
      <rPr>
        <sz val="11"/>
        <color rgb="FF555555"/>
        <rFont val="맑은 고딕"/>
        <family val="0"/>
        <charset val="1"/>
      </rPr>
      <t xml:space="preserve">L2 </t>
    </r>
    <r>
      <rPr>
        <sz val="11"/>
        <color rgb="FF555555"/>
        <rFont val="Noto Sans CJK SC"/>
        <family val="2"/>
      </rPr>
      <t xml:space="preserve">정의</t>
    </r>
    <r>
      <rPr>
        <sz val="11"/>
        <color rgb="FF555555"/>
        <rFont val="맑은 고딕"/>
        <family val="0"/>
        <charset val="1"/>
      </rPr>
      <t xml:space="preserve">).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&gt;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 </t>
    </r>
    <r>
      <rPr>
        <sz val="11"/>
        <color rgb="FF555555"/>
        <rFont val="Noto Sans CJK SC"/>
        <family val="2"/>
      </rPr>
      <t xml:space="preserve">이면 생크를 깎는 </t>
    </r>
    <r>
      <rPr>
        <sz val="11"/>
        <color rgb="FF555555"/>
        <rFont val="맑은 고딕"/>
        <family val="0"/>
        <charset val="1"/>
      </rPr>
      <t xml:space="preserve">3</t>
    </r>
    <r>
      <rPr>
        <sz val="11"/>
        <color rgb="FF555555"/>
        <rFont val="Noto Sans CJK SC"/>
        <family val="2"/>
      </rPr>
      <t xml:space="preserve">섹션 연장</t>
    </r>
  </si>
  <si>
    <r>
      <rPr>
        <sz val="13"/>
        <rFont val="맑은 고딕"/>
        <family val="0"/>
        <charset val="1"/>
      </rPr>
      <t xml:space="preserve">L — </t>
    </r>
    <r>
      <rPr>
        <sz val="13"/>
        <rFont val="Noto Sans CJK SC"/>
        <family val="2"/>
      </rPr>
      <t xml:space="preserve">전장</t>
    </r>
  </si>
  <si>
    <r>
      <rPr>
        <sz val="11"/>
        <color rgb="FF555555"/>
        <rFont val="Noto Sans CJK SC"/>
        <family val="2"/>
      </rPr>
      <t xml:space="preserve">생크 남는 길이 검토용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모르면 비워 두기</t>
    </r>
  </si>
  <si>
    <r>
      <rPr>
        <sz val="13"/>
        <rFont val="맑은 고딕"/>
        <family val="0"/>
        <charset val="1"/>
      </rPr>
      <t xml:space="preserve">S — </t>
    </r>
    <r>
      <rPr>
        <sz val="13"/>
        <rFont val="Noto Sans CJK SC"/>
        <family val="2"/>
      </rPr>
      <t xml:space="preserve">생크 지름</t>
    </r>
  </si>
  <si>
    <r>
      <rPr>
        <sz val="11"/>
        <color rgb="FF555555"/>
        <rFont val="Noto Sans CJK SC"/>
        <family val="2"/>
      </rPr>
      <t xml:space="preserve">생크 지름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 연장 시 최대 제거량</t>
    </r>
    <r>
      <rPr>
        <sz val="11"/>
        <color rgb="FF555555"/>
        <rFont val="맑은 고딕"/>
        <family val="0"/>
        <charset val="1"/>
      </rPr>
      <t xml:space="preserve">·Blank OD </t>
    </r>
    <r>
      <rPr>
        <sz val="11"/>
        <color rgb="FF555555"/>
        <rFont val="Noto Sans CJK SC"/>
        <family val="2"/>
      </rPr>
      <t xml:space="preserve">결정</t>
    </r>
  </si>
  <si>
    <r>
      <rPr>
        <sz val="13"/>
        <rFont val="맑은 고딕"/>
        <family val="0"/>
        <charset val="1"/>
      </rPr>
      <t xml:space="preserve">θ — </t>
    </r>
    <r>
      <rPr>
        <sz val="13"/>
        <rFont val="Noto Sans CJK SC"/>
        <family val="2"/>
      </rPr>
      <t xml:space="preserve">테이퍼</t>
    </r>
    <r>
      <rPr>
        <sz val="13"/>
        <rFont val="맑은 고딕"/>
        <family val="0"/>
        <charset val="1"/>
      </rPr>
      <t xml:space="preserve">·washout </t>
    </r>
    <r>
      <rPr>
        <sz val="13"/>
        <rFont val="Noto Sans CJK SC"/>
        <family val="2"/>
      </rPr>
      <t xml:space="preserve">각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한쪽</t>
    </r>
    <r>
      <rPr>
        <sz val="13"/>
        <rFont val="맑은 고딕"/>
        <family val="0"/>
        <charset val="1"/>
      </rPr>
      <t xml:space="preserve">)</t>
    </r>
  </si>
  <si>
    <t xml:space="preserve">°</t>
  </si>
  <si>
    <r>
      <rPr>
        <sz val="11"/>
        <color rgb="FF555555"/>
        <rFont val="Noto Sans CJK SC"/>
        <family val="2"/>
      </rPr>
      <t xml:space="preserve">기존 넥 테이퍼 각</t>
    </r>
    <r>
      <rPr>
        <sz val="11"/>
        <color rgb="FF555555"/>
        <rFont val="맑은 고딕"/>
        <family val="0"/>
        <charset val="1"/>
      </rPr>
      <t xml:space="preserve">. 2JJCR 040 010 200 = 15° [</t>
    </r>
    <r>
      <rPr>
        <sz val="11"/>
        <color rgb="FF555555"/>
        <rFont val="Noto Sans CJK SC"/>
        <family val="2"/>
      </rPr>
      <t xml:space="preserve">제조사 기준 — 카탈로그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</si>
  <si>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맑은 고딕"/>
        <family val="0"/>
        <charset val="1"/>
      </rPr>
      <t xml:space="preserve">d — </t>
    </r>
    <r>
      <rPr>
        <sz val="13"/>
        <rFont val="Noto Sans CJK SC"/>
        <family val="2"/>
      </rPr>
      <t xml:space="preserve">넥 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비우면 </t>
    </r>
    <r>
      <rPr>
        <sz val="13"/>
        <rFont val="맑은 고딕"/>
        <family val="0"/>
        <charset val="1"/>
      </rPr>
      <t xml:space="preserve">D −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</si>
  <si>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직접 넣으면 그 값 사용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비우면 아래 「넥 기본 여유」 적용 </t>
    </r>
    <r>
      <rPr>
        <sz val="11"/>
        <color rgb="FF555555"/>
        <rFont val="맑은 고딕"/>
        <family val="0"/>
        <charset val="1"/>
      </rPr>
      <t xml:space="preserve">(decisions 2026-10-19 (6))</t>
    </r>
  </si>
  <si>
    <r>
      <rPr>
        <sz val="13"/>
        <rFont val="Noto Sans CJK SC"/>
        <family val="2"/>
      </rPr>
      <t xml:space="preserve">넥 기본 여유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지름 기준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</si>
  <si>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사내 기본 넥 </t>
    </r>
    <r>
      <rPr>
        <sz val="11"/>
        <color rgb="FF555555"/>
        <rFont val="맑은 고딕"/>
        <family val="0"/>
        <charset val="1"/>
      </rPr>
      <t xml:space="preserve">= D − 0.15 [</t>
    </r>
    <r>
      <rPr>
        <sz val="11"/>
        <color rgb="FF555555"/>
        <rFont val="Noto Sans CJK SC"/>
        <family val="2"/>
      </rPr>
      <t xml:space="preserve">사내 경험값 — 근거 </t>
    </r>
    <r>
      <rPr>
        <sz val="11"/>
        <color rgb="FF555555"/>
        <rFont val="맑은 고딕"/>
        <family val="0"/>
        <charset val="1"/>
      </rPr>
      <t xml:space="preserve">D4 1</t>
    </r>
    <r>
      <rPr>
        <sz val="11"/>
        <color rgb="FF555555"/>
        <rFont val="Noto Sans CJK SC"/>
        <family val="2"/>
      </rPr>
      <t xml:space="preserve">건</t>
    </r>
    <r>
      <rPr>
        <sz val="11"/>
        <color rgb="FF555555"/>
        <rFont val="맑은 고딕"/>
        <family val="0"/>
        <charset val="1"/>
      </rPr>
      <t xml:space="preserve">]. D0.5 </t>
    </r>
    <r>
      <rPr>
        <sz val="11"/>
        <color rgb="FF555555"/>
        <rFont val="Noto Sans CJK SC"/>
        <family val="2"/>
      </rPr>
      <t xml:space="preserve">미만 미적용</t>
    </r>
  </si>
  <si>
    <r>
      <rPr>
        <sz val="13"/>
        <rFont val="맑은 고딕"/>
        <family val="0"/>
        <charset val="1"/>
      </rPr>
      <t xml:space="preserve">X Start </t>
    </r>
    <r>
      <rPr>
        <sz val="13"/>
        <rFont val="Noto Sans CJK SC"/>
        <family val="2"/>
      </rPr>
      <t xml:space="preserve">여유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날장 뒤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</si>
  <si>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맑은 고딕"/>
        <family val="0"/>
        <charset val="1"/>
      </rPr>
      <t xml:space="preserve">2JJCR </t>
    </r>
    <r>
      <rPr>
        <sz val="11"/>
        <color rgb="FF555555"/>
        <rFont val="Noto Sans CJK SC"/>
        <family val="2"/>
      </rPr>
      <t xml:space="preserve">기존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확정안 값 −</t>
    </r>
    <r>
      <rPr>
        <sz val="11"/>
        <color rgb="FF555555"/>
        <rFont val="맑은 고딕"/>
        <family val="0"/>
        <charset val="1"/>
      </rPr>
      <t xml:space="preserve">4.1 = </t>
    </r>
    <r>
      <rPr>
        <sz val="11"/>
        <color rgb="FF555555"/>
        <rFont val="Noto Sans CJK SC"/>
        <family val="2"/>
      </rPr>
      <t xml:space="preserve">날장 </t>
    </r>
    <r>
      <rPr>
        <sz val="11"/>
        <color rgb="FF555555"/>
        <rFont val="맑은 고딕"/>
        <family val="0"/>
        <charset val="1"/>
      </rPr>
      <t xml:space="preserve">4 + 0.1 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</si>
  <si>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홀더 물림 최소 길이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선택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</si>
  <si>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넣으면 생크 남는 길이와 비교해 경고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사내 기준 확인 필요</t>
    </r>
  </si>
  <si>
    <r>
      <rPr>
        <b val="true"/>
        <sz val="15"/>
        <rFont val="맑은 고딕"/>
        <family val="0"/>
        <charset val="1"/>
      </rPr>
      <t xml:space="preserve">2. </t>
    </r>
    <r>
      <rPr>
        <b val="true"/>
        <sz val="15"/>
        <rFont val="Noto Sans CJK SC"/>
        <family val="2"/>
      </rPr>
      <t xml:space="preserve">공정 입력</t>
    </r>
  </si>
  <si>
    <r>
      <rPr>
        <sz val="13"/>
        <rFont val="Noto Sans CJK SC"/>
        <family val="2"/>
      </rPr>
      <t xml:space="preserve">황삭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반경 절입</t>
    </r>
  </si>
  <si>
    <r>
      <rPr>
        <sz val="13"/>
        <rFont val="맑은 고딕"/>
        <family val="0"/>
        <charset val="1"/>
      </rPr>
      <t xml:space="preserve">mm/</t>
    </r>
    <r>
      <rPr>
        <sz val="13"/>
        <rFont val="Noto Sans CJK SC"/>
        <family val="2"/>
      </rPr>
      <t xml:space="preserve">패스</t>
    </r>
  </si>
  <si>
    <r>
      <rPr>
        <sz val="11"/>
        <color rgb="FF555555"/>
        <rFont val="맑은 고딕"/>
        <family val="0"/>
        <charset val="1"/>
      </rPr>
      <t xml:space="preserve">Cowork </t>
    </r>
    <r>
      <rPr>
        <sz val="11"/>
        <color rgb="FF555555"/>
        <rFont val="Noto Sans CJK SC"/>
        <family val="2"/>
      </rPr>
      <t xml:space="preserve">제안 시작값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추정값 — 시험 필요</t>
    </r>
    <r>
      <rPr>
        <sz val="11"/>
        <color rgb="FF555555"/>
        <rFont val="맑은 고딕"/>
        <family val="0"/>
        <charset val="1"/>
      </rPr>
      <t xml:space="preserve">]. </t>
    </r>
    <r>
      <rPr>
        <sz val="11"/>
        <color rgb="FF555555"/>
        <rFont val="Noto Sans CJK SC"/>
        <family val="2"/>
      </rPr>
      <t xml:space="preserve">이상 없으면 </t>
    </r>
    <r>
      <rPr>
        <sz val="11"/>
        <color rgb="FF555555"/>
        <rFont val="맑은 고딕"/>
        <family val="0"/>
        <charset val="1"/>
      </rPr>
      <t xml:space="preserve">0.075 </t>
    </r>
    <r>
      <rPr>
        <sz val="11"/>
        <color rgb="FF555555"/>
        <rFont val="Noto Sans CJK SC"/>
        <family val="2"/>
      </rPr>
      <t xml:space="preserve">까지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반경</t>
    </r>
    <r>
      <rPr>
        <sz val="11"/>
        <color rgb="FF555555"/>
        <rFont val="맑은 고딕"/>
        <family val="0"/>
        <charset val="1"/>
      </rPr>
      <t xml:space="preserve">/</t>
    </r>
    <r>
      <rPr>
        <sz val="11"/>
        <color rgb="FF555555"/>
        <rFont val="Noto Sans CJK SC"/>
        <family val="2"/>
      </rPr>
      <t xml:space="preserve">직경 기준은 </t>
    </r>
    <r>
      <rPr>
        <sz val="11"/>
        <color rgb="FF555555"/>
        <rFont val="맑은 고딕"/>
        <family val="0"/>
        <charset val="1"/>
      </rPr>
      <t xml:space="preserve">iGrind </t>
    </r>
    <r>
      <rPr>
        <sz val="11"/>
        <color rgb="FF555555"/>
        <rFont val="Noto Sans CJK SC"/>
        <family val="2"/>
      </rPr>
      <t xml:space="preserve">에서 확인 필요</t>
    </r>
  </si>
  <si>
    <r>
      <rPr>
        <sz val="13"/>
        <rFont val="Noto Sans CJK SC"/>
        <family val="2"/>
      </rPr>
      <t xml:space="preserve">사내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실적 반경 절입</t>
    </r>
  </si>
  <si>
    <r>
      <rPr>
        <sz val="11"/>
        <color rgb="FF555555"/>
        <rFont val="Noto Sans CJK SC"/>
        <family val="2"/>
      </rPr>
      <t xml:space="preserve">기존 </t>
    </r>
    <r>
      <rPr>
        <sz val="11"/>
        <color rgb="FF555555"/>
        <rFont val="맑은 고딕"/>
        <family val="0"/>
        <charset val="1"/>
      </rPr>
      <t xml:space="preserve">Ø4 → Ø3.85 </t>
    </r>
    <r>
      <rPr>
        <sz val="11"/>
        <color rgb="FF555555"/>
        <rFont val="Noto Sans CJK SC"/>
        <family val="2"/>
      </rPr>
      <t xml:space="preserve">정삭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패스 실적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]. </t>
    </r>
    <r>
      <rPr>
        <sz val="11"/>
        <color rgb="FF555555"/>
        <rFont val="Noto Sans CJK SC"/>
        <family val="2"/>
      </rPr>
      <t xml:space="preserve">이 값을 넘으면 고절입 경고</t>
    </r>
  </si>
  <si>
    <r>
      <rPr>
        <sz val="13"/>
        <rFont val="Noto Sans CJK SC"/>
        <family val="2"/>
      </rPr>
      <t xml:space="preserve">정삭 이송 </t>
    </r>
    <r>
      <rPr>
        <sz val="13"/>
        <rFont val="맑은 고딕"/>
        <family val="0"/>
        <charset val="1"/>
      </rPr>
      <t xml:space="preserve">(Feedrate)</t>
    </r>
  </si>
  <si>
    <t xml:space="preserve">mm/min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</si>
  <si>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근거 미확인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</si>
  <si>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맑은 고딕"/>
        <family val="0"/>
        <charset val="1"/>
      </rPr>
      <t xml:space="preserve">A Spin (</t>
    </r>
    <r>
      <rPr>
        <sz val="13"/>
        <rFont val="Noto Sans CJK SC"/>
        <family val="2"/>
      </rPr>
      <t xml:space="preserve">공작물 회전</t>
    </r>
    <r>
      <rPr>
        <sz val="13"/>
        <rFont val="맑은 고딕"/>
        <family val="0"/>
        <charset val="1"/>
      </rPr>
      <t xml:space="preserve">)</t>
    </r>
  </si>
  <si>
    <t xml:space="preserve">rpm</t>
  </si>
  <si>
    <r>
      <rPr>
        <sz val="11"/>
        <color rgb="FF555555"/>
        <rFont val="Noto Sans CJK SC"/>
        <family val="2"/>
      </rPr>
      <t xml:space="preserve">기존 프로그램 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사내 경험값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</si>
  <si>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선택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</si>
  <si>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맑은 고딕"/>
        <family val="0"/>
        <charset val="1"/>
      </rPr>
      <t xml:space="preserve">Pack 1 / Wheel 1 </t>
    </r>
    <r>
      <rPr>
        <sz val="11"/>
        <color rgb="FF555555"/>
        <rFont val="Noto Sans CJK SC"/>
        <family val="2"/>
      </rPr>
      <t xml:space="preserve">지름 미확인 — 넣으면 </t>
    </r>
    <r>
      <rPr>
        <sz val="11"/>
        <color rgb="FF555555"/>
        <rFont val="맑은 고딕"/>
        <family val="0"/>
        <charset val="1"/>
      </rPr>
      <t xml:space="preserve">Vc </t>
    </r>
    <r>
      <rPr>
        <sz val="11"/>
        <color rgb="FF555555"/>
        <rFont val="Noto Sans CJK SC"/>
        <family val="2"/>
      </rPr>
      <t xml:space="preserve">계산</t>
    </r>
  </si>
  <si>
    <t xml:space="preserve">휠 회전수</t>
  </si>
  <si>
    <t xml:space="preserve">기존 프로그램 값</t>
  </si>
  <si>
    <r>
      <rPr>
        <b val="true"/>
        <sz val="15"/>
        <rFont val="맑은 고딕"/>
        <family val="0"/>
        <charset val="1"/>
      </rPr>
      <t xml:space="preserve">3. </t>
    </r>
    <r>
      <rPr>
        <b val="true"/>
        <sz val="15"/>
        <rFont val="Noto Sans CJK SC"/>
        <family val="2"/>
      </rPr>
      <t xml:space="preserve">기본 계산</t>
    </r>
  </si>
  <si>
    <r>
      <rPr>
        <b val="true"/>
        <sz val="13"/>
        <rFont val="Noto Sans CJK SC"/>
        <family val="2"/>
      </rPr>
      <t xml:space="preserve">적용 넥 지름 </t>
    </r>
    <r>
      <rPr>
        <b val="true"/>
        <sz val="13"/>
        <rFont val="맑은 고딕"/>
        <family val="0"/>
        <charset val="1"/>
      </rPr>
      <t xml:space="preserve">d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</si>
  <si>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입력 </t>
    </r>
    <r>
      <rPr>
        <sz val="11"/>
        <color rgb="FF555555"/>
        <rFont val="맑은 고딕"/>
        <family val="0"/>
        <charset val="1"/>
      </rPr>
      <t xml:space="preserve">d, </t>
    </r>
    <r>
      <rPr>
        <sz val="11"/>
        <color rgb="FF555555"/>
        <rFont val="Noto Sans CJK SC"/>
        <family val="2"/>
      </rPr>
      <t xml:space="preserve">없으면 </t>
    </r>
    <r>
      <rPr>
        <sz val="11"/>
        <color rgb="FF555555"/>
        <rFont val="맑은 고딕"/>
        <family val="0"/>
        <charset val="1"/>
      </rPr>
      <t xml:space="preserve">D − </t>
    </r>
    <r>
      <rPr>
        <sz val="11"/>
        <color rgb="FF555555"/>
        <rFont val="Noto Sans CJK SC"/>
        <family val="2"/>
      </rPr>
      <t xml:space="preserve">여유</t>
    </r>
  </si>
  <si>
    <t xml:space="preserve">케이스</t>
  </si>
  <si>
    <r>
      <rPr>
        <sz val="11"/>
        <color rgb="FF555555"/>
        <rFont val="Noto Sans CJK SC"/>
        <family val="2"/>
      </rPr>
      <t xml:space="preserve">단일 </t>
    </r>
    <r>
      <rPr>
        <sz val="11"/>
        <color rgb="FF555555"/>
        <rFont val="맑은 고딕"/>
        <family val="0"/>
        <charset val="1"/>
      </rPr>
      <t xml:space="preserve">= </t>
    </r>
    <r>
      <rPr>
        <sz val="11"/>
        <color rgb="FF555555"/>
        <rFont val="Noto Sans CJK SC"/>
        <family val="2"/>
      </rPr>
      <t xml:space="preserve">넥 끝 </t>
    </r>
    <r>
      <rPr>
        <sz val="11"/>
        <color rgb="FF555555"/>
        <rFont val="맑은 고딕"/>
        <family val="0"/>
        <charset val="1"/>
      </rPr>
      <t xml:space="preserve">washout </t>
    </r>
    <r>
      <rPr>
        <sz val="11"/>
        <color rgb="FF555555"/>
        <rFont val="Noto Sans CJK SC"/>
        <family val="2"/>
      </rPr>
      <t xml:space="preserve">으로 기존 테이퍼 연결 </t>
    </r>
    <r>
      <rPr>
        <sz val="11"/>
        <color rgb="FF555555"/>
        <rFont val="맑은 고딕"/>
        <family val="0"/>
        <charset val="1"/>
      </rPr>
      <t xml:space="preserve">· 3</t>
    </r>
    <r>
      <rPr>
        <sz val="11"/>
        <color rgb="FF555555"/>
        <rFont val="Noto Sans CJK SC"/>
        <family val="2"/>
      </rPr>
      <t xml:space="preserve">섹션 </t>
    </r>
    <r>
      <rPr>
        <sz val="11"/>
        <color rgb="FF555555"/>
        <rFont val="맑은 고딕"/>
        <family val="0"/>
        <charset val="1"/>
      </rPr>
      <t xml:space="preserve">=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&gt;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), </t>
    </r>
    <r>
      <rPr>
        <sz val="11"/>
        <color rgb="FF555555"/>
        <rFont val="Noto Sans CJK SC"/>
        <family val="2"/>
      </rPr>
      <t xml:space="preserve">생크를 깎음</t>
    </r>
  </si>
  <si>
    <r>
      <rPr>
        <sz val="13"/>
        <rFont val="맑은 고딕"/>
        <family val="0"/>
        <charset val="1"/>
      </rPr>
      <t xml:space="preserve">Δr — </t>
    </r>
    <r>
      <rPr>
        <sz val="13"/>
        <rFont val="Noto Sans CJK SC"/>
        <family val="2"/>
      </rPr>
      <t xml:space="preserve">머리 대비 반경 차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</si>
  <si>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(D − d) ÷ 2</t>
    </r>
  </si>
  <si>
    <t xml:space="preserve">tan θ</t>
  </si>
  <si>
    <t xml:space="preserve">15° → 0.26795</t>
  </si>
  <si>
    <r>
      <rPr>
        <sz val="13"/>
        <rFont val="맑은 고딕"/>
        <family val="0"/>
        <charset val="1"/>
      </rPr>
      <t xml:space="preserve">Washout </t>
    </r>
    <r>
      <rPr>
        <sz val="13"/>
        <rFont val="Noto Sans CJK SC"/>
        <family val="2"/>
      </rPr>
      <t xml:space="preserve">길이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</si>
  <si>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Δr ÷ tan θ — </t>
    </r>
    <r>
      <rPr>
        <sz val="11"/>
        <color rgb="FF555555"/>
        <rFont val="Noto Sans CJK SC"/>
        <family val="2"/>
      </rPr>
      <t xml:space="preserve">넥 끝을 </t>
    </r>
    <r>
      <rPr>
        <sz val="11"/>
        <color rgb="FF555555"/>
        <rFont val="맑은 고딕"/>
        <family val="0"/>
        <charset val="1"/>
      </rPr>
      <t xml:space="preserve">θ </t>
    </r>
    <r>
      <rPr>
        <sz val="11"/>
        <color rgb="FF555555"/>
        <rFont val="Noto Sans CJK SC"/>
        <family val="2"/>
      </rPr>
      <t xml:space="preserve">로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까지 올리는 길이</t>
    </r>
  </si>
  <si>
    <r>
      <rPr>
        <sz val="13"/>
        <rFont val="Noto Sans CJK SC"/>
        <family val="2"/>
      </rPr>
      <t xml:space="preserve">넥 직선 끝 위치 </t>
    </r>
    <r>
      <rPr>
        <sz val="13"/>
        <rFont val="맑은 고딕"/>
        <family val="0"/>
        <charset val="1"/>
      </rPr>
      <t xml:space="preserve">(EOT 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</si>
  <si>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L2(</t>
    </r>
    <r>
      <rPr>
        <sz val="11"/>
        <color rgb="FF555555"/>
        <rFont val="Noto Sans CJK SC"/>
        <family val="2"/>
      </rPr>
      <t xml:space="preserve">목표</t>
    </r>
    <r>
      <rPr>
        <sz val="11"/>
        <color rgb="FF555555"/>
        <rFont val="맑은 고딕"/>
        <family val="0"/>
        <charset val="1"/>
      </rPr>
      <t xml:space="preserve">) − washout</t>
    </r>
  </si>
  <si>
    <r>
      <rPr>
        <b val="true"/>
        <sz val="13"/>
        <rFont val="맑은 고딕"/>
        <family val="0"/>
        <charset val="1"/>
      </rPr>
      <t xml:space="preserve">X Start (</t>
    </r>
    <r>
      <rPr>
        <b val="true"/>
        <sz val="13"/>
        <rFont val="Noto Sans CJK SC"/>
        <family val="2"/>
      </rPr>
      <t xml:space="preserve">섹션 </t>
    </r>
    <r>
      <rPr>
        <b val="true"/>
        <sz val="13"/>
        <rFont val="맑은 고딕"/>
        <family val="0"/>
        <charset val="1"/>
      </rPr>
      <t xml:space="preserve">1)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</si>
  <si>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−(L1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</t>
    </r>
  </si>
  <si>
    <t xml:space="preserve">넥 직선 길이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</si>
  <si>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0"/>
        <charset val="1"/>
      </rPr>
      <t xml:space="preserve">(L1 +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). iGrind </t>
    </r>
    <r>
      <rPr>
        <sz val="11"/>
        <color rgb="FF555555"/>
        <rFont val="Noto Sans CJK SC"/>
        <family val="2"/>
      </rPr>
      <t xml:space="preserve">단일 섹션의 </t>
    </r>
    <r>
      <rPr>
        <sz val="11"/>
        <color rgb="FF555555"/>
        <rFont val="맑은 고딕"/>
        <family val="0"/>
        <charset val="1"/>
      </rPr>
      <t xml:space="preserve">Step length </t>
    </r>
    <r>
      <rPr>
        <sz val="11"/>
        <color rgb="FF555555"/>
        <rFont val="Noto Sans CJK SC"/>
        <family val="2"/>
      </rPr>
      <t xml:space="preserve">와 같음</t>
    </r>
  </si>
  <si>
    <r>
      <rPr>
        <b val="true"/>
        <sz val="15"/>
        <rFont val="맑은 고딕"/>
        <family val="0"/>
        <charset val="1"/>
      </rPr>
      <t xml:space="preserve">4. iGrind Cylindrical Grinding </t>
    </r>
    <r>
      <rPr>
        <b val="true"/>
        <sz val="15"/>
        <rFont val="Noto Sans CJK SC"/>
        <family val="2"/>
      </rPr>
      <t xml:space="preserve">섹션별 입력값</t>
    </r>
  </si>
  <si>
    <t xml:space="preserve">섹션</t>
  </si>
  <si>
    <t xml:space="preserve">사용</t>
  </si>
  <si>
    <t xml:space="preserve">X Start (mm)</t>
  </si>
  <si>
    <t xml:space="preserve">Step length (mm)</t>
  </si>
  <si>
    <t xml:space="preserve">X end (mm)</t>
  </si>
  <si>
    <t xml:space="preserve">Final Ø (mm)</t>
  </si>
  <si>
    <t xml:space="preserve">Step taper (°)</t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</si>
  <si>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각 </t>
    </r>
    <r>
      <rPr>
        <b val="true"/>
        <sz val="13"/>
        <rFont val="맑은 고딕"/>
        <family val="0"/>
        <charset val="1"/>
      </rPr>
      <t xml:space="preserve">(°)</t>
    </r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</si>
  <si>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길이 </t>
    </r>
    <r>
      <rPr>
        <b val="true"/>
        <sz val="13"/>
        <rFont val="맑은 고딕"/>
        <family val="0"/>
        <charset val="1"/>
      </rPr>
      <t xml:space="preserve">(mm)</t>
    </r>
  </si>
  <si>
    <t xml:space="preserve">Roughing</t>
  </si>
  <si>
    <t xml:space="preserve">Start OD</t>
  </si>
  <si>
    <t xml:space="preserve">Overhang</t>
  </si>
  <si>
    <t xml:space="preserve">S1</t>
  </si>
  <si>
    <t xml:space="preserve">끔</t>
  </si>
  <si>
    <t xml:space="preserve">S2</t>
  </si>
  <si>
    <t xml:space="preserve">S3</t>
  </si>
  <si>
    <r>
      <rPr>
        <sz val="11"/>
        <color rgb="FF555555"/>
        <rFont val="맑은 고딕"/>
        <family val="0"/>
        <charset val="1"/>
      </rPr>
      <t xml:space="preserve">· S3 Final Ø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0"/>
        <charset val="1"/>
      </rPr>
      <t xml:space="preserve">EOT </t>
    </r>
    <r>
      <rPr>
        <sz val="11"/>
        <color rgb="FF555555"/>
        <rFont val="Noto Sans CJK SC"/>
        <family val="2"/>
      </rPr>
      <t xml:space="preserve">쪽 끝 지름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테이퍼 시작</t>
    </r>
    <r>
      <rPr>
        <sz val="11"/>
        <color rgb="FF555555"/>
        <rFont val="맑은 고딕"/>
        <family val="0"/>
        <charset val="1"/>
      </rPr>
      <t xml:space="preserve">). Step taper 15° </t>
    </r>
    <r>
      <rPr>
        <sz val="11"/>
        <color rgb="FF555555"/>
        <rFont val="Noto Sans CJK SC"/>
        <family val="2"/>
      </rPr>
      <t xml:space="preserve">가 한쪽</t>
    </r>
    <r>
      <rPr>
        <sz val="11"/>
        <color rgb="FF555555"/>
        <rFont val="맑은 고딕"/>
        <family val="0"/>
        <charset val="1"/>
      </rPr>
      <t xml:space="preserve">/</t>
    </r>
    <r>
      <rPr>
        <sz val="11"/>
        <color rgb="FF555555"/>
        <rFont val="Noto Sans CJK SC"/>
        <family val="2"/>
      </rPr>
      <t xml:space="preserve">양쪽 기준인지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부호 방향은 </t>
    </r>
    <r>
      <rPr>
        <sz val="11"/>
        <color rgb="FF555555"/>
        <rFont val="맑은 고딕"/>
        <family val="0"/>
        <charset val="1"/>
      </rPr>
      <t xml:space="preserve">iGrind 2D </t>
    </r>
    <r>
      <rPr>
        <sz val="11"/>
        <color rgb="FF555555"/>
        <rFont val="Noto Sans CJK SC"/>
        <family val="2"/>
      </rPr>
      <t xml:space="preserve">탭에서 </t>
    </r>
    <r>
      <rPr>
        <sz val="11"/>
        <color rgb="FF555555"/>
        <rFont val="맑은 고딕"/>
        <family val="0"/>
        <charset val="1"/>
      </rPr>
      <t xml:space="preserve">S3 </t>
    </r>
    <r>
      <rPr>
        <sz val="11"/>
        <color rgb="FF555555"/>
        <rFont val="Noto Sans CJK SC"/>
        <family val="2"/>
      </rPr>
      <t xml:space="preserve">끝이 </t>
    </r>
    <r>
      <rPr>
        <sz val="11"/>
        <color rgb="FF555555"/>
        <rFont val="맑은 고딕"/>
        <family val="0"/>
        <charset val="1"/>
      </rPr>
      <t xml:space="preserve">Ø S </t>
    </r>
    <r>
      <rPr>
        <sz val="11"/>
        <color rgb="FF555555"/>
        <rFont val="Noto Sans CJK SC"/>
        <family val="2"/>
      </rPr>
      <t xml:space="preserve">로 그려지는지로 확인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확인 필요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</si>
  <si>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1"/>
        <color rgb="FF555555"/>
        <rFont val="맑은 고딕"/>
        <family val="0"/>
        <charset val="1"/>
      </rPr>
      <t xml:space="preserve">· </t>
    </r>
    <r>
      <rPr>
        <sz val="11"/>
        <color rgb="FF555555"/>
        <rFont val="Noto Sans CJK SC"/>
        <family val="2"/>
      </rPr>
      <t xml:space="preserve">단일 섹션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다른 섹션은 지우거나 </t>
    </r>
    <r>
      <rPr>
        <sz val="11"/>
        <color rgb="FF555555"/>
        <rFont val="맑은 고딕"/>
        <family val="0"/>
        <charset val="1"/>
      </rPr>
      <t xml:space="preserve">X Start </t>
    </r>
    <r>
      <rPr>
        <sz val="11"/>
        <color rgb="FF555555"/>
        <rFont val="Noto Sans CJK SC"/>
        <family val="2"/>
      </rPr>
      <t xml:space="preserve">체인 링크를 끊고 정리</t>
    </r>
    <r>
      <rPr>
        <sz val="11"/>
        <color rgb="FF555555"/>
        <rFont val="맑은 고딕"/>
        <family val="0"/>
        <charset val="1"/>
      </rPr>
      <t xml:space="preserve">. Step length 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0"/>
        <charset val="1"/>
      </rPr>
      <t xml:space="preserve">washout </t>
    </r>
    <r>
      <rPr>
        <sz val="11"/>
        <color rgb="FF555555"/>
        <rFont val="Noto Sans CJK SC"/>
        <family val="2"/>
      </rPr>
      <t xml:space="preserve">제외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제조사 기준 — </t>
    </r>
    <r>
      <rPr>
        <sz val="11"/>
        <color rgb="FF555555"/>
        <rFont val="맑은 고딕"/>
        <family val="0"/>
        <charset val="1"/>
      </rPr>
      <t xml:space="preserve">iGrind Grinding Manual §30.9]</t>
    </r>
  </si>
  <si>
    <r>
      <rPr>
        <b val="true"/>
        <sz val="15"/>
        <rFont val="맑은 고딕"/>
        <family val="0"/>
        <charset val="1"/>
      </rPr>
      <t xml:space="preserve">5. </t>
    </r>
    <r>
      <rPr>
        <b val="true"/>
        <sz val="15"/>
        <rFont val="Noto Sans CJK SC"/>
        <family val="2"/>
      </rPr>
      <t xml:space="preserve">검토 지표</t>
    </r>
  </si>
  <si>
    <t xml:space="preserve">최대 반경 제거량</t>
  </si>
  <si>
    <r>
      <rPr>
        <sz val="11"/>
        <color rgb="FF555555"/>
        <rFont val="Noto Sans CJK SC"/>
        <family val="2"/>
      </rPr>
      <t xml:space="preserve">연장</t>
    </r>
    <r>
      <rPr>
        <sz val="11"/>
        <color rgb="FF555555"/>
        <rFont val="맑은 고딕"/>
        <family val="0"/>
        <charset val="1"/>
      </rPr>
      <t xml:space="preserve">: (</t>
    </r>
    <r>
      <rPr>
        <sz val="11"/>
        <color rgb="FF555555"/>
        <rFont val="Noto Sans CJK SC"/>
        <family val="2"/>
      </rPr>
      <t xml:space="preserve">그 위치 블랭크 지름 − </t>
    </r>
    <r>
      <rPr>
        <sz val="11"/>
        <color rgb="FF555555"/>
        <rFont val="맑은 고딕"/>
        <family val="0"/>
        <charset val="1"/>
      </rPr>
      <t xml:space="preserve">d) ÷ 2 / </t>
    </r>
    <r>
      <rPr>
        <sz val="11"/>
        <color rgb="FF555555"/>
        <rFont val="Noto Sans CJK SC"/>
        <family val="2"/>
      </rPr>
      <t xml:space="preserve">단일</t>
    </r>
    <r>
      <rPr>
        <sz val="11"/>
        <color rgb="FF555555"/>
        <rFont val="맑은 고딕"/>
        <family val="0"/>
        <charset val="1"/>
      </rPr>
      <t xml:space="preserve">: Δr</t>
    </r>
  </si>
  <si>
    <r>
      <rPr>
        <sz val="13"/>
        <rFont val="맑은 고딕"/>
        <family val="0"/>
        <charset val="1"/>
      </rPr>
      <t xml:space="preserve">S2 </t>
    </r>
    <r>
      <rPr>
        <sz val="13"/>
        <rFont val="Noto Sans CJK SC"/>
        <family val="2"/>
      </rPr>
      <t xml:space="preserve">블랭크 최대 지름 </t>
    </r>
    <r>
      <rPr>
        <sz val="13"/>
        <rFont val="맑은 고딕"/>
        <family val="0"/>
        <charset val="1"/>
      </rPr>
      <t xml:space="preserve">(Start OD)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</si>
  <si>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MIN(S, D + 2 × (</t>
    </r>
    <r>
      <rPr>
        <sz val="11"/>
        <color rgb="FF555555"/>
        <rFont val="Noto Sans CJK SC"/>
        <family val="2"/>
      </rPr>
      <t xml:space="preserve">넥 직선 끝 − </t>
    </r>
    <r>
      <rPr>
        <sz val="11"/>
        <color rgb="FF555555"/>
        <rFont val="맑은 고딕"/>
        <family val="0"/>
        <charset val="1"/>
      </rPr>
      <t xml:space="preserve">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)) × tan θ)</t>
    </r>
  </si>
  <si>
    <r>
      <rPr>
        <b val="true"/>
        <sz val="13"/>
        <rFont val="Noto Sans CJK SC"/>
        <family val="2"/>
      </rPr>
      <t xml:space="preserve">황삭 패스 수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추정</t>
    </r>
    <r>
      <rPr>
        <b val="true"/>
        <sz val="13"/>
        <rFont val="맑은 고딕"/>
        <family val="0"/>
        <charset val="1"/>
      </rPr>
      <t xml:space="preserve">)</t>
    </r>
  </si>
  <si>
    <t xml:space="preserve">패스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</si>
  <si>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ROUNDUP(</t>
    </r>
    <r>
      <rPr>
        <sz val="11"/>
        <color rgb="FF555555"/>
        <rFont val="Noto Sans CJK SC"/>
        <family val="2"/>
      </rPr>
      <t xml:space="preserve">최대 제거량 </t>
    </r>
    <r>
      <rPr>
        <sz val="11"/>
        <color rgb="FF555555"/>
        <rFont val="맑은 고딕"/>
        <family val="0"/>
        <charset val="1"/>
      </rPr>
      <t xml:space="preserve">÷ 1</t>
    </r>
    <r>
      <rPr>
        <sz val="11"/>
        <color rgb="FF555555"/>
        <rFont val="Noto Sans CJK SC"/>
        <family val="2"/>
      </rPr>
      <t xml:space="preserve">패스 절입</t>
    </r>
    <r>
      <rPr>
        <sz val="11"/>
        <color rgb="FF555555"/>
        <rFont val="맑은 고딕"/>
        <family val="0"/>
        <charset val="1"/>
      </rPr>
      <t xml:space="preserve">). </t>
    </r>
    <r>
      <rPr>
        <sz val="11"/>
        <color rgb="FF555555"/>
        <rFont val="Noto Sans CJK SC"/>
        <family val="2"/>
      </rPr>
      <t xml:space="preserve">단일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실적 이하면 정삭 </t>
    </r>
    <r>
      <rPr>
        <sz val="11"/>
        <color rgb="FF555555"/>
        <rFont val="맑은 고딕"/>
        <family val="0"/>
        <charset val="1"/>
      </rPr>
      <t xml:space="preserve">1</t>
    </r>
    <r>
      <rPr>
        <sz val="11"/>
        <color rgb="FF555555"/>
        <rFont val="Noto Sans CJK SC"/>
        <family val="2"/>
      </rPr>
      <t xml:space="preserve">패스</t>
    </r>
  </si>
  <si>
    <r>
      <rPr>
        <sz val="13"/>
        <rFont val="Noto Sans CJK SC"/>
        <family val="2"/>
      </rPr>
      <t xml:space="preserve">굽힘 강성 비 </t>
    </r>
    <r>
      <rPr>
        <sz val="13"/>
        <rFont val="맑은 고딕"/>
        <family val="0"/>
        <charset val="1"/>
      </rPr>
      <t xml:space="preserve">(d ÷ D)⁴</t>
    </r>
  </si>
  <si>
    <r>
      <rPr>
        <sz val="11"/>
        <color rgb="FF555555"/>
        <rFont val="Noto Sans CJK SC"/>
        <family val="2"/>
      </rPr>
      <t xml:space="preserve">넥 단면 </t>
    </r>
    <r>
      <rPr>
        <sz val="11"/>
        <color rgb="FF555555"/>
        <rFont val="맑은 고딕"/>
        <family val="0"/>
        <charset val="1"/>
      </rPr>
      <t xml:space="preserve">÷ Ø D </t>
    </r>
    <r>
      <rPr>
        <sz val="11"/>
        <color rgb="FF555555"/>
        <rFont val="Noto Sans CJK SC"/>
        <family val="2"/>
      </rPr>
      <t xml:space="preserve">단면</t>
    </r>
    <r>
      <rPr>
        <sz val="11"/>
        <color rgb="FF555555"/>
        <rFont val="맑은 고딕"/>
        <family val="0"/>
        <charset val="1"/>
      </rPr>
      <t xml:space="preserve">. I = π d⁴ ÷ 64 [ACA-GERE-MECHMAT]</t>
    </r>
  </si>
  <si>
    <r>
      <rPr>
        <sz val="13"/>
        <rFont val="Noto Sans CJK SC"/>
        <family val="2"/>
      </rPr>
      <t xml:space="preserve">처짐 배율 </t>
    </r>
    <r>
      <rPr>
        <sz val="13"/>
        <rFont val="맑은 고딕"/>
        <family val="0"/>
        <charset val="1"/>
      </rPr>
      <t xml:space="preserve">(1 ÷ </t>
    </r>
    <r>
      <rPr>
        <sz val="13"/>
        <rFont val="Noto Sans CJK SC"/>
        <family val="2"/>
      </rPr>
      <t xml:space="preserve">강성 비</t>
    </r>
    <r>
      <rPr>
        <sz val="13"/>
        <rFont val="맑은 고딕"/>
        <family val="0"/>
        <charset val="1"/>
      </rPr>
      <t xml:space="preserve">)</t>
    </r>
  </si>
  <si>
    <t xml:space="preserve">배</t>
  </si>
  <si>
    <r>
      <rPr>
        <sz val="11"/>
        <color rgb="FF555555"/>
        <rFont val="Noto Sans CJK SC"/>
        <family val="2"/>
      </rPr>
      <t xml:space="preserve">같은 힘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길이에서 넥 구간 처짐이 </t>
    </r>
    <r>
      <rPr>
        <sz val="11"/>
        <color rgb="FF555555"/>
        <rFont val="맑은 고딕"/>
        <family val="0"/>
        <charset val="1"/>
      </rPr>
      <t xml:space="preserve">Ø D </t>
    </r>
    <r>
      <rPr>
        <sz val="11"/>
        <color rgb="FF555555"/>
        <rFont val="Noto Sans CJK SC"/>
        <family val="2"/>
      </rPr>
      <t xml:space="preserve">대비 몇 배</t>
    </r>
  </si>
  <si>
    <r>
      <rPr>
        <sz val="13"/>
        <rFont val="맑은 고딕"/>
        <family val="0"/>
        <charset val="1"/>
      </rPr>
      <t xml:space="preserve">L2 ÷ D (</t>
    </r>
    <r>
      <rPr>
        <sz val="13"/>
        <rFont val="Noto Sans CJK SC"/>
        <family val="2"/>
      </rPr>
      <t xml:space="preserve">유효장 비</t>
    </r>
    <r>
      <rPr>
        <sz val="13"/>
        <rFont val="맑은 고딕"/>
        <family val="0"/>
        <charset val="1"/>
      </rPr>
      <t xml:space="preserve">)</t>
    </r>
  </si>
  <si>
    <t xml:space="preserve">처짐은 길이³ 에 비례 — 유효장이 길수록 개별 확인</t>
  </si>
  <si>
    <r>
      <rPr>
        <sz val="13"/>
        <rFont val="Noto Sans CJK SC"/>
        <family val="2"/>
      </rPr>
      <t xml:space="preserve">적용 구분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잠정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</si>
  <si>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경계 </t>
    </r>
    <r>
      <rPr>
        <sz val="11"/>
        <color rgb="FF555555"/>
        <rFont val="맑은 고딕"/>
        <family val="0"/>
        <charset val="1"/>
      </rPr>
      <t xml:space="preserve">D2 · D2.5 · D8 = </t>
    </r>
    <r>
      <rPr>
        <sz val="11"/>
        <color rgb="FF555555"/>
        <rFont val="Noto Sans CJK SC"/>
        <family val="2"/>
      </rPr>
      <t xml:space="preserve">강성 참조표 </t>
    </r>
    <r>
      <rPr>
        <sz val="11"/>
        <color rgb="FF555555"/>
        <rFont val="맑은 고딕"/>
        <family val="0"/>
        <charset val="1"/>
      </rPr>
      <t xml:space="preserve">§1 </t>
    </r>
    <r>
      <rPr>
        <sz val="11"/>
        <color rgb="FF555555"/>
        <rFont val="Noto Sans CJK SC"/>
        <family val="2"/>
      </rPr>
      <t xml:space="preserve">잠정값 </t>
    </r>
    <r>
      <rPr>
        <sz val="11"/>
        <color rgb="FF555555"/>
        <rFont val="맑은 고딕"/>
        <family val="0"/>
        <charset val="1"/>
      </rPr>
      <t xml:space="preserve">[</t>
    </r>
    <r>
      <rPr>
        <sz val="11"/>
        <color rgb="FF555555"/>
        <rFont val="Noto Sans CJK SC"/>
        <family val="2"/>
      </rPr>
      <t xml:space="preserve">추정값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</si>
  <si>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sz val="13"/>
        <rFont val="Noto Sans CJK SC"/>
        <family val="2"/>
      </rPr>
      <t xml:space="preserve">기존 테이퍼 끝 </t>
    </r>
    <r>
      <rPr>
        <sz val="13"/>
        <rFont val="맑은 고딕"/>
        <family val="0"/>
        <charset val="1"/>
      </rPr>
      <t xml:space="preserve">(Ø S </t>
    </r>
    <r>
      <rPr>
        <sz val="13"/>
        <rFont val="Noto Sans CJK SC"/>
        <family val="2"/>
      </rPr>
      <t xml:space="preserve">시작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</si>
  <si>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L2(</t>
    </r>
    <r>
      <rPr>
        <sz val="11"/>
        <color rgb="FF555555"/>
        <rFont val="Noto Sans CJK SC"/>
        <family val="2"/>
      </rPr>
      <t xml:space="preserve">블랭크</t>
    </r>
    <r>
      <rPr>
        <sz val="11"/>
        <color rgb="FF555555"/>
        <rFont val="맑은 고딕"/>
        <family val="0"/>
        <charset val="1"/>
      </rPr>
      <t xml:space="preserve">) + (S − D) ÷ (2 tan θ)</t>
    </r>
  </si>
  <si>
    <r>
      <rPr>
        <sz val="13"/>
        <rFont val="Noto Sans CJK SC"/>
        <family val="2"/>
      </rPr>
      <t xml:space="preserve">가공 후 테이퍼 끝 </t>
    </r>
    <r>
      <rPr>
        <sz val="13"/>
        <rFont val="맑은 고딕"/>
        <family val="0"/>
        <charset val="1"/>
      </rPr>
      <t xml:space="preserve">(Ø S </t>
    </r>
    <r>
      <rPr>
        <sz val="13"/>
        <rFont val="Noto Sans CJK SC"/>
        <family val="2"/>
      </rPr>
      <t xml:space="preserve">시작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</si>
  <si>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연장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넥 직선 끝 </t>
    </r>
    <r>
      <rPr>
        <sz val="11"/>
        <color rgb="FF555555"/>
        <rFont val="맑은 고딕"/>
        <family val="0"/>
        <charset val="1"/>
      </rPr>
      <t xml:space="preserve">+ S3 </t>
    </r>
    <r>
      <rPr>
        <sz val="11"/>
        <color rgb="FF555555"/>
        <rFont val="Noto Sans CJK SC"/>
        <family val="2"/>
      </rPr>
      <t xml:space="preserve">길이</t>
    </r>
  </si>
  <si>
    <t xml:space="preserve">생크 남는 길이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</si>
  <si>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L − </t>
    </r>
    <r>
      <rPr>
        <sz val="11"/>
        <color rgb="FF555555"/>
        <rFont val="Noto Sans CJK SC"/>
        <family val="2"/>
      </rPr>
      <t xml:space="preserve">가공 후 테이퍼 끝</t>
    </r>
  </si>
  <si>
    <r>
      <rPr>
        <sz val="13"/>
        <rFont val="Noto Sans CJK SC"/>
        <family val="2"/>
      </rPr>
      <t xml:space="preserve">휠 원주속도 </t>
    </r>
    <r>
      <rPr>
        <sz val="13"/>
        <rFont val="맑은 고딕"/>
        <family val="0"/>
        <charset val="1"/>
      </rPr>
      <t xml:space="preserve">Vc</t>
    </r>
  </si>
  <si>
    <t xml:space="preserve">m/s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</si>
  <si>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</t>
    </r>
    <r>
      <rPr>
        <sz val="11"/>
        <color rgb="FF555555"/>
        <rFont val="Noto Sans CJK SC"/>
        <family val="2"/>
      </rPr>
      <t xml:space="preserve">휠 지름 </t>
    </r>
    <r>
      <rPr>
        <sz val="11"/>
        <color rgb="FF555555"/>
        <rFont val="맑은 고딕"/>
        <family val="0"/>
        <charset val="1"/>
      </rPr>
      <t xml:space="preserve">× N ÷ 60000. </t>
    </r>
    <r>
      <rPr>
        <sz val="11"/>
        <color rgb="FF555555"/>
        <rFont val="Noto Sans CJK SC"/>
        <family val="2"/>
      </rPr>
      <t xml:space="preserve">사내 실사용 </t>
    </r>
    <r>
      <rPr>
        <sz val="11"/>
        <color rgb="FF555555"/>
        <rFont val="맑은 고딕"/>
        <family val="0"/>
        <charset val="1"/>
      </rPr>
      <t xml:space="preserve">16.8~19.6 m/s · </t>
    </r>
    <r>
      <rPr>
        <sz val="11"/>
        <color rgb="FF555555"/>
        <rFont val="Noto Sans CJK SC"/>
        <family val="2"/>
      </rPr>
      <t xml:space="preserve">사내 상한 </t>
    </r>
    <r>
      <rPr>
        <sz val="11"/>
        <color rgb="FF555555"/>
        <rFont val="맑은 고딕"/>
        <family val="0"/>
        <charset val="1"/>
      </rPr>
      <t xml:space="preserve">25 m/s</t>
    </r>
  </si>
  <si>
    <r>
      <rPr>
        <sz val="13"/>
        <rFont val="Noto Sans CJK SC"/>
        <family val="2"/>
      </rPr>
      <t xml:space="preserve">회전당 이송 </t>
    </r>
    <r>
      <rPr>
        <sz val="13"/>
        <rFont val="맑은 고딕"/>
        <family val="0"/>
        <charset val="1"/>
      </rPr>
      <t xml:space="preserve">fa</t>
    </r>
  </si>
  <si>
    <t xml:space="preserve">mm/rev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</si>
  <si>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0"/>
        <charset val="1"/>
      </rPr>
      <t xml:space="preserve">÷ A Spin</t>
    </r>
  </si>
  <si>
    <r>
      <rPr>
        <sz val="13"/>
        <rFont val="Noto Sans CJK SC"/>
        <family val="2"/>
      </rPr>
      <t xml:space="preserve">공작물 원주속도 </t>
    </r>
    <r>
      <rPr>
        <sz val="13"/>
        <rFont val="맑은 고딕"/>
        <family val="0"/>
        <charset val="1"/>
      </rPr>
      <t xml:space="preserve">vw</t>
    </r>
  </si>
  <si>
    <t xml:space="preserve">m/min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</si>
  <si>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d × A Spin ÷ 1000</t>
    </r>
  </si>
  <si>
    <r>
      <rPr>
        <sz val="13"/>
        <rFont val="Noto Sans CJK SC"/>
        <family val="2"/>
      </rPr>
      <t xml:space="preserve">정삭 제거율 </t>
    </r>
    <r>
      <rPr>
        <sz val="13"/>
        <rFont val="맑은 고딕"/>
        <family val="0"/>
        <charset val="1"/>
      </rPr>
      <t xml:space="preserve">Q (</t>
    </r>
    <r>
      <rPr>
        <sz val="13"/>
        <rFont val="Noto Sans CJK SC"/>
        <family val="2"/>
      </rPr>
      <t xml:space="preserve">머리 구간</t>
    </r>
    <r>
      <rPr>
        <sz val="13"/>
        <rFont val="맑은 고딕"/>
        <family val="0"/>
        <charset val="1"/>
      </rPr>
      <t xml:space="preserve">)</t>
    </r>
  </si>
  <si>
    <t xml:space="preserve">mm³/min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</si>
  <si>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π × </t>
    </r>
    <r>
      <rPr>
        <sz val="11"/>
        <color rgb="FF555555"/>
        <rFont val="Noto Sans CJK SC"/>
        <family val="2"/>
      </rPr>
      <t xml:space="preserve">평균 지름 </t>
    </r>
    <r>
      <rPr>
        <sz val="11"/>
        <color rgb="FF555555"/>
        <rFont val="맑은 고딕"/>
        <family val="0"/>
        <charset val="1"/>
      </rPr>
      <t xml:space="preserve">× Δr × </t>
    </r>
    <r>
      <rPr>
        <sz val="11"/>
        <color rgb="FF555555"/>
        <rFont val="Noto Sans CJK SC"/>
        <family val="2"/>
      </rPr>
      <t xml:space="preserve">이송</t>
    </r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</si>
  <si>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시간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추정</t>
    </r>
    <r>
      <rPr>
        <sz val="13"/>
        <rFont val="맑은 고딕"/>
        <family val="0"/>
        <charset val="1"/>
      </rPr>
      <t xml:space="preserve">)</t>
    </r>
  </si>
  <si>
    <t xml:space="preserve">분</t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</si>
  <si>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연삭 길이 </t>
    </r>
    <r>
      <rPr>
        <sz val="11"/>
        <color rgb="FF555555"/>
        <rFont val="맑은 고딕"/>
        <family val="0"/>
        <charset val="1"/>
      </rPr>
      <t xml:space="preserve">÷ </t>
    </r>
    <r>
      <rPr>
        <sz val="11"/>
        <color rgb="FF555555"/>
        <rFont val="Noto Sans CJK SC"/>
        <family val="2"/>
      </rPr>
      <t xml:space="preserve">이송</t>
    </r>
    <r>
      <rPr>
        <sz val="11"/>
        <color rgb="FF555555"/>
        <rFont val="맑은 고딕"/>
        <family val="0"/>
        <charset val="1"/>
      </rPr>
      <t xml:space="preserve">. 2JJCR </t>
    </r>
    <r>
      <rPr>
        <sz val="11"/>
        <color rgb="FF555555"/>
        <rFont val="Noto Sans CJK SC"/>
        <family val="2"/>
      </rPr>
      <t xml:space="preserve">계산 </t>
    </r>
    <r>
      <rPr>
        <sz val="11"/>
        <color rgb="FF555555"/>
        <rFont val="맑은 고딕"/>
        <family val="0"/>
        <charset val="1"/>
      </rPr>
      <t xml:space="preserve">7.95</t>
    </r>
    <r>
      <rPr>
        <sz val="11"/>
        <color rgb="FF555555"/>
        <rFont val="Noto Sans CJK SC"/>
        <family val="2"/>
      </rPr>
      <t xml:space="preserve">분 </t>
    </r>
    <r>
      <rPr>
        <sz val="11"/>
        <color rgb="FF555555"/>
        <rFont val="맑은 고딕"/>
        <family val="0"/>
        <charset val="1"/>
      </rPr>
      <t xml:space="preserve">vs CIM3D 3:15 </t>
    </r>
    <r>
      <rPr>
        <sz val="11"/>
        <color rgb="FF555555"/>
        <rFont val="Noto Sans CJK SC"/>
        <family val="2"/>
      </rPr>
      <t xml:space="preserve">불일치 미결 → 참고만</t>
    </r>
  </si>
  <si>
    <r>
      <rPr>
        <sz val="13"/>
        <rFont val="Noto Sans CJK SC"/>
        <family val="2"/>
      </rPr>
      <t xml:space="preserve">황삭 시간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추정</t>
    </r>
    <r>
      <rPr>
        <sz val="13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</si>
  <si>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식</t>
    </r>
    <r>
      <rPr>
        <sz val="11"/>
        <color rgb="FF555555"/>
        <rFont val="맑은 고딕"/>
        <family val="0"/>
        <charset val="1"/>
      </rPr>
      <t xml:space="preserve">: </t>
    </r>
    <r>
      <rPr>
        <sz val="11"/>
        <color rgb="FF555555"/>
        <rFont val="Noto Sans CJK SC"/>
        <family val="2"/>
      </rPr>
      <t xml:space="preserve">패스 수 </t>
    </r>
    <r>
      <rPr>
        <sz val="11"/>
        <color rgb="FF555555"/>
        <rFont val="맑은 고딕"/>
        <family val="0"/>
        <charset val="1"/>
      </rPr>
      <t xml:space="preserve">× </t>
    </r>
    <r>
      <rPr>
        <sz val="11"/>
        <color rgb="FF555555"/>
        <rFont val="Noto Sans CJK SC"/>
        <family val="2"/>
      </rPr>
      <t xml:space="preserve">길이 </t>
    </r>
    <r>
      <rPr>
        <sz val="11"/>
        <color rgb="FF555555"/>
        <rFont val="맑은 고딕"/>
        <family val="0"/>
        <charset val="1"/>
      </rPr>
      <t xml:space="preserve">÷ </t>
    </r>
    <r>
      <rPr>
        <sz val="11"/>
        <color rgb="FF555555"/>
        <rFont val="Noto Sans CJK SC"/>
        <family val="2"/>
      </rPr>
      <t xml:space="preserve">이송 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진입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복귀 제외</t>
    </r>
    <r>
      <rPr>
        <sz val="11"/>
        <color rgb="FF555555"/>
        <rFont val="맑은 고딕"/>
        <family val="0"/>
        <charset val="1"/>
      </rPr>
      <t xml:space="preserve">, </t>
    </r>
    <r>
      <rPr>
        <sz val="11"/>
        <color rgb="FF555555"/>
        <rFont val="Noto Sans CJK SC"/>
        <family val="2"/>
      </rPr>
      <t xml:space="preserve">황삭 이송이 다르면 달라짐</t>
    </r>
    <r>
      <rPr>
        <sz val="11"/>
        <color rgb="FF555555"/>
        <rFont val="맑은 고딕"/>
        <family val="0"/>
        <charset val="1"/>
      </rPr>
      <t xml:space="preserve">) [</t>
    </r>
    <r>
      <rPr>
        <sz val="11"/>
        <color rgb="FF555555"/>
        <rFont val="Noto Sans CJK SC"/>
        <family val="2"/>
      </rPr>
      <t xml:space="preserve">추정값</t>
    </r>
    <r>
      <rPr>
        <sz val="11"/>
        <color rgb="FF555555"/>
        <rFont val="맑은 고딕"/>
        <family val="0"/>
        <charset val="1"/>
      </rPr>
      <t xml:space="preserve">]</t>
    </r>
  </si>
  <si>
    <r>
      <rPr>
        <b val="true"/>
        <sz val="15"/>
        <rFont val="맑은 고딕"/>
        <family val="0"/>
        <charset val="1"/>
      </rPr>
      <t xml:space="preserve">6. </t>
    </r>
    <r>
      <rPr>
        <b val="true"/>
        <sz val="15"/>
        <rFont val="Noto Sans CJK SC"/>
        <family val="2"/>
      </rPr>
      <t xml:space="preserve">점검</t>
    </r>
    <r>
      <rPr>
        <b val="true"/>
        <sz val="15"/>
        <rFont val="맑은 고딕"/>
        <family val="0"/>
        <charset val="1"/>
      </rPr>
      <t xml:space="preserve">·</t>
    </r>
    <r>
      <rPr>
        <b val="true"/>
        <sz val="15"/>
        <rFont val="Noto Sans CJK SC"/>
        <family val="2"/>
      </rPr>
      <t xml:space="preserve">경고 </t>
    </r>
    <r>
      <rPr>
        <b val="true"/>
        <sz val="15"/>
        <rFont val="맑은 고딕"/>
        <family val="0"/>
        <charset val="1"/>
      </rPr>
      <t xml:space="preserve">(</t>
    </r>
    <r>
      <rPr>
        <b val="true"/>
        <sz val="15"/>
        <rFont val="Noto Sans CJK SC"/>
        <family val="2"/>
      </rPr>
      <t xml:space="preserve">해당될 때만 표시</t>
    </r>
    <r>
      <rPr>
        <b val="true"/>
        <sz val="15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</si>
  <si>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가능성 비교 — 한 줄에 한 안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案</t>
    </r>
    <r>
      <rPr>
        <b val="true"/>
        <sz val="22"/>
        <rFont val="맑은 고딕"/>
        <family val="0"/>
        <charset val="1"/>
      </rPr>
      <t xml:space="preserve">)</t>
    </r>
  </si>
  <si>
    <r>
      <rPr>
        <sz val="11"/>
        <color rgb="FF555555"/>
        <rFont val="Noto Sans CJK SC"/>
        <family val="2"/>
      </rPr>
      <t xml:space="preserve">노란 칸 입력 → 오른쪽 결과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넥 기본 여유</t>
    </r>
    <r>
      <rPr>
        <sz val="11"/>
        <color rgb="FF555555"/>
        <rFont val="맑은 고딕"/>
        <family val="0"/>
        <charset val="1"/>
      </rPr>
      <t xml:space="preserve">·X Start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황삭 절입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실적 절입</t>
    </r>
    <r>
      <rPr>
        <sz val="11"/>
        <color rgb="FF555555"/>
        <rFont val="맑은 고딕"/>
        <family val="0"/>
        <charset val="1"/>
      </rPr>
      <t xml:space="preserve">·</t>
    </r>
    <r>
      <rPr>
        <sz val="11"/>
        <color rgb="FF555555"/>
        <rFont val="Noto Sans CJK SC"/>
        <family val="2"/>
      </rPr>
      <t xml:space="preserve">이송은 「넥계산기」 시트 값을 공통으로 씀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초록 글자</t>
    </r>
    <r>
      <rPr>
        <sz val="11"/>
        <color rgb="FF555555"/>
        <rFont val="맑은 고딕"/>
        <family val="0"/>
        <charset val="1"/>
      </rPr>
      <t xml:space="preserve">). d </t>
    </r>
    <r>
      <rPr>
        <sz val="11"/>
        <color rgb="FF555555"/>
        <rFont val="Noto Sans CJK SC"/>
        <family val="2"/>
      </rPr>
      <t xml:space="preserve">를 비우면 </t>
    </r>
    <r>
      <rPr>
        <sz val="11"/>
        <color rgb="FF555555"/>
        <rFont val="맑은 고딕"/>
        <family val="0"/>
        <charset val="1"/>
      </rPr>
      <t xml:space="preserve">D − </t>
    </r>
    <r>
      <rPr>
        <sz val="11"/>
        <color rgb="FF555555"/>
        <rFont val="Noto Sans CJK SC"/>
        <family val="2"/>
      </rPr>
      <t xml:space="preserve">여유</t>
    </r>
    <r>
      <rPr>
        <sz val="11"/>
        <color rgb="FF555555"/>
        <rFont val="맑은 고딕"/>
        <family val="0"/>
        <charset val="1"/>
      </rPr>
      <t xml:space="preserve">. </t>
    </r>
    <r>
      <rPr>
        <sz val="11"/>
        <color rgb="FF555555"/>
        <rFont val="Noto Sans CJK SC"/>
        <family val="2"/>
      </rPr>
      <t xml:space="preserve">예시 줄 </t>
    </r>
    <r>
      <rPr>
        <sz val="11"/>
        <color rgb="FF555555"/>
        <rFont val="맑은 고딕"/>
        <family val="0"/>
        <charset val="1"/>
      </rPr>
      <t xml:space="preserve">3~5</t>
    </r>
    <r>
      <rPr>
        <sz val="11"/>
        <color rgb="FF555555"/>
        <rFont val="Noto Sans CJK SC"/>
        <family val="2"/>
      </rPr>
      <t xml:space="preserve">는 </t>
    </r>
    <r>
      <rPr>
        <sz val="11"/>
        <color rgb="FF555555"/>
        <rFont val="맑은 고딕"/>
        <family val="0"/>
        <charset val="1"/>
      </rPr>
      <t xml:space="preserve">L2 </t>
    </r>
    <r>
      <rPr>
        <sz val="11"/>
        <color rgb="FF555555"/>
        <rFont val="Noto Sans CJK SC"/>
        <family val="2"/>
      </rPr>
      <t xml:space="preserve">만 바꾼 가정값</t>
    </r>
    <r>
      <rPr>
        <sz val="11"/>
        <color rgb="FF555555"/>
        <rFont val="맑은 고딕"/>
        <family val="0"/>
        <charset val="1"/>
      </rPr>
      <t xml:space="preserve">(</t>
    </r>
    <r>
      <rPr>
        <sz val="11"/>
        <color rgb="FF555555"/>
        <rFont val="Noto Sans CJK SC"/>
        <family val="2"/>
      </rPr>
      <t xml:space="preserve">가능성 비교용</t>
    </r>
    <r>
      <rPr>
        <sz val="11"/>
        <color rgb="FF555555"/>
        <rFont val="맑은 고딕"/>
        <family val="0"/>
        <charset val="1"/>
      </rPr>
      <t xml:space="preserve">) — </t>
    </r>
    <r>
      <rPr>
        <sz val="11"/>
        <color rgb="FF555555"/>
        <rFont val="Noto Sans CJK SC"/>
        <family val="2"/>
      </rPr>
      <t xml:space="preserve">실제 품번 아님</t>
    </r>
    <r>
      <rPr>
        <sz val="11"/>
        <color rgb="FF555555"/>
        <rFont val="맑은 고딕"/>
        <family val="0"/>
        <charset val="1"/>
      </rPr>
      <t xml:space="preserve">.</t>
    </r>
  </si>
  <si>
    <t xml:space="preserve">공통값 →</t>
  </si>
  <si>
    <t xml:space="preserve">넥 여유</t>
  </si>
  <si>
    <r>
      <rPr>
        <sz val="13"/>
        <rFont val="맑은 고딕"/>
        <family val="0"/>
        <charset val="1"/>
      </rPr>
      <t xml:space="preserve">X Start </t>
    </r>
    <r>
      <rPr>
        <sz val="13"/>
        <rFont val="Noto Sans CJK SC"/>
        <family val="2"/>
      </rPr>
      <t xml:space="preserve">여유</t>
    </r>
  </si>
  <si>
    <t xml:space="preserve">황삭 절입</t>
  </si>
  <si>
    <t xml:space="preserve">실적 절입</t>
  </si>
  <si>
    <t xml:space="preserve">이송</t>
  </si>
  <si>
    <r>
      <rPr>
        <b val="true"/>
        <sz val="12"/>
        <rFont val="Noto Sans CJK SC"/>
        <family val="2"/>
      </rPr>
      <t xml:space="preserve">구분 </t>
    </r>
    <r>
      <rPr>
        <b val="true"/>
        <sz val="12"/>
        <rFont val="맑은 고딕"/>
        <family val="0"/>
        <charset val="1"/>
      </rPr>
      <t xml:space="preserve">/ </t>
    </r>
    <r>
      <rPr>
        <b val="true"/>
        <sz val="12"/>
        <rFont val="Noto Sans CJK SC"/>
        <family val="2"/>
      </rPr>
      <t xml:space="preserve">메모</t>
    </r>
  </si>
  <si>
    <t xml:space="preserve">D</t>
  </si>
  <si>
    <r>
      <rPr>
        <b val="true"/>
        <sz val="12"/>
        <rFont val="맑은 고딕"/>
        <family val="0"/>
        <charset val="1"/>
      </rPr>
      <t xml:space="preserve">L1 </t>
    </r>
    <r>
      <rPr>
        <b val="true"/>
        <sz val="12"/>
        <rFont val="Noto Sans CJK SC"/>
        <family val="2"/>
      </rPr>
      <t xml:space="preserve">날장</t>
    </r>
  </si>
  <si>
    <r>
      <rPr>
        <b val="true"/>
        <sz val="12"/>
        <rFont val="맑은 고딕"/>
        <family val="0"/>
        <charset val="1"/>
      </rPr>
      <t xml:space="preserve">L2(</t>
    </r>
    <r>
      <rPr>
        <b val="true"/>
        <sz val="12"/>
        <rFont val="Noto Sans CJK SC"/>
        <family val="2"/>
      </rPr>
      <t xml:space="preserve">블랭크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</si>
  <si>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2"/>
        <rFont val="맑은 고딕"/>
        <family val="0"/>
        <charset val="1"/>
      </rPr>
      <t xml:space="preserve">L2(</t>
    </r>
    <r>
      <rPr>
        <b val="true"/>
        <sz val="12"/>
        <rFont val="Noto Sans CJK SC"/>
        <family val="2"/>
      </rPr>
      <t xml:space="preserve">목표</t>
    </r>
    <r>
      <rPr>
        <b val="true"/>
        <sz val="12"/>
        <rFont val="맑은 고딕"/>
        <family val="0"/>
        <charset val="1"/>
      </rPr>
      <t xml:space="preserve">)</t>
    </r>
  </si>
  <si>
    <r>
      <rPr>
        <b val="true"/>
        <sz val="12"/>
        <rFont val="맑은 고딕"/>
        <family val="0"/>
        <charset val="1"/>
      </rPr>
      <t xml:space="preserve">L </t>
    </r>
    <r>
      <rPr>
        <b val="true"/>
        <sz val="12"/>
        <rFont val="Noto Sans CJK SC"/>
        <family val="2"/>
      </rPr>
      <t xml:space="preserve">전장</t>
    </r>
  </si>
  <si>
    <r>
      <rPr>
        <b val="true"/>
        <sz val="12"/>
        <rFont val="맑은 고딕"/>
        <family val="0"/>
        <charset val="1"/>
      </rPr>
      <t xml:space="preserve">S </t>
    </r>
    <r>
      <rPr>
        <b val="true"/>
        <sz val="12"/>
        <rFont val="Noto Sans CJK SC"/>
        <family val="2"/>
      </rPr>
      <t xml:space="preserve">생크</t>
    </r>
  </si>
  <si>
    <t xml:space="preserve">θ (°)</t>
  </si>
  <si>
    <r>
      <rPr>
        <b val="true"/>
        <sz val="12"/>
        <rFont val="맑은 고딕"/>
        <family val="0"/>
        <charset val="1"/>
      </rPr>
      <t xml:space="preserve">d </t>
    </r>
    <r>
      <rPr>
        <b val="true"/>
        <sz val="12"/>
        <rFont val="Noto Sans CJK SC"/>
        <family val="2"/>
      </rPr>
      <t xml:space="preserve">입력</t>
    </r>
  </si>
  <si>
    <r>
      <rPr>
        <b val="true"/>
        <sz val="12"/>
        <rFont val="Noto Sans CJK SC"/>
        <family val="2"/>
      </rPr>
      <t xml:space="preserve">적용 </t>
    </r>
    <r>
      <rPr>
        <b val="true"/>
        <sz val="12"/>
        <rFont val="맑은 고딕"/>
        <family val="0"/>
        <charset val="1"/>
      </rPr>
      <t xml:space="preserve">d</t>
    </r>
  </si>
  <si>
    <r>
      <rPr>
        <b val="true"/>
        <sz val="12"/>
        <rFont val="맑은 고딕"/>
        <family val="0"/>
        <charset val="1"/>
      </rPr>
      <t xml:space="preserve">Washout </t>
    </r>
    <r>
      <rPr>
        <b val="true"/>
        <sz val="12"/>
        <rFont val="Noto Sans CJK SC"/>
        <family val="2"/>
      </rPr>
      <t xml:space="preserve">길이</t>
    </r>
  </si>
  <si>
    <t xml:space="preserve">X Start</t>
  </si>
  <si>
    <t xml:space="preserve">S1 Step length</t>
  </si>
  <si>
    <t xml:space="preserve">S2 Step length</t>
  </si>
  <si>
    <t xml:space="preserve">S3 Step length</t>
  </si>
  <si>
    <r>
      <rPr>
        <b val="true"/>
        <sz val="12"/>
        <rFont val="Noto Sans CJK SC"/>
        <family val="2"/>
      </rPr>
      <t xml:space="preserve">넥 직선 끝 </t>
    </r>
    <r>
      <rPr>
        <b val="true"/>
        <sz val="12"/>
        <rFont val="맑은 고딕"/>
        <family val="0"/>
        <charset val="1"/>
      </rPr>
      <t xml:space="preserve">X</t>
    </r>
  </si>
  <si>
    <t xml:space="preserve">S2 Start OD</t>
  </si>
  <si>
    <t xml:space="preserve">최대 반경 제거</t>
  </si>
  <si>
    <t xml:space="preserve">황삭 패스</t>
  </si>
  <si>
    <t xml:space="preserve">강성 비</t>
  </si>
  <si>
    <t xml:space="preserve">처짐 배율</t>
  </si>
  <si>
    <t xml:space="preserve">L2÷D</t>
  </si>
  <si>
    <t xml:space="preserve">적용 구분</t>
  </si>
  <si>
    <r>
      <rPr>
        <b val="true"/>
        <sz val="12"/>
        <rFont val="Noto Sans CJK SC"/>
        <family val="2"/>
      </rPr>
      <t xml:space="preserve">정삭 </t>
    </r>
    <r>
      <rPr>
        <b val="true"/>
        <sz val="12"/>
        <rFont val="맑은 고딕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패스 </t>
    </r>
    <r>
      <rPr>
        <b val="true"/>
        <sz val="12"/>
        <rFont val="맑은 고딕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분</t>
    </r>
    <r>
      <rPr>
        <b val="true"/>
        <sz val="12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</si>
  <si>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2JJCR 040 010 200 (</t>
    </r>
    <r>
      <rPr>
        <sz val="11"/>
        <rFont val="Noto Sans CJK SC"/>
        <family val="2"/>
      </rPr>
      <t xml:space="preserve">카탈로그 치수 </t>
    </r>
    <r>
      <rPr>
        <sz val="11"/>
        <rFont val="맑은 고딕"/>
        <family val="0"/>
        <charset val="1"/>
      </rPr>
      <t xml:space="preserve">· </t>
    </r>
    <r>
      <rPr>
        <sz val="11"/>
        <rFont val="Noto Sans CJK SC"/>
        <family val="2"/>
      </rPr>
      <t xml:space="preserve">넥 </t>
    </r>
    <r>
      <rPr>
        <sz val="11"/>
        <rFont val="맑은 고딕"/>
        <family val="0"/>
        <charset val="1"/>
      </rPr>
      <t xml:space="preserve">Ø3.85 </t>
    </r>
    <r>
      <rPr>
        <sz val="11"/>
        <rFont val="Noto Sans CJK SC"/>
        <family val="2"/>
      </rPr>
      <t xml:space="preserve">확정안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</si>
  <si>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테스트 </t>
    </r>
    <r>
      <rPr>
        <sz val="11"/>
        <rFont val="맑은 고딕"/>
        <family val="0"/>
        <charset val="1"/>
      </rPr>
      <t xml:space="preserve">D4 2</t>
    </r>
    <r>
      <rPr>
        <sz val="11"/>
        <rFont val="Noto Sans CJK SC"/>
        <family val="2"/>
      </rPr>
      <t xml:space="preserve">날 평 </t>
    </r>
    <r>
      <rPr>
        <sz val="11"/>
        <rFont val="맑은 고딕"/>
        <family val="0"/>
        <charset val="1"/>
      </rPr>
      <t xml:space="preserve">L2 8 → 14 (10-19, </t>
    </r>
    <r>
      <rPr>
        <sz val="11"/>
        <rFont val="Noto Sans CJK SC"/>
        <family val="2"/>
      </rPr>
      <t xml:space="preserve">전장 미입력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</si>
  <si>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12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</si>
  <si>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16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</si>
  <si>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예시 — </t>
    </r>
    <r>
      <rPr>
        <sz val="11"/>
        <rFont val="맑은 고딕"/>
        <family val="0"/>
        <charset val="1"/>
      </rPr>
      <t xml:space="preserve">D4 L2 8 → 20 (</t>
    </r>
    <r>
      <rPr>
        <sz val="11"/>
        <rFont val="Noto Sans CJK SC"/>
        <family val="2"/>
      </rPr>
      <t xml:space="preserve">가정값</t>
    </r>
    <r>
      <rPr>
        <sz val="11"/>
        <rFont val="맑은 고딕"/>
        <family val="0"/>
        <charset val="1"/>
      </rPr>
      <t xml:space="preserve">)</t>
    </r>
  </si>
  <si>
    <r>
      <rPr>
        <b val="true"/>
        <sz val="22"/>
        <rFont val="Noto Sans CJK SC"/>
        <family val="2"/>
      </rPr>
      <t xml:space="preserve">수식 </t>
    </r>
    <r>
      <rPr>
        <b val="true"/>
        <sz val="22"/>
        <rFont val="맑은 고딕"/>
        <family val="0"/>
        <charset val="1"/>
      </rPr>
      <t xml:space="preserve">· </t>
    </r>
    <r>
      <rPr>
        <b val="true"/>
        <sz val="22"/>
        <rFont val="Noto Sans CJK SC"/>
        <family val="2"/>
      </rPr>
      <t xml:space="preserve">근거 </t>
    </r>
    <r>
      <rPr>
        <b val="true"/>
        <sz val="22"/>
        <rFont val="맑은 고딕"/>
        <family val="0"/>
        <charset val="1"/>
      </rPr>
      <t xml:space="preserve">· </t>
    </r>
    <r>
      <rPr>
        <b val="true"/>
        <sz val="22"/>
        <rFont val="Noto Sans CJK SC"/>
        <family val="2"/>
      </rPr>
      <t xml:space="preserve">신뢰도</t>
    </r>
  </si>
  <si>
    <t xml:space="preserve">항목</t>
  </si>
  <si>
    <r>
      <rPr>
        <b val="true"/>
        <sz val="13"/>
        <rFont val="Noto Sans CJK SC"/>
        <family val="2"/>
      </rPr>
      <t xml:space="preserve">수식 </t>
    </r>
    <r>
      <rPr>
        <b val="true"/>
        <sz val="13"/>
        <rFont val="맑은 고딕"/>
        <family val="0"/>
        <charset val="1"/>
      </rPr>
      <t xml:space="preserve">/ </t>
    </r>
    <r>
      <rPr>
        <b val="true"/>
        <sz val="13"/>
        <rFont val="Noto Sans CJK SC"/>
        <family val="2"/>
      </rPr>
      <t xml:space="preserve">내용</t>
    </r>
  </si>
  <si>
    <t xml:space="preserve">신뢰도</t>
  </si>
  <si>
    <t xml:space="preserve">출처</t>
  </si>
  <si>
    <r>
      <rPr>
        <b val="true"/>
        <sz val="13"/>
        <rFont val="Noto Sans CJK SC"/>
        <family val="2"/>
      </rPr>
      <t xml:space="preserve">넥 지름 </t>
    </r>
    <r>
      <rPr>
        <b val="true"/>
        <sz val="13"/>
        <rFont val="맑은 고딕"/>
        <family val="0"/>
        <charset val="1"/>
      </rPr>
      <t xml:space="preserve">d</t>
    </r>
  </si>
  <si>
    <r>
      <rPr>
        <sz val="13"/>
        <rFont val="맑은 고딕"/>
        <family val="0"/>
        <charset val="1"/>
      </rPr>
      <t xml:space="preserve">d = D − 0.15 (</t>
    </r>
    <r>
      <rPr>
        <sz val="13"/>
        <rFont val="Noto Sans CJK SC"/>
        <family val="2"/>
      </rPr>
      <t xml:space="preserve">지름 기준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한쪽 </t>
    </r>
    <r>
      <rPr>
        <sz val="13"/>
        <rFont val="맑은 고딕"/>
        <family val="0"/>
        <charset val="1"/>
      </rPr>
      <t xml:space="preserve">0.075 mm). </t>
    </r>
    <r>
      <rPr>
        <sz val="13"/>
        <rFont val="Noto Sans CJK SC"/>
        <family val="2"/>
      </rPr>
      <t xml:space="preserve">입력하면 입력값 우선</t>
    </r>
  </si>
  <si>
    <r>
      <rPr>
        <sz val="13"/>
        <rFont val="Noto Sans CJK SC"/>
        <family val="2"/>
      </rPr>
      <t xml:space="preserve">사내 경험값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근거 </t>
    </r>
    <r>
      <rPr>
        <sz val="13"/>
        <rFont val="맑은 고딕"/>
        <family val="0"/>
        <charset val="1"/>
      </rPr>
      <t xml:space="preserve">D4 1</t>
    </r>
    <r>
      <rPr>
        <sz val="13"/>
        <rFont val="Noto Sans CJK SC"/>
        <family val="2"/>
      </rPr>
      <t xml:space="preserve">건</t>
    </r>
    <r>
      <rPr>
        <sz val="13"/>
        <rFont val="맑은 고딕"/>
        <family val="0"/>
        <charset val="1"/>
      </rPr>
      <t xml:space="preserve">)</t>
    </r>
  </si>
  <si>
    <t xml:space="preserve">decisions 2026-10-19 (6) · AFCY_2krb040120s06.tom (2016)</t>
  </si>
  <si>
    <r>
      <rPr>
        <b val="true"/>
        <sz val="13"/>
        <rFont val="맑은 고딕"/>
        <family val="0"/>
        <charset val="1"/>
      </rPr>
      <t xml:space="preserve">Washout </t>
    </r>
    <r>
      <rPr>
        <b val="true"/>
        <sz val="13"/>
        <rFont val="Noto Sans CJK SC"/>
        <family val="2"/>
      </rPr>
      <t xml:space="preserve">길이</t>
    </r>
  </si>
  <si>
    <t xml:space="preserve">wo = (D − d) ÷ 2 ÷ tan θ</t>
  </si>
  <si>
    <t xml:space="preserve">계산값</t>
  </si>
  <si>
    <t xml:space="preserve">iGrind Grinding Manual §30.9 [VEN-ANCA-IGRIND-CYCLES]</t>
  </si>
  <si>
    <r>
      <rPr>
        <sz val="13"/>
        <rFont val="맑은 고딕"/>
        <family val="0"/>
        <charset val="1"/>
      </rPr>
      <t xml:space="preserve">X Start = −(L1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여유 기본 </t>
    </r>
    <r>
      <rPr>
        <sz val="13"/>
        <rFont val="맑은 고딕"/>
        <family val="0"/>
        <charset val="1"/>
      </rPr>
      <t xml:space="preserve">0.1 mm</t>
    </r>
  </si>
  <si>
    <t xml:space="preserve">사내 경험값</t>
  </si>
  <si>
    <r>
      <rPr>
        <sz val="13"/>
        <rFont val="맑은 고딕"/>
        <family val="0"/>
        <charset val="1"/>
      </rPr>
      <t xml:space="preserve">2JJCR </t>
    </r>
    <r>
      <rPr>
        <sz val="13"/>
        <rFont val="Noto Sans CJK SC"/>
        <family val="2"/>
      </rPr>
      <t xml:space="preserve">기존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확정안 −</t>
    </r>
    <r>
      <rPr>
        <sz val="13"/>
        <rFont val="맑은 고딕"/>
        <family val="0"/>
        <charset val="1"/>
      </rPr>
      <t xml:space="preserve">4.1</t>
    </r>
  </si>
  <si>
    <r>
      <rPr>
        <b val="true"/>
        <sz val="13"/>
        <rFont val="Noto Sans CJK SC"/>
        <family val="2"/>
      </rPr>
      <t xml:space="preserve">단일 섹션 </t>
    </r>
    <r>
      <rPr>
        <b val="true"/>
        <sz val="13"/>
        <rFont val="맑은 고딕"/>
        <family val="0"/>
        <charset val="1"/>
      </rPr>
      <t xml:space="preserve">Step length</t>
    </r>
  </si>
  <si>
    <r>
      <rPr>
        <sz val="13"/>
        <rFont val="맑은 고딕"/>
        <family val="0"/>
        <charset val="1"/>
      </rPr>
      <t xml:space="preserve">Step = (L2 − wo) − 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). Step length </t>
    </r>
    <r>
      <rPr>
        <sz val="13"/>
        <rFont val="Noto Sans CJK SC"/>
        <family val="2"/>
      </rPr>
      <t xml:space="preserve">는 </t>
    </r>
    <r>
      <rPr>
        <sz val="13"/>
        <rFont val="맑은 고딕"/>
        <family val="0"/>
        <charset val="1"/>
      </rPr>
      <t xml:space="preserve">washout </t>
    </r>
    <r>
      <rPr>
        <sz val="13"/>
        <rFont val="Noto Sans CJK SC"/>
        <family val="2"/>
      </rPr>
      <t xml:space="preserve">제외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</si>
  <si>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정의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계산값</t>
    </r>
  </si>
  <si>
    <t xml:space="preserve">[VEN-ANCA-IGRIND-CYCLES] §30.9</t>
  </si>
  <si>
    <t xml:space="preserve">단일 섹션 조건</t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</si>
  <si>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≤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). </t>
    </r>
    <r>
      <rPr>
        <sz val="13"/>
        <rFont val="Noto Sans CJK SC"/>
        <family val="2"/>
      </rPr>
      <t xml:space="preserve">넥 끝의 </t>
    </r>
    <r>
      <rPr>
        <sz val="13"/>
        <rFont val="맑은 고딕"/>
        <family val="0"/>
        <charset val="1"/>
      </rPr>
      <t xml:space="preserve">θ washout </t>
    </r>
    <r>
      <rPr>
        <sz val="13"/>
        <rFont val="Noto Sans CJK SC"/>
        <family val="2"/>
      </rPr>
      <t xml:space="preserve">이 기존 테이퍼 선과 겹쳐 테이퍼 재연삭 불필요</t>
    </r>
  </si>
  <si>
    <t xml:space="preserve">worklog 2026-10-19 (#4)</t>
  </si>
  <si>
    <r>
      <rPr>
        <b val="true"/>
        <sz val="13"/>
        <rFont val="맑은 고딕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섹션 조건</t>
    </r>
  </si>
  <si>
    <r>
      <rPr>
        <sz val="13"/>
        <rFont val="맑은 고딕"/>
        <family val="0"/>
        <charset val="1"/>
      </rPr>
      <t xml:space="preserve">L2(</t>
    </r>
    <r>
      <rPr>
        <sz val="13"/>
        <rFont val="Noto Sans CJK SC"/>
        <family val="2"/>
      </rPr>
      <t xml:space="preserve">목표</t>
    </r>
    <r>
      <rPr>
        <sz val="13"/>
        <rFont val="맑은 고딕"/>
        <family val="0"/>
        <charset val="1"/>
      </rPr>
      <t xml:space="preserve">) &gt;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— </t>
    </r>
    <r>
      <rPr>
        <sz val="13"/>
        <rFont val="Noto Sans CJK SC"/>
        <family val="2"/>
      </rPr>
      <t xml:space="preserve">새 테이퍼가 기존 테이퍼와 평행하게 안쪽으로 밀려 생크를 깎음</t>
    </r>
  </si>
  <si>
    <r>
      <rPr>
        <sz val="13"/>
        <rFont val="맑은 고딕"/>
        <family val="0"/>
        <charset val="1"/>
      </rPr>
      <t xml:space="preserve">X Start → −L2(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− (L1 + </t>
    </r>
    <r>
      <rPr>
        <sz val="13"/>
        <rFont val="Noto Sans CJK SC"/>
        <family val="2"/>
      </rPr>
      <t xml:space="preserve">여유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정삭만</t>
    </r>
    <r>
      <rPr>
        <sz val="13"/>
        <rFont val="맑은 고딕"/>
        <family val="0"/>
        <charset val="1"/>
      </rPr>
      <t xml:space="preserve">, Start OD = D</t>
    </r>
  </si>
  <si>
    <r>
      <rPr>
        <sz val="13"/>
        <rFont val="Noto Sans CJK SC"/>
        <family val="2"/>
      </rPr>
      <t xml:space="preserve">추정값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시뮬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실측 전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</si>
  <si>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테스트 제품 절</t>
    </r>
  </si>
  <si>
    <r>
      <rPr>
        <sz val="13"/>
        <rFont val="맑은 고딕"/>
        <family val="0"/>
        <charset val="1"/>
      </rPr>
      <t xml:space="preserve">−L2(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 → −(L2 − wo),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L2 − wo −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), </t>
    </r>
    <r>
      <rPr>
        <sz val="13"/>
        <rFont val="Noto Sans CJK SC"/>
        <family val="2"/>
      </rPr>
      <t xml:space="preserve">황삭 켬</t>
    </r>
    <r>
      <rPr>
        <sz val="13"/>
        <rFont val="맑은 고딕"/>
        <family val="0"/>
        <charset val="1"/>
      </rPr>
      <t xml:space="preserve">, Start OD = MIN(S, D + 2 × (L2 − wo − L2(</t>
    </r>
    <r>
      <rPr>
        <sz val="13"/>
        <rFont val="Noto Sans CJK SC"/>
        <family val="2"/>
      </rPr>
      <t xml:space="preserve">블랭크</t>
    </r>
    <r>
      <rPr>
        <sz val="13"/>
        <rFont val="맑은 고딕"/>
        <family val="0"/>
        <charset val="1"/>
      </rPr>
      <t xml:space="preserve">)) × tan θ)</t>
    </r>
  </si>
  <si>
    <t xml:space="preserve">추정값</t>
  </si>
  <si>
    <t xml:space="preserve">같은 절</t>
  </si>
  <si>
    <r>
      <rPr>
        <sz val="13"/>
        <rFont val="맑은 고딕"/>
        <family val="0"/>
        <charset val="1"/>
      </rPr>
      <t xml:space="preserve">−(L2 − wo) </t>
    </r>
    <r>
      <rPr>
        <sz val="13"/>
        <rFont val="Noto Sans CJK SC"/>
        <family val="2"/>
      </rPr>
      <t xml:space="preserve">에서 </t>
    </r>
    <r>
      <rPr>
        <sz val="13"/>
        <rFont val="맑은 고딕"/>
        <family val="0"/>
        <charset val="1"/>
      </rPr>
      <t xml:space="preserve">θ </t>
    </r>
    <r>
      <rPr>
        <sz val="13"/>
        <rFont val="Noto Sans CJK SC"/>
        <family val="2"/>
      </rPr>
      <t xml:space="preserve">테이퍼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길이 </t>
    </r>
    <r>
      <rPr>
        <sz val="13"/>
        <rFont val="맑은 고딕"/>
        <family val="0"/>
        <charset val="1"/>
      </rPr>
      <t xml:space="preserve">= (S − d) ÷ (2 tan θ), Final Ø = d (EOT </t>
    </r>
    <r>
      <rPr>
        <sz val="13"/>
        <rFont val="Noto Sans CJK SC"/>
        <family val="2"/>
      </rPr>
      <t xml:space="preserve">쪽</t>
    </r>
    <r>
      <rPr>
        <sz val="13"/>
        <rFont val="맑은 고딕"/>
        <family val="0"/>
        <charset val="1"/>
      </rPr>
      <t xml:space="preserve">), Start OD = S</t>
    </r>
  </si>
  <si>
    <r>
      <rPr>
        <sz val="13"/>
        <rFont val="Noto Sans CJK SC"/>
        <family val="2"/>
      </rPr>
      <t xml:space="preserve">추정값 — </t>
    </r>
    <r>
      <rPr>
        <sz val="13"/>
        <rFont val="맑은 고딕"/>
        <family val="0"/>
        <charset val="1"/>
      </rPr>
      <t xml:space="preserve">Step taper </t>
    </r>
    <r>
      <rPr>
        <sz val="13"/>
        <rFont val="Noto Sans CJK SC"/>
        <family val="2"/>
      </rPr>
      <t xml:space="preserve">정의 확인 필요</t>
    </r>
  </si>
  <si>
    <r>
      <rPr>
        <sz val="13"/>
        <rFont val="Noto Sans CJK SC"/>
        <family val="2"/>
      </rPr>
      <t xml:space="preserve">단일 </t>
    </r>
    <r>
      <rPr>
        <sz val="13"/>
        <rFont val="맑은 고딕"/>
        <family val="0"/>
        <charset val="1"/>
      </rPr>
      <t xml:space="preserve">= Δr · </t>
    </r>
    <r>
      <rPr>
        <sz val="13"/>
        <rFont val="Noto Sans CJK SC"/>
        <family val="2"/>
      </rPr>
      <t xml:space="preserve">연장 </t>
    </r>
    <r>
      <rPr>
        <sz val="13"/>
        <rFont val="맑은 고딕"/>
        <family val="0"/>
        <charset val="1"/>
      </rPr>
      <t xml:space="preserve">= (S2 Start OD − d) ÷ 2</t>
    </r>
  </si>
  <si>
    <r>
      <rPr>
        <sz val="13"/>
        <rFont val="맑은 고딕"/>
        <family val="0"/>
        <charset val="1"/>
      </rPr>
      <t xml:space="preserve">ROUNDUP(</t>
    </r>
    <r>
      <rPr>
        <sz val="13"/>
        <rFont val="Noto Sans CJK SC"/>
        <family val="2"/>
      </rPr>
      <t xml:space="preserve">최대 제거 </t>
    </r>
    <r>
      <rPr>
        <sz val="13"/>
        <rFont val="맑은 고딕"/>
        <family val="0"/>
        <charset val="1"/>
      </rPr>
      <t xml:space="preserve">÷ 1</t>
    </r>
    <r>
      <rPr>
        <sz val="13"/>
        <rFont val="Noto Sans CJK SC"/>
        <family val="2"/>
      </rPr>
      <t xml:space="preserve">패스 반경 절입</t>
    </r>
    <r>
      <rPr>
        <sz val="13"/>
        <rFont val="맑은 고딕"/>
        <family val="0"/>
        <charset val="1"/>
      </rPr>
      <t xml:space="preserve">). </t>
    </r>
    <r>
      <rPr>
        <sz val="13"/>
        <rFont val="Noto Sans CJK SC"/>
        <family val="2"/>
      </rPr>
      <t xml:space="preserve">시작 </t>
    </r>
    <r>
      <rPr>
        <sz val="13"/>
        <rFont val="맑은 고딕"/>
        <family val="0"/>
        <charset val="1"/>
      </rPr>
      <t xml:space="preserve">0.05 → </t>
    </r>
    <r>
      <rPr>
        <sz val="13"/>
        <rFont val="Noto Sans CJK SC"/>
        <family val="2"/>
      </rPr>
      <t xml:space="preserve">이상 없으면 </t>
    </r>
    <r>
      <rPr>
        <sz val="13"/>
        <rFont val="맑은 고딕"/>
        <family val="0"/>
        <charset val="1"/>
      </rPr>
      <t xml:space="preserve">0.075</t>
    </r>
  </si>
  <si>
    <t xml:space="preserve">추정값 — 시험 필요</t>
  </si>
  <si>
    <t xml:space="preserve">굽힘 강성 비</t>
  </si>
  <si>
    <r>
      <rPr>
        <sz val="13"/>
        <rFont val="맑은 고딕"/>
        <family val="0"/>
        <charset val="1"/>
      </rPr>
      <t xml:space="preserve">(d ÷ D)⁴ — I = π d⁴ ÷ 64, </t>
    </r>
    <r>
      <rPr>
        <sz val="13"/>
        <rFont val="Noto Sans CJK SC"/>
        <family val="2"/>
      </rPr>
      <t xml:space="preserve">외팔보 처짐 </t>
    </r>
    <r>
      <rPr>
        <sz val="13"/>
        <rFont val="맑은 고딕"/>
        <family val="0"/>
        <charset val="1"/>
      </rPr>
      <t xml:space="preserve">δ = F L³ ÷ (3 E I)</t>
    </r>
  </si>
  <si>
    <r>
      <rPr>
        <sz val="13"/>
        <rFont val="Noto Sans CJK SC"/>
        <family val="2"/>
      </rPr>
      <t xml:space="preserve">계산값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재료역학 기본식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</si>
  <si>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[ACA-GERE-MECHMAT] · standards/</t>
    </r>
    <r>
      <rPr>
        <sz val="13"/>
        <rFont val="Noto Sans CJK SC"/>
        <family val="2"/>
      </rPr>
      <t xml:space="preserve">넥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지름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기준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굽힘강성표</t>
    </r>
  </si>
  <si>
    <t xml:space="preserve">적용 구분 경계</t>
  </si>
  <si>
    <t xml:space="preserve">D &lt; 0.5 ⛔ · &lt; 2 🔴 · &lt; 2.5 🟡 · &lt; 8 🟢 · ≥ 8 🟡</t>
  </si>
  <si>
    <r>
      <rPr>
        <sz val="13"/>
        <rFont val="Noto Sans CJK SC"/>
        <family val="2"/>
      </rPr>
      <t xml:space="preserve">추정값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잠정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</si>
  <si>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강성 참조표 </t>
    </r>
    <r>
      <rPr>
        <sz val="13"/>
        <rFont val="맑은 고딕"/>
        <family val="0"/>
        <charset val="1"/>
      </rPr>
      <t xml:space="preserve">§1</t>
    </r>
  </si>
  <si>
    <t xml:space="preserve">Vc</t>
  </si>
  <si>
    <r>
      <rPr>
        <sz val="13"/>
        <rFont val="맑은 고딕"/>
        <family val="0"/>
        <charset val="1"/>
      </rPr>
      <t xml:space="preserve">Vc = π × </t>
    </r>
    <r>
      <rPr>
        <sz val="13"/>
        <rFont val="Noto Sans CJK SC"/>
        <family val="2"/>
      </rPr>
      <t xml:space="preserve">휠 지름 </t>
    </r>
    <r>
      <rPr>
        <sz val="13"/>
        <rFont val="맑은 고딕"/>
        <family val="0"/>
        <charset val="1"/>
      </rPr>
      <t xml:space="preserve">× N ÷ 60000. </t>
    </r>
    <r>
      <rPr>
        <sz val="13"/>
        <rFont val="Noto Sans CJK SC"/>
        <family val="2"/>
      </rPr>
      <t xml:space="preserve">사내 실사용 </t>
    </r>
    <r>
      <rPr>
        <sz val="13"/>
        <rFont val="맑은 고딕"/>
        <family val="0"/>
        <charset val="1"/>
      </rPr>
      <t xml:space="preserve">16.8~19.6 m/s, </t>
    </r>
    <r>
      <rPr>
        <sz val="13"/>
        <rFont val="Noto Sans CJK SC"/>
        <family val="2"/>
      </rPr>
      <t xml:space="preserve">사내 상한 </t>
    </r>
    <r>
      <rPr>
        <sz val="13"/>
        <rFont val="맑은 고딕"/>
        <family val="0"/>
        <charset val="1"/>
      </rPr>
      <t xml:space="preserve">25 m/s, &gt;30 m/s </t>
    </r>
    <r>
      <rPr>
        <sz val="13"/>
        <rFont val="Noto Sans CJK SC"/>
        <family val="2"/>
      </rPr>
      <t xml:space="preserve">경고</t>
    </r>
  </si>
  <si>
    <r>
      <rPr>
        <sz val="13"/>
        <rFont val="Noto Sans CJK SC"/>
        <family val="2"/>
      </rPr>
      <t xml:space="preserve">제조사 기준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범위</t>
    </r>
    <r>
      <rPr>
        <sz val="13"/>
        <rFont val="맑은 고딕"/>
        <family val="0"/>
        <charset val="1"/>
      </rPr>
      <t xml:space="preserve">) / </t>
    </r>
    <r>
      <rPr>
        <sz val="13"/>
        <rFont val="Noto Sans CJK SC"/>
        <family val="2"/>
      </rPr>
      <t xml:space="preserve">사내 기준</t>
    </r>
  </si>
  <si>
    <t xml:space="preserve">[VEN-NORTON-WINTER-2023] · CLAUDE.md §2</t>
  </si>
  <si>
    <t xml:space="preserve">시간</t>
  </si>
  <si>
    <r>
      <rPr>
        <sz val="13"/>
        <rFont val="Noto Sans CJK SC"/>
        <family val="2"/>
      </rPr>
      <t xml:space="preserve">정삭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패스 </t>
    </r>
    <r>
      <rPr>
        <sz val="13"/>
        <rFont val="맑은 고딕"/>
        <family val="0"/>
        <charset val="1"/>
      </rPr>
      <t xml:space="preserve">= </t>
    </r>
    <r>
      <rPr>
        <sz val="13"/>
        <rFont val="Noto Sans CJK SC"/>
        <family val="2"/>
      </rPr>
      <t xml:space="preserve">연삭 길이 </t>
    </r>
    <r>
      <rPr>
        <sz val="13"/>
        <rFont val="맑은 고딕"/>
        <family val="0"/>
        <charset val="1"/>
      </rPr>
      <t xml:space="preserve">÷ </t>
    </r>
    <r>
      <rPr>
        <sz val="13"/>
        <rFont val="Noto Sans CJK SC"/>
        <family val="2"/>
      </rPr>
      <t xml:space="preserve">이송</t>
    </r>
    <r>
      <rPr>
        <sz val="13"/>
        <rFont val="맑은 고딕"/>
        <family val="0"/>
        <charset val="1"/>
      </rPr>
      <t xml:space="preserve">. 2JJCR </t>
    </r>
    <r>
      <rPr>
        <sz val="13"/>
        <rFont val="Noto Sans CJK SC"/>
        <family val="2"/>
      </rPr>
      <t xml:space="preserve">계산 </t>
    </r>
    <r>
      <rPr>
        <sz val="13"/>
        <rFont val="맑은 고딕"/>
        <family val="0"/>
        <charset val="1"/>
      </rPr>
      <t xml:space="preserve"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0"/>
        <charset val="1"/>
      </rPr>
      <t xml:space="preserve">vs CIM3D 3:15 </t>
    </r>
    <r>
      <rPr>
        <sz val="13"/>
        <rFont val="Noto Sans CJK SC"/>
        <family val="2"/>
      </rPr>
      <t xml:space="preserve">불일치 미결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</si>
  <si>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0"/>
        <charset val="1"/>
      </rPr>
      <t xml:space="preserve">§4·</t>
    </r>
    <r>
      <rPr>
        <sz val="13"/>
        <rFont val="Noto Sans CJK SC"/>
        <family val="2"/>
      </rPr>
      <t xml:space="preserve">미결 </t>
    </r>
    <r>
      <rPr>
        <sz val="13"/>
        <rFont val="맑은 고딕"/>
        <family val="0"/>
        <charset val="1"/>
      </rPr>
      <t xml:space="preserve">2</t>
    </r>
  </si>
  <si>
    <r>
      <rPr>
        <b val="true"/>
        <sz val="13"/>
        <rFont val="Noto Sans CJK SC"/>
        <family val="2"/>
      </rPr>
      <t xml:space="preserve">검산 </t>
    </r>
    <r>
      <rPr>
        <b val="true"/>
        <sz val="13"/>
        <rFont val="맑은 고딕"/>
        <family val="0"/>
        <charset val="1"/>
      </rPr>
      <t xml:space="preserve">1 — 2JJCR 040 010 200</t>
    </r>
  </si>
  <si>
    <r>
      <rPr>
        <sz val="13"/>
        <rFont val="맑은 고딕"/>
        <family val="0"/>
        <charset val="1"/>
      </rPr>
      <t xml:space="preserve">D4 · L1 4 · L2 20 · S6 · θ15 · d 3.85 → wo 0.280 · X Start −4.100 · Step 15.620 · </t>
    </r>
    <r>
      <rPr>
        <sz val="13"/>
        <rFont val="Noto Sans CJK SC"/>
        <family val="2"/>
      </rPr>
      <t xml:space="preserve">넥 끝 −</t>
    </r>
    <r>
      <rPr>
        <sz val="13"/>
        <rFont val="맑은 고딕"/>
        <family val="0"/>
        <charset val="1"/>
      </rPr>
      <t xml:space="preserve">19.720 · 7.95</t>
    </r>
    <r>
      <rPr>
        <sz val="13"/>
        <rFont val="Noto Sans CJK SC"/>
        <family val="2"/>
      </rPr>
      <t xml:space="preserve">분</t>
    </r>
  </si>
  <si>
    <t xml:space="preserve">위키 값과 일치해야 함</t>
  </si>
  <si>
    <r>
      <rPr>
        <sz val="13"/>
        <rFont val="맑은 고딕"/>
        <family val="0"/>
        <charset val="1"/>
      </rPr>
      <t xml:space="preserve">cadcam/iGrind-</t>
    </r>
    <r>
      <rPr>
        <sz val="13"/>
        <rFont val="Noto Sans CJK SC"/>
        <family val="2"/>
      </rPr>
      <t xml:space="preserve">원통연삭</t>
    </r>
    <r>
      <rPr>
        <sz val="13"/>
        <rFont val="맑은 고딕"/>
        <family val="0"/>
        <charset val="1"/>
      </rPr>
      <t xml:space="preserve">-</t>
    </r>
    <r>
      <rPr>
        <sz val="13"/>
        <rFont val="Noto Sans CJK SC"/>
        <family val="2"/>
      </rPr>
      <t xml:space="preserve">넥가공</t>
    </r>
    <r>
      <rPr>
        <sz val="13"/>
        <rFont val="맑은 고딕"/>
        <family val="0"/>
        <charset val="1"/>
      </rPr>
      <t xml:space="preserve">-2JJCR040010200 §2</t>
    </r>
  </si>
  <si>
    <r>
      <rPr>
        <b val="true"/>
        <sz val="13"/>
        <rFont val="Noto Sans CJK SC"/>
        <family val="2"/>
      </rPr>
      <t xml:space="preserve">검산 </t>
    </r>
    <r>
      <rPr>
        <b val="true"/>
        <sz val="13"/>
        <rFont val="맑은 고딕"/>
        <family val="0"/>
        <charset val="1"/>
      </rPr>
      <t xml:space="preserve">2 — </t>
    </r>
    <r>
      <rPr>
        <b val="true"/>
        <sz val="13"/>
        <rFont val="Noto Sans CJK SC"/>
        <family val="2"/>
      </rPr>
      <t xml:space="preserve">테스트 </t>
    </r>
    <r>
      <rPr>
        <b val="true"/>
        <sz val="13"/>
        <rFont val="맑은 고딕"/>
        <family val="0"/>
        <charset val="1"/>
      </rPr>
      <t xml:space="preserve">D4 L2 8 → 14</t>
    </r>
  </si>
  <si>
    <r>
      <rPr>
        <sz val="13"/>
        <rFont val="맑은 고딕"/>
        <family val="0"/>
        <charset val="1"/>
      </rPr>
      <t xml:space="preserve">S1 −4.1 / 3.90 · S2 −8.0 / 5.72 · Start OD 6.0 · S3 −13.72 / 4.01 → −17.73 · </t>
    </r>
    <r>
      <rPr>
        <sz val="13"/>
        <rFont val="Noto Sans CJK SC"/>
        <family val="2"/>
      </rPr>
      <t xml:space="preserve">최대 </t>
    </r>
    <r>
      <rPr>
        <sz val="13"/>
        <rFont val="맑은 고딕"/>
        <family val="0"/>
        <charset val="1"/>
      </rPr>
      <t xml:space="preserve">1.075 · 0.05 mm → 22</t>
    </r>
    <r>
      <rPr>
        <sz val="13"/>
        <rFont val="Noto Sans CJK SC"/>
        <family val="2"/>
      </rPr>
      <t xml:space="preserve">패스</t>
    </r>
  </si>
  <si>
    <t xml:space="preserve">같은 페이지 테스트 제품 절</t>
  </si>
  <si>
    <r>
      <rPr>
        <b val="true"/>
        <sz val="13"/>
        <rFont val="Noto Sans CJK SC"/>
        <family val="2"/>
      </rPr>
      <t xml:space="preserve">미결 </t>
    </r>
    <r>
      <rPr>
        <b val="true"/>
        <sz val="13"/>
        <rFont val="맑은 고딕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확인 필요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</si>
  <si>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① Step taper </t>
    </r>
    <r>
      <rPr>
        <sz val="13"/>
        <rFont val="Noto Sans CJK SC"/>
        <family val="2"/>
      </rPr>
      <t xml:space="preserve">한쪽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양쪽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부호 ② 황삭 절입이 반경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직경 기준인지 ③ </t>
    </r>
    <r>
      <rPr>
        <sz val="13"/>
        <rFont val="맑은 고딕"/>
        <family val="0"/>
        <charset val="1"/>
      </rPr>
      <t xml:space="preserve">Finish stock 1.333 </t>
    </r>
    <r>
      <rPr>
        <sz val="13"/>
        <rFont val="Noto Sans CJK SC"/>
        <family val="2"/>
      </rPr>
      <t xml:space="preserve">의미 ④ </t>
    </r>
    <r>
      <rPr>
        <sz val="13"/>
        <rFont val="맑은 고딕"/>
        <family val="0"/>
        <charset val="1"/>
      </rPr>
      <t xml:space="preserve">7.95</t>
    </r>
    <r>
      <rPr>
        <sz val="13"/>
        <rFont val="Noto Sans CJK SC"/>
        <family val="2"/>
      </rPr>
      <t xml:space="preserve">분 </t>
    </r>
    <r>
      <rPr>
        <sz val="13"/>
        <rFont val="맑은 고딕"/>
        <family val="0"/>
        <charset val="1"/>
      </rPr>
      <t xml:space="preserve">vs 3:15 ⑤ </t>
    </r>
    <r>
      <rPr>
        <sz val="13"/>
        <rFont val="Noto Sans CJK SC"/>
        <family val="2"/>
      </rPr>
      <t xml:space="preserve">정삭 휠 지름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폭 ⑥ </t>
    </r>
    <r>
      <rPr>
        <sz val="13"/>
        <rFont val="맑은 고딕"/>
        <family val="0"/>
        <charset val="1"/>
      </rPr>
      <t xml:space="preserve">A</t>
    </r>
    <r>
      <rPr>
        <sz val="13"/>
        <rFont val="Noto Sans CJK SC"/>
        <family val="2"/>
      </rPr>
      <t xml:space="preserve">축 최대 </t>
    </r>
    <r>
      <rPr>
        <sz val="13"/>
        <rFont val="맑은 고딕"/>
        <family val="0"/>
        <charset val="1"/>
      </rPr>
      <t xml:space="preserve">rpm ⑦ Allow Wheel Overhang </t>
    </r>
    <r>
      <rPr>
        <sz val="13"/>
        <rFont val="Noto Sans CJK SC"/>
        <family val="2"/>
      </rPr>
      <t xml:space="preserve">공식 정의</t>
    </r>
  </si>
  <si>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넥 페이지 </t>
    </r>
    <r>
      <rPr>
        <sz val="13"/>
        <rFont val="맑은 고딕"/>
        <family val="0"/>
        <charset val="1"/>
      </rPr>
      <t xml:space="preserve">§5 </t>
    </r>
    <r>
      <rPr>
        <sz val="13"/>
        <rFont val="Noto Sans CJK SC"/>
        <family val="2"/>
      </rPr>
      <t xml:space="preserve">미결</t>
    </r>
  </si>
  <si>
    <t xml:space="preserve">안전</t>
  </si>
  <si>
    <r>
      <rPr>
        <sz val="13"/>
        <rFont val="맑은 고딕"/>
        <family val="0"/>
        <charset val="1"/>
      </rPr>
      <t xml:space="preserve">AI </t>
    </r>
    <r>
      <rPr>
        <sz val="13"/>
        <rFont val="Noto Sans CJK SC"/>
        <family val="2"/>
      </rPr>
      <t xml:space="preserve">제시 수치는 참고값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신규 조건은 </t>
    </r>
    <r>
      <rPr>
        <sz val="13"/>
        <rFont val="맑은 고딕"/>
        <family val="0"/>
        <charset val="1"/>
      </rPr>
      <t xml:space="preserve">CIM3D → </t>
    </r>
    <r>
      <rPr>
        <sz val="13"/>
        <rFont val="Noto Sans CJK SC"/>
        <family val="2"/>
      </rPr>
      <t xml:space="preserve">시험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개 → 측정 → 검증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양산 적용은 현장 최종 판단</t>
    </r>
  </si>
  <si>
    <r>
      <rPr>
        <sz val="13"/>
        <rFont val="맑은 고딕"/>
        <family val="0"/>
        <charset val="1"/>
      </rPr>
      <t xml:space="preserve">CLAUDE.md §2 </t>
    </r>
    <r>
      <rPr>
        <sz val="13"/>
        <rFont val="Noto Sans CJK SC"/>
        <family val="2"/>
      </rPr>
      <t xml:space="preserve">조건 적용 안전 규칙</t>
    </r>
  </si>
  <si>
    <r>
      <rPr>
        <b val="true"/>
        <sz val="22"/>
        <rFont val="Noto Sans CJK SC"/>
        <family val="2"/>
      </rPr>
      <t xml:space="preserve">변경 이력 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기존 값 삭제 금지</t>
    </r>
    <r>
      <rPr>
        <b val="true"/>
        <sz val="22"/>
        <rFont val="맑은 고딕"/>
        <family val="0"/>
        <charset val="1"/>
      </rPr>
      <t xml:space="preserve">)</t>
    </r>
  </si>
  <si>
    <t xml:space="preserve">날짜</t>
  </si>
  <si>
    <t xml:space="preserve">내용</t>
  </si>
  <si>
    <t xml:space="preserve">사유</t>
  </si>
  <si>
    <t xml:space="preserve">양산 적용</t>
  </si>
  <si>
    <t xml:space="preserve">2026-10-20</t>
  </si>
  <si>
    <r>
      <rPr>
        <sz val="13"/>
        <rFont val="맑은 고딕"/>
        <family val="0"/>
        <charset val="1"/>
      </rPr>
      <t xml:space="preserve">v1 </t>
    </r>
    <r>
      <rPr>
        <sz val="13"/>
        <rFont val="Noto Sans CJK SC"/>
        <family val="2"/>
      </rPr>
      <t xml:space="preserve">신규 — 단일 섹션</t>
    </r>
    <r>
      <rPr>
        <sz val="13"/>
        <rFont val="맑은 고딕"/>
        <family val="0"/>
        <charset val="1"/>
      </rPr>
      <t xml:space="preserve">(washout </t>
    </r>
    <r>
      <rPr>
        <sz val="13"/>
        <rFont val="Noto Sans CJK SC"/>
        <family val="2"/>
      </rPr>
      <t xml:space="preserve">연결</t>
    </r>
    <r>
      <rPr>
        <sz val="13"/>
        <rFont val="맑은 고딕"/>
        <family val="0"/>
        <charset val="1"/>
      </rPr>
      <t xml:space="preserve">) · 3</t>
    </r>
    <r>
      <rPr>
        <sz val="13"/>
        <rFont val="Noto Sans CJK SC"/>
        <family val="2"/>
      </rPr>
      <t xml:space="preserve">섹션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넥 연장</t>
    </r>
    <r>
      <rPr>
        <sz val="13"/>
        <rFont val="맑은 고딕"/>
        <family val="0"/>
        <charset val="1"/>
      </rPr>
      <t xml:space="preserve">) </t>
    </r>
    <r>
      <rPr>
        <sz val="13"/>
        <rFont val="Noto Sans CJK SC"/>
        <family val="2"/>
      </rPr>
      <t xml:space="preserve">자동 판별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가능성 비교 시트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검산 </t>
    </r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건 일치</t>
    </r>
  </si>
  <si>
    <r>
      <rPr>
        <sz val="13"/>
        <rFont val="Noto Sans CJK SC"/>
        <family val="2"/>
      </rPr>
      <t xml:space="preserve">한경준님 요청 — 날장</t>
    </r>
    <r>
      <rPr>
        <sz val="13"/>
        <rFont val="맑은 고딕"/>
        <family val="0"/>
        <charset val="1"/>
      </rPr>
      <t xml:space="preserve">·L2·</t>
    </r>
    <r>
      <rPr>
        <sz val="13"/>
        <rFont val="Noto Sans CJK SC"/>
        <family val="2"/>
      </rPr>
      <t xml:space="preserve">전장</t>
    </r>
    <r>
      <rPr>
        <sz val="13"/>
        <rFont val="맑은 고딕"/>
        <family val="0"/>
        <charset val="1"/>
      </rPr>
      <t xml:space="preserve">·D·d·S </t>
    </r>
    <r>
      <rPr>
        <sz val="13"/>
        <rFont val="Noto Sans CJK SC"/>
        <family val="2"/>
      </rPr>
      <t xml:space="preserve">별 </t>
    </r>
    <r>
      <rPr>
        <sz val="13"/>
        <rFont val="맑은 고딕"/>
        <family val="0"/>
        <charset val="1"/>
      </rPr>
      <t xml:space="preserve">iGrind </t>
    </r>
    <r>
      <rPr>
        <sz val="13"/>
        <rFont val="Noto Sans CJK SC"/>
        <family val="2"/>
      </rPr>
      <t xml:space="preserve">입력값 계산</t>
    </r>
  </si>
  <si>
    <r>
      <rPr>
        <sz val="13"/>
        <rFont val="Noto Sans CJK SC"/>
        <family val="2"/>
      </rPr>
      <t xml:space="preserve">❌ 미적용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계산 도구</t>
    </r>
    <r>
      <rPr>
        <sz val="13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</si>
</sst>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"/>
    <numFmt numFmtId="167" formatCode="0.00"/>
    <numFmt numFmtId="168" formatCode="0"/>
    <numFmt numFmtId="169" formatCode="@"/>
    <numFmt numFmtId="170" formatCode="0.00000"/>
    <numFmt numFmtId="171" formatCode="0.0##"/>
    <numFmt numFmtId="172" formatCode="0.00#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Noto Sans CJK SC"/>
      <family val="2"/>
    </font>
    <font>
      <b val="true"/>
      <sz val="22"/>
      <name val="맑은 고딕"/>
      <family val="0"/>
      <charset val="1"/>
    </font>
    <font>
      <sz val="11"/>
      <color rgb="FF555555"/>
      <name val="Noto Sans CJK SC"/>
      <family val="2"/>
    </font>
    <font>
      <sz val="11"/>
      <color rgb="FF555555"/>
      <name val="맑은 고딕"/>
      <family val="0"/>
      <charset val="1"/>
    </font>
    <font>
      <b val="true"/>
      <sz val="15"/>
      <name val="맑은 고딕"/>
      <family val="0"/>
      <charset val="1"/>
    </font>
    <font>
      <b val="true"/>
      <sz val="15"/>
      <name val="Noto Sans CJK SC"/>
      <family val="2"/>
    </font>
    <font>
      <sz val="13"/>
      <name val="맑은 고딕"/>
      <family val="0"/>
      <charset val="1"/>
    </font>
    <font>
      <sz val="13"/>
      <name val="Noto Sans CJK SC"/>
      <family val="2"/>
    </font>
    <font>
      <b val="true"/>
      <sz val="13"/>
      <color rgb="FF0000FF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b val="true"/>
      <sz val="13"/>
      <color rgb="FFC00000"/>
      <name val="맑은 고딕"/>
      <family val="0"/>
      <charset val="1"/>
    </font>
    <font>
      <sz val="13"/>
      <color rgb="FF008000"/>
      <name val="맑은 고딕"/>
      <family val="0"/>
      <charset val="1"/>
    </font>
    <font>
      <b val="true"/>
      <sz val="12"/>
      <name val="Noto Sans CJK SC"/>
      <family val="2"/>
    </font>
    <font>
      <b val="true"/>
      <sz val="12"/>
      <name val="맑은 고딕"/>
      <family val="0"/>
      <charset val="1"/>
    </font>
    <font>
      <sz val="11"/>
      <name val="맑은 고딕"/>
      <family val="0"/>
      <charset val="1"/>
    </font>
    <font>
      <sz val="11"/>
      <name val="Noto Sans CJK SC"/>
      <family val="2"/>
    </font>
    <font>
      <sz val="12"/>
      <color rgb="FF0000FF"/>
      <name val="맑은 고딕"/>
      <family val="0"/>
      <charset val="1"/>
    </font>
    <font>
      <sz val="12"/>
      <name val="맑은 고딕"/>
      <family val="0"/>
      <charset val="1"/>
    </font>
    <font>
      <sz val="12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CE4D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7" min="4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14"/>
  </cols>
  <sheetData>
    <row r="1" customFormat="false" ht="32.8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A4" s="3" t="s">
        <v>2</v>
      </c>
    </row>
    <row r="5" customFormat="false" ht="21.75" hidden="false" customHeight="true" outlineLevel="0" collapsed="false">
      <c r="A5" s="4" t="s">
        <v>3</v>
      </c>
      <c r="B5" s="5" t="n">
        <v>4</v>
      </c>
      <c r="C5" s="4" t="s">
        <v>4</v>
      </c>
      <c r="D5" s="2" t="s">
        <v>5</v>
      </c>
      <c r="E5" s="2"/>
      <c r="F5" s="2"/>
      <c r="G5" s="2"/>
      <c r="H5" s="2"/>
      <c r="I5" s="2"/>
      <c r="J5" s="2"/>
      <c r="K5" s="2"/>
      <c r="L5" s="2"/>
    </row>
    <row r="6" customFormat="false" ht="21.75" hidden="false" customHeight="true" outlineLevel="0" collapsed="false">
      <c r="A6" s="4" t="s">
        <v>6</v>
      </c>
      <c r="B6" s="5" t="n">
        <v>4</v>
      </c>
      <c r="C6" s="4" t="s">
        <v>4</v>
      </c>
      <c r="D6" s="2" t="s">
        <v>7</v>
      </c>
      <c r="E6" s="2"/>
      <c r="F6" s="2"/>
      <c r="G6" s="2"/>
      <c r="H6" s="2"/>
      <c r="I6" s="2"/>
      <c r="J6" s="2"/>
      <c r="K6" s="2"/>
      <c r="L6" s="2"/>
    </row>
    <row r="7" customFormat="false" ht="21.75" hidden="false" customHeight="true" outlineLevel="0" collapsed="false">
      <c r="A7" s="4" t="s">
        <v>8</v>
      </c>
      <c r="B7" s="5" t="n">
        <v>20</v>
      </c>
      <c r="C7" s="4" t="s">
        <v>4</v>
      </c>
      <c r="D7" s="2" t="s">
        <v>9</v>
      </c>
      <c r="E7" s="2"/>
      <c r="F7" s="2"/>
      <c r="G7" s="2"/>
      <c r="H7" s="2"/>
      <c r="I7" s="2"/>
      <c r="J7" s="2"/>
      <c r="K7" s="2"/>
      <c r="L7" s="2"/>
    </row>
    <row r="8" customFormat="false" ht="21.75" hidden="false" customHeight="true" outlineLevel="0" collapsed="false">
      <c r="A8" s="4" t="s">
        <v>10</v>
      </c>
      <c r="B8" s="5" t="n">
        <v>20</v>
      </c>
      <c r="C8" s="4" t="s">
        <v>4</v>
      </c>
      <c r="D8" s="2" t="s">
        <v>11</v>
      </c>
      <c r="E8" s="2"/>
      <c r="F8" s="2"/>
      <c r="G8" s="2"/>
      <c r="H8" s="2"/>
      <c r="I8" s="2"/>
      <c r="J8" s="2"/>
      <c r="K8" s="2"/>
      <c r="L8" s="2"/>
    </row>
    <row r="9" customFormat="false" ht="21.75" hidden="false" customHeight="true" outlineLevel="0" collapsed="false">
      <c r="A9" s="4" t="s">
        <v>12</v>
      </c>
      <c r="B9" s="5" t="n">
        <v>50</v>
      </c>
      <c r="C9" s="4" t="s">
        <v>4</v>
      </c>
      <c r="D9" s="2" t="s">
        <v>13</v>
      </c>
      <c r="E9" s="2"/>
      <c r="F9" s="2"/>
      <c r="G9" s="2"/>
      <c r="H9" s="2"/>
      <c r="I9" s="2"/>
      <c r="J9" s="2"/>
      <c r="K9" s="2"/>
      <c r="L9" s="2"/>
    </row>
    <row r="10" customFormat="false" ht="21.75" hidden="false" customHeight="true" outlineLevel="0" collapsed="false">
      <c r="A10" s="4" t="s">
        <v>14</v>
      </c>
      <c r="B10" s="5" t="n">
        <v>6</v>
      </c>
      <c r="C10" s="4" t="s">
        <v>4</v>
      </c>
      <c r="D10" s="2" t="s">
        <v>15</v>
      </c>
      <c r="E10" s="2"/>
      <c r="F10" s="2"/>
      <c r="G10" s="2"/>
      <c r="H10" s="2"/>
      <c r="I10" s="2"/>
      <c r="J10" s="2"/>
      <c r="K10" s="2"/>
      <c r="L10" s="2"/>
    </row>
    <row r="11" customFormat="false" ht="21.75" hidden="false" customHeight="true" outlineLevel="0" collapsed="false">
      <c r="A11" s="4" t="s">
        <v>16</v>
      </c>
      <c r="B11" s="6" t="n">
        <v>15</v>
      </c>
      <c r="C11" s="4" t="s">
        <v>17</v>
      </c>
      <c r="D11" s="2" t="s">
        <v>18</v>
      </c>
      <c r="E11" s="2"/>
      <c r="F11" s="2"/>
      <c r="G11" s="2"/>
      <c r="H11" s="2"/>
      <c r="I11" s="2"/>
      <c r="J11" s="2"/>
      <c r="K11" s="2"/>
      <c r="L11" s="2"/>
    </row>
    <row r="12" customFormat="false" ht="21.75" hidden="false" customHeight="true" outlineLevel="0" collapsed="false">
      <c r="A12" s="4" t="s">
        <v>19</v>
      </c>
      <c r="B12" s="5"/>
      <c r="C12" s="4" t="s">
        <v>4</v>
      </c>
      <c r="D12" s="2" t="s">
        <v>20</v>
      </c>
      <c r="E12" s="2"/>
      <c r="F12" s="2"/>
      <c r="G12" s="2"/>
      <c r="H12" s="2"/>
      <c r="I12" s="2"/>
      <c r="J12" s="2"/>
      <c r="K12" s="2"/>
      <c r="L12" s="2"/>
    </row>
    <row r="13" customFormat="false" ht="21.75" hidden="false" customHeight="true" outlineLevel="0" collapsed="false">
      <c r="A13" s="7" t="s">
        <v>21</v>
      </c>
      <c r="B13" s="5" t="n">
        <v>0.15</v>
      </c>
      <c r="C13" s="4" t="s">
        <v>4</v>
      </c>
      <c r="D13" s="2" t="s">
        <v>22</v>
      </c>
      <c r="E13" s="2"/>
      <c r="F13" s="2"/>
      <c r="G13" s="2"/>
      <c r="H13" s="2"/>
      <c r="I13" s="2"/>
      <c r="J13" s="2"/>
      <c r="K13" s="2"/>
      <c r="L13" s="2"/>
    </row>
    <row r="14" customFormat="false" ht="21.75" hidden="false" customHeight="true" outlineLevel="0" collapsed="false">
      <c r="A14" s="4" t="s">
        <v>23</v>
      </c>
      <c r="B14" s="5" t="n">
        <v>0.1</v>
      </c>
      <c r="C14" s="4" t="s">
        <v>4</v>
      </c>
      <c r="D14" s="8" t="s">
        <v>24</v>
      </c>
      <c r="E14" s="8"/>
      <c r="F14" s="8"/>
      <c r="G14" s="8"/>
      <c r="H14" s="8"/>
      <c r="I14" s="8"/>
      <c r="J14" s="8"/>
      <c r="K14" s="8"/>
      <c r="L14" s="8"/>
    </row>
    <row r="15" customFormat="false" ht="21.75" hidden="false" customHeight="true" outlineLevel="0" collapsed="false">
      <c r="A15" s="7" t="s">
        <v>25</v>
      </c>
      <c r="B15" s="5"/>
      <c r="C15" s="4" t="s">
        <v>4</v>
      </c>
      <c r="D15" s="2" t="s">
        <v>26</v>
      </c>
      <c r="E15" s="2"/>
      <c r="F15" s="2"/>
      <c r="G15" s="2"/>
      <c r="H15" s="2"/>
      <c r="I15" s="2"/>
      <c r="J15" s="2"/>
      <c r="K15" s="2"/>
      <c r="L15" s="2"/>
    </row>
    <row r="16" customFormat="false" ht="21.75" hidden="false" customHeight="true" outlineLevel="0" collapsed="false"/>
    <row r="17" customFormat="false" ht="21.75" hidden="false" customHeight="true" outlineLevel="0" collapsed="false">
      <c r="A17" s="3" t="s">
        <v>27</v>
      </c>
    </row>
    <row r="18" customFormat="false" ht="21.75" hidden="false" customHeight="true" outlineLevel="0" collapsed="false">
      <c r="A18" s="7" t="s">
        <v>28</v>
      </c>
      <c r="B18" s="5" t="n">
        <v>0.05</v>
      </c>
      <c r="C18" s="4" t="s">
        <v>29</v>
      </c>
      <c r="D18" s="8" t="s">
        <v>30</v>
      </c>
      <c r="E18" s="8"/>
      <c r="F18" s="8"/>
      <c r="G18" s="8"/>
      <c r="H18" s="8"/>
      <c r="I18" s="8"/>
      <c r="J18" s="8"/>
      <c r="K18" s="8"/>
      <c r="L18" s="8"/>
    </row>
    <row r="19" customFormat="false" ht="21.75" hidden="false" customHeight="true" outlineLevel="0" collapsed="false">
      <c r="A19" s="7" t="s">
        <v>31</v>
      </c>
      <c r="B19" s="5" t="n">
        <v>0.075</v>
      </c>
      <c r="C19" s="4" t="s">
        <v>4</v>
      </c>
      <c r="D19" s="2" t="s">
        <v>32</v>
      </c>
      <c r="E19" s="2"/>
      <c r="F19" s="2"/>
      <c r="G19" s="2"/>
      <c r="H19" s="2"/>
      <c r="I19" s="2"/>
      <c r="J19" s="2"/>
      <c r="K19" s="2"/>
      <c r="L19" s="2"/>
    </row>
    <row r="20" customFormat="false" ht="21.75" hidden="false" customHeight="true" outlineLevel="0" collapsed="false">
      <c r="A20" s="7" t="s">
        <v>33</v>
      </c>
      <c r="B20" s="9" t="n">
        <v>2</v>
      </c>
      <c r="C20" s="4" t="s">
        <v>34</v>
      </c>
      <c r="D20" s="2" t="s">
        <v>35</v>
      </c>
      <c r="E20" s="2"/>
      <c r="F20" s="2"/>
      <c r="G20" s="2"/>
      <c r="H20" s="2"/>
      <c r="I20" s="2"/>
      <c r="J20" s="2"/>
      <c r="K20" s="2"/>
      <c r="L20" s="2"/>
    </row>
    <row r="21" customFormat="false" ht="21.75" hidden="false" customHeight="true" outlineLevel="0" collapsed="false">
      <c r="A21" s="4" t="s">
        <v>36</v>
      </c>
      <c r="B21" s="6" t="n">
        <v>25</v>
      </c>
      <c r="C21" s="4" t="s">
        <v>37</v>
      </c>
      <c r="D21" s="2" t="s">
        <v>38</v>
      </c>
      <c r="E21" s="2"/>
      <c r="F21" s="2"/>
      <c r="G21" s="2"/>
      <c r="H21" s="2"/>
      <c r="I21" s="2"/>
      <c r="J21" s="2"/>
      <c r="K21" s="2"/>
      <c r="L21" s="2"/>
    </row>
    <row r="22" customFormat="false" ht="21.75" hidden="false" customHeight="true" outlineLevel="0" collapsed="false">
      <c r="A22" s="7" t="s">
        <v>39</v>
      </c>
      <c r="B22" s="6"/>
      <c r="C22" s="4" t="s">
        <v>4</v>
      </c>
      <c r="D22" s="8" t="s">
        <v>40</v>
      </c>
      <c r="E22" s="8"/>
      <c r="F22" s="8"/>
      <c r="G22" s="8"/>
      <c r="H22" s="8"/>
      <c r="I22" s="8"/>
      <c r="J22" s="8"/>
      <c r="K22" s="8"/>
      <c r="L22" s="8"/>
    </row>
    <row r="23" customFormat="false" ht="21.75" hidden="false" customHeight="true" outlineLevel="0" collapsed="false">
      <c r="A23" s="7" t="s">
        <v>41</v>
      </c>
      <c r="B23" s="10" t="n">
        <v>3000</v>
      </c>
      <c r="C23" s="4" t="s">
        <v>37</v>
      </c>
      <c r="D23" s="2" t="s">
        <v>42</v>
      </c>
      <c r="E23" s="2"/>
      <c r="F23" s="2"/>
      <c r="G23" s="2"/>
      <c r="H23" s="2"/>
      <c r="I23" s="2"/>
      <c r="J23" s="2"/>
      <c r="K23" s="2"/>
      <c r="L23" s="2"/>
    </row>
    <row r="24" customFormat="false" ht="21.75" hidden="false" customHeight="true" outlineLevel="0" collapsed="false"/>
    <row r="25" customFormat="false" ht="21.75" hidden="false" customHeight="true" outlineLevel="0" collapsed="false">
      <c r="A25" s="3" t="s">
        <v>43</v>
      </c>
    </row>
    <row r="26" customFormat="false" ht="21.75" hidden="false" customHeight="true" outlineLevel="0" collapsed="false">
      <c r="A26" s="11" t="s">
        <v>44</v>
      </c>
      <c r="B26" s="12" t="n">
        <f aca="false">IF($B$12="",$B$5-$B$13,$B$12)</f>
        <v>3.85</v>
      </c>
      <c r="C26" s="4" t="s">
        <v>4</v>
      </c>
      <c r="D26" s="2" t="s">
        <v>45</v>
      </c>
      <c r="E26" s="2"/>
      <c r="F26" s="2"/>
      <c r="G26" s="2"/>
      <c r="H26" s="2"/>
      <c r="I26" s="2"/>
      <c r="J26" s="2"/>
      <c r="K26" s="2"/>
      <c r="L26" s="2"/>
    </row>
    <row r="27" customFormat="false" ht="21.75" hidden="false" customHeight="true" outlineLevel="0" collapsed="false">
      <c r="A27" s="11" t="s">
        <v>46</v>
      </c>
      <c r="B27" s="13" t="str">
        <f aca="false">IF(($B$8&gt;$B$7),"3섹션 (넥 연장)","단일 섹션")</f>
        <v>단일 섹션</v>
      </c>
      <c r="C27" s="4"/>
      <c r="D27" s="2" t="s">
        <v>47</v>
      </c>
      <c r="E27" s="2"/>
      <c r="F27" s="2"/>
      <c r="G27" s="2"/>
      <c r="H27" s="2"/>
      <c r="I27" s="2"/>
      <c r="J27" s="2"/>
      <c r="K27" s="2"/>
      <c r="L27" s="2"/>
    </row>
    <row r="28" customFormat="false" ht="21.75" hidden="false" customHeight="true" outlineLevel="0" collapsed="false">
      <c r="A28" s="4" t="s">
        <v>48</v>
      </c>
      <c r="B28" s="14" t="n">
        <f aca="false">($B$5-$B$26)/2</f>
        <v>0.075</v>
      </c>
      <c r="C28" s="4" t="s">
        <v>4</v>
      </c>
      <c r="D28" s="2" t="s">
        <v>49</v>
      </c>
      <c r="E28" s="2"/>
      <c r="F28" s="2"/>
      <c r="G28" s="2"/>
      <c r="H28" s="2"/>
      <c r="I28" s="2"/>
      <c r="J28" s="2"/>
      <c r="K28" s="2"/>
      <c r="L28" s="2"/>
    </row>
    <row r="29" customFormat="false" ht="21.75" hidden="false" customHeight="true" outlineLevel="0" collapsed="false">
      <c r="A29" s="4" t="s">
        <v>50</v>
      </c>
      <c r="B29" s="15" t="n">
        <f aca="false">TAN(RADIANS($B$11))</f>
        <v>0.267949192431123</v>
      </c>
      <c r="C29" s="4"/>
      <c r="D29" s="8" t="s">
        <v>51</v>
      </c>
      <c r="E29" s="8"/>
      <c r="F29" s="8"/>
      <c r="G29" s="8"/>
      <c r="H29" s="8"/>
      <c r="I29" s="8"/>
      <c r="J29" s="8"/>
      <c r="K29" s="8"/>
      <c r="L29" s="8"/>
    </row>
    <row r="30" customFormat="false" ht="21.75" hidden="false" customHeight="true" outlineLevel="0" collapsed="false">
      <c r="A30" s="4" t="s">
        <v>52</v>
      </c>
      <c r="B30" s="14" t="n">
        <f aca="false">$B$28/$B$29</f>
        <v>0.279903810567666</v>
      </c>
      <c r="C30" s="4" t="s">
        <v>4</v>
      </c>
      <c r="D30" s="2" t="s">
        <v>53</v>
      </c>
      <c r="E30" s="2"/>
      <c r="F30" s="2"/>
      <c r="G30" s="2"/>
      <c r="H30" s="2"/>
      <c r="I30" s="2"/>
      <c r="J30" s="2"/>
      <c r="K30" s="2"/>
      <c r="L30" s="2"/>
    </row>
    <row r="31" customFormat="false" ht="21.75" hidden="false" customHeight="true" outlineLevel="0" collapsed="false">
      <c r="A31" s="7" t="s">
        <v>54</v>
      </c>
      <c r="B31" s="14" t="n">
        <f aca="false">$B$8-$B$30</f>
        <v>19.7200961894323</v>
      </c>
      <c r="C31" s="4" t="s">
        <v>4</v>
      </c>
      <c r="D31" s="2" t="s">
        <v>55</v>
      </c>
      <c r="E31" s="2"/>
      <c r="F31" s="2"/>
      <c r="G31" s="2"/>
      <c r="H31" s="2"/>
      <c r="I31" s="2"/>
      <c r="J31" s="2"/>
      <c r="K31" s="2"/>
      <c r="L31" s="2"/>
    </row>
    <row r="32" customFormat="false" ht="21.75" hidden="false" customHeight="true" outlineLevel="0" collapsed="false">
      <c r="A32" s="16" t="s">
        <v>56</v>
      </c>
      <c r="B32" s="12" t="n">
        <f aca="false">-($B$6+$B$14)</f>
        <v>-4.1</v>
      </c>
      <c r="C32" s="4" t="s">
        <v>4</v>
      </c>
      <c r="D32" s="2" t="s">
        <v>57</v>
      </c>
      <c r="E32" s="2"/>
      <c r="F32" s="2"/>
      <c r="G32" s="2"/>
      <c r="H32" s="2"/>
      <c r="I32" s="2"/>
      <c r="J32" s="2"/>
      <c r="K32" s="2"/>
      <c r="L32" s="2"/>
    </row>
    <row r="33" customFormat="false" ht="21.75" hidden="false" customHeight="true" outlineLevel="0" collapsed="false">
      <c r="A33" s="7" t="s">
        <v>58</v>
      </c>
      <c r="B33" s="14" t="n">
        <f aca="false">$B$31-($B$6+$B$14)</f>
        <v>15.6200961894323</v>
      </c>
      <c r="C33" s="4" t="s">
        <v>4</v>
      </c>
      <c r="D33" s="2" t="s">
        <v>59</v>
      </c>
      <c r="E33" s="2"/>
      <c r="F33" s="2"/>
      <c r="G33" s="2"/>
      <c r="H33" s="2"/>
      <c r="I33" s="2"/>
      <c r="J33" s="2"/>
      <c r="K33" s="2"/>
      <c r="L33" s="2"/>
    </row>
    <row r="34" customFormat="false" ht="21.75" hidden="false" customHeight="true" outlineLevel="0" collapsed="false"/>
    <row r="35" customFormat="false" ht="21.75" hidden="false" customHeight="true" outlineLevel="0" collapsed="false">
      <c r="A35" s="3" t="s">
        <v>60</v>
      </c>
    </row>
    <row r="36" customFormat="false" ht="36" hidden="false" customHeight="true" outlineLevel="0" collapsed="false">
      <c r="A36" s="17" t="s">
        <v>61</v>
      </c>
      <c r="B36" s="17" t="s">
        <v>62</v>
      </c>
      <c r="C36" s="18" t="s">
        <v>63</v>
      </c>
      <c r="D36" s="18" t="s">
        <v>64</v>
      </c>
      <c r="E36" s="18" t="s">
        <v>65</v>
      </c>
      <c r="F36" s="18" t="s">
        <v>66</v>
      </c>
      <c r="G36" s="18" t="s">
        <v>67</v>
      </c>
      <c r="H36" s="18" t="s">
        <v>68</v>
      </c>
      <c r="I36" s="18" t="s">
        <v>69</v>
      </c>
      <c r="J36" s="18" t="s">
        <v>70</v>
      </c>
      <c r="K36" s="18" t="s">
        <v>71</v>
      </c>
      <c r="L36" s="18" t="s">
        <v>72</v>
      </c>
    </row>
    <row r="37" customFormat="false" ht="21.75" hidden="false" customHeight="true" outlineLevel="0" collapsed="false">
      <c r="A37" s="19" t="s">
        <v>73</v>
      </c>
      <c r="B37" s="20" t="s">
        <v>62</v>
      </c>
      <c r="C37" s="21" t="n">
        <f aca="false">$B$32</f>
        <v>-4.1</v>
      </c>
      <c r="D37" s="21" t="n">
        <f aca="false">IF(($B$8&gt;$B$7),$B$7-($B$6+$B$14),$B$31-($B$6+$B$14))</f>
        <v>15.6200961894323</v>
      </c>
      <c r="E37" s="21" t="n">
        <f aca="false">C37-D37</f>
        <v>-19.7200961894323</v>
      </c>
      <c r="F37" s="21" t="n">
        <f aca="false">$B$26</f>
        <v>3.85</v>
      </c>
      <c r="G37" s="22" t="n">
        <v>0</v>
      </c>
      <c r="H37" s="22" t="n">
        <f aca="false">IF(($B$8&gt;$B$7),0,$B$11)</f>
        <v>15</v>
      </c>
      <c r="I37" s="14" t="n">
        <f aca="false">IF(($B$8&gt;$B$7),0,$B$30)</f>
        <v>0.279903810567666</v>
      </c>
      <c r="J37" s="20" t="str">
        <f aca="false">IF($B$28&gt;$B$19,"켬 (Δr &gt; 실적 — 분할)","끔 (정삭 1패스)")</f>
        <v>끔 (정삭 1패스)</v>
      </c>
      <c r="K37" s="20" t="str">
        <f aca="false">IF(($B$8&gt;$B$7),"Define "&amp;TEXT($B$5,"0.0##"),"Blank (Ø D)")</f>
        <v>Blank (Ø D)</v>
      </c>
      <c r="L37" s="20" t="s">
        <v>74</v>
      </c>
    </row>
    <row r="38" customFormat="false" ht="21.75" hidden="false" customHeight="true" outlineLevel="0" collapsed="false">
      <c r="A38" s="19" t="s">
        <v>75</v>
      </c>
      <c r="B38" s="20" t="str">
        <f aca="false">IF(($B$8&gt;$B$7),"사용","— (없음)")</f>
        <v>— (없음)</v>
      </c>
      <c r="C38" s="21" t="str">
        <f aca="false">IF(($B$8&gt;$B$7),-$B$7,"—")</f>
        <v>—</v>
      </c>
      <c r="D38" s="21" t="str">
        <f aca="false">IF(($B$8&gt;$B$7),$B$31-$B$7,"—")</f>
        <v>—</v>
      </c>
      <c r="E38" s="21" t="str">
        <f aca="false">IF(($B$8&gt;$B$7),C38-D38,"—")</f>
        <v>—</v>
      </c>
      <c r="F38" s="21" t="str">
        <f aca="false">IF(($B$8&gt;$B$7),$B$26,"—")</f>
        <v>—</v>
      </c>
      <c r="G38" s="22" t="str">
        <f aca="false">IF(($B$8&gt;$B$7),0,"—")</f>
        <v>—</v>
      </c>
      <c r="H38" s="22" t="str">
        <f aca="false">IF(($B$8&gt;$B$7),0,"—")</f>
        <v>—</v>
      </c>
      <c r="I38" s="14" t="str">
        <f aca="false">IF(($B$8&gt;$B$7),0,"—")</f>
        <v>—</v>
      </c>
      <c r="J38" s="20" t="str">
        <f aca="false">IF(($B$8&gt;$B$7),"켬","—")</f>
        <v>—</v>
      </c>
      <c r="K38" s="20" t="str">
        <f aca="false">IF(($B$8&gt;$B$7),"Define "&amp;TEXT(MIN($B$10,$B$5+2*($B$31-$B$7)*$B$29),"0.0##"),"—")</f>
        <v>—</v>
      </c>
      <c r="L38" s="20" t="str">
        <f aca="false">IF(($B$8&gt;$B$7),"끔","—")</f>
        <v>—</v>
      </c>
    </row>
    <row r="39" customFormat="false" ht="21.75" hidden="false" customHeight="true" outlineLevel="0" collapsed="false">
      <c r="A39" s="19" t="s">
        <v>76</v>
      </c>
      <c r="B39" s="20" t="str">
        <f aca="false">IF(($B$8&gt;$B$7),"사용","— (없음)")</f>
        <v>— (없음)</v>
      </c>
      <c r="C39" s="21" t="str">
        <f aca="false">IF(($B$8&gt;$B$7),-$B$31,"—")</f>
        <v>—</v>
      </c>
      <c r="D39" s="21" t="str">
        <f aca="false">IF(($B$8&gt;$B$7),($B$10-$B$26)/(2*$B$29),"—")</f>
        <v>—</v>
      </c>
      <c r="E39" s="21" t="str">
        <f aca="false">IF(($B$8&gt;$B$7),C39-D39,"—")</f>
        <v>—</v>
      </c>
      <c r="F39" s="21" t="str">
        <f aca="false">IF(($B$8&gt;$B$7),$B$26,"—")</f>
        <v>—</v>
      </c>
      <c r="G39" s="22" t="str">
        <f aca="false">IF(($B$8&gt;$B$7),$B$11,"—")</f>
        <v>—</v>
      </c>
      <c r="H39" s="22" t="str">
        <f aca="false">IF(($B$8&gt;$B$7),0,"—")</f>
        <v>—</v>
      </c>
      <c r="I39" s="14" t="str">
        <f aca="false">IF(($B$8&gt;$B$7),0,"—")</f>
        <v>—</v>
      </c>
      <c r="J39" s="20" t="str">
        <f aca="false">IF(($B$8&gt;$B$7),"켬","—")</f>
        <v>—</v>
      </c>
      <c r="K39" s="20" t="str">
        <f aca="false">IF(($B$8&gt;$B$7),"Define "&amp;TEXT($B$10,"0.0##"),"—")</f>
        <v>—</v>
      </c>
      <c r="L39" s="20" t="str">
        <f aca="false">IF(($B$8&gt;$B$7),"끔","—")</f>
        <v>—</v>
      </c>
    </row>
    <row r="40" customFormat="false" ht="21.75" hidden="false" customHeight="true" outlineLevel="0" collapsed="false">
      <c r="A40" s="8" t="s">
        <v>77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customFormat="false" ht="21.75" hidden="false" customHeight="true" outlineLevel="0" collapsed="false">
      <c r="A41" s="8" t="s">
        <v>78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customFormat="false" ht="21.75" hidden="false" customHeight="true" outlineLevel="0" collapsed="false"/>
    <row r="43" customFormat="false" ht="21.75" hidden="false" customHeight="true" outlineLevel="0" collapsed="false">
      <c r="A43" s="3" t="s">
        <v>79</v>
      </c>
    </row>
    <row r="44" customFormat="false" ht="21.75" hidden="false" customHeight="true" outlineLevel="0" collapsed="false">
      <c r="A44" s="11" t="s">
        <v>80</v>
      </c>
      <c r="B44" s="12" t="n">
        <f aca="false">IF(($B$8&gt;$B$7),(MIN($B$10,$B$5+2*($B$31-$B$7)*$B$29)-$B$26)/2,$B$28)</f>
        <v>0.075</v>
      </c>
      <c r="C44" s="4" t="s">
        <v>4</v>
      </c>
      <c r="D44" s="2" t="s">
        <v>81</v>
      </c>
      <c r="E44" s="2"/>
      <c r="F44" s="2"/>
      <c r="G44" s="2"/>
      <c r="H44" s="2"/>
      <c r="I44" s="2"/>
      <c r="J44" s="2"/>
      <c r="K44" s="2"/>
      <c r="L44" s="2"/>
    </row>
    <row r="45" customFormat="false" ht="21.75" hidden="false" customHeight="true" outlineLevel="0" collapsed="false">
      <c r="A45" s="4" t="s">
        <v>82</v>
      </c>
      <c r="B45" s="14" t="str">
        <f aca="false">IF(($B$8&gt;$B$7),MIN($B$10,$B$5+2*($B$31-$B$7)*$B$29),"—")</f>
        <v>—</v>
      </c>
      <c r="C45" s="4" t="s">
        <v>4</v>
      </c>
      <c r="D45" s="2" t="s">
        <v>83</v>
      </c>
      <c r="E45" s="2"/>
      <c r="F45" s="2"/>
      <c r="G45" s="2"/>
      <c r="H45" s="2"/>
      <c r="I45" s="2"/>
      <c r="J45" s="2"/>
      <c r="K45" s="2"/>
      <c r="L45" s="2"/>
    </row>
    <row r="46" customFormat="false" ht="21.75" hidden="false" customHeight="true" outlineLevel="0" collapsed="false">
      <c r="A46" s="11" t="s">
        <v>84</v>
      </c>
      <c r="B46" s="23" t="n">
        <f aca="false">IF(($B$8&gt;$B$7),ROUNDUP($B$44/$B$18,0),IF($B$28&gt;$B$19,ROUNDUP($B$28/$B$18,0),1))</f>
        <v>1</v>
      </c>
      <c r="C46" s="7" t="s">
        <v>85</v>
      </c>
      <c r="D46" s="2" t="s">
        <v>86</v>
      </c>
      <c r="E46" s="2"/>
      <c r="F46" s="2"/>
      <c r="G46" s="2"/>
      <c r="H46" s="2"/>
      <c r="I46" s="2"/>
      <c r="J46" s="2"/>
      <c r="K46" s="2"/>
      <c r="L46" s="2"/>
    </row>
    <row r="47" customFormat="false" ht="21.75" hidden="false" customHeight="true" outlineLevel="0" collapsed="false">
      <c r="A47" s="7" t="s">
        <v>87</v>
      </c>
      <c r="B47" s="24" t="n">
        <f aca="false">($B$26/$B$5)^4</f>
        <v>0.858228540039063</v>
      </c>
      <c r="C47" s="4"/>
      <c r="D47" s="2" t="s">
        <v>88</v>
      </c>
      <c r="E47" s="2"/>
      <c r="F47" s="2"/>
      <c r="G47" s="2"/>
      <c r="H47" s="2"/>
      <c r="I47" s="2"/>
      <c r="J47" s="2"/>
      <c r="K47" s="2"/>
      <c r="L47" s="2"/>
    </row>
    <row r="48" customFormat="false" ht="21.75" hidden="false" customHeight="true" outlineLevel="0" collapsed="false">
      <c r="A48" s="7" t="s">
        <v>89</v>
      </c>
      <c r="B48" s="24" t="n">
        <f aca="false">1/$B$47</f>
        <v>1.16519080098931</v>
      </c>
      <c r="C48" s="7" t="s">
        <v>90</v>
      </c>
      <c r="D48" s="2" t="s">
        <v>91</v>
      </c>
      <c r="E48" s="2"/>
      <c r="F48" s="2"/>
      <c r="G48" s="2"/>
      <c r="H48" s="2"/>
      <c r="I48" s="2"/>
      <c r="J48" s="2"/>
      <c r="K48" s="2"/>
      <c r="L48" s="2"/>
    </row>
    <row r="49" customFormat="false" ht="21.75" hidden="false" customHeight="true" outlineLevel="0" collapsed="false">
      <c r="A49" s="4" t="s">
        <v>92</v>
      </c>
      <c r="B49" s="22" t="n">
        <f aca="false">$B$8/$B$5</f>
        <v>5</v>
      </c>
      <c r="C49" s="7" t="s">
        <v>90</v>
      </c>
      <c r="D49" s="2" t="s">
        <v>93</v>
      </c>
      <c r="E49" s="2"/>
      <c r="F49" s="2"/>
      <c r="G49" s="2"/>
      <c r="H49" s="2"/>
      <c r="I49" s="2"/>
      <c r="J49" s="2"/>
      <c r="K49" s="2"/>
      <c r="L49" s="2"/>
    </row>
    <row r="50" customFormat="false" ht="21.75" hidden="false" customHeight="true" outlineLevel="0" collapsed="false">
      <c r="A50" s="7" t="s">
        <v>94</v>
      </c>
      <c r="B50" s="25" t="str">
        <f aca="false">IF($B$5&lt;0.5,"⛔ 미적용 (D0.5 미만)",IF($B$5&lt;2,"🔴 개별 확인",IF($B$5&lt;2.5,"🟡 개별 확인 (유효장 길면)",IF($B$5&lt;8,"🟢 기본 적용","🟡 여유 확인 (처짐·런아웃 대비)"))))</f>
        <v>🟢 기본 적용</v>
      </c>
      <c r="C50" s="4"/>
      <c r="D50" s="2" t="s">
        <v>95</v>
      </c>
      <c r="E50" s="2"/>
      <c r="F50" s="2"/>
      <c r="G50" s="2"/>
      <c r="H50" s="2"/>
      <c r="I50" s="2"/>
      <c r="J50" s="2"/>
      <c r="K50" s="2"/>
      <c r="L50" s="2"/>
    </row>
    <row r="51" customFormat="false" ht="21.75" hidden="false" customHeight="true" outlineLevel="0" collapsed="false">
      <c r="A51" s="7" t="s">
        <v>96</v>
      </c>
      <c r="B51" s="14" t="n">
        <f aca="false">$B$7+($B$10-$B$5)/(2*$B$29)</f>
        <v>23.7320508075689</v>
      </c>
      <c r="C51" s="4" t="s">
        <v>4</v>
      </c>
      <c r="D51" s="2" t="s">
        <v>97</v>
      </c>
      <c r="E51" s="2"/>
      <c r="F51" s="2"/>
      <c r="G51" s="2"/>
      <c r="H51" s="2"/>
      <c r="I51" s="2"/>
      <c r="J51" s="2"/>
      <c r="K51" s="2"/>
      <c r="L51" s="2"/>
    </row>
    <row r="52" customFormat="false" ht="21.75" hidden="false" customHeight="true" outlineLevel="0" collapsed="false">
      <c r="A52" s="7" t="s">
        <v>98</v>
      </c>
      <c r="B52" s="14" t="n">
        <f aca="false">IF(($B$8&gt;$B$7),$B$31+($B$10-$B$26)/(2*$B$29),$B$51)</f>
        <v>23.7320508075689</v>
      </c>
      <c r="C52" s="4" t="s">
        <v>4</v>
      </c>
      <c r="D52" s="2" t="s">
        <v>99</v>
      </c>
      <c r="E52" s="2"/>
      <c r="F52" s="2"/>
      <c r="G52" s="2"/>
      <c r="H52" s="2"/>
      <c r="I52" s="2"/>
      <c r="J52" s="2"/>
      <c r="K52" s="2"/>
      <c r="L52" s="2"/>
    </row>
    <row r="53" customFormat="false" ht="21.75" hidden="false" customHeight="true" outlineLevel="0" collapsed="false">
      <c r="A53" s="7" t="s">
        <v>100</v>
      </c>
      <c r="B53" s="14" t="n">
        <f aca="false">IF($B$9="","전장 입력 필요",$B$9-$B$52)</f>
        <v>26.2679491924311</v>
      </c>
      <c r="C53" s="4" t="s">
        <v>4</v>
      </c>
      <c r="D53" s="2" t="s">
        <v>101</v>
      </c>
      <c r="E53" s="2"/>
      <c r="F53" s="2"/>
      <c r="G53" s="2"/>
      <c r="H53" s="2"/>
      <c r="I53" s="2"/>
      <c r="J53" s="2"/>
      <c r="K53" s="2"/>
      <c r="L53" s="2"/>
    </row>
    <row r="54" customFormat="false" ht="21.75" hidden="false" customHeight="true" outlineLevel="0" collapsed="false">
      <c r="A54" s="7" t="s">
        <v>102</v>
      </c>
      <c r="B54" s="22" t="str">
        <f aca="false">IF($B$22="","휠 지름 입력 필요",PI()*$B$22*$B$23/60000)</f>
        <v>휠 지름 입력 필요</v>
      </c>
      <c r="C54" s="4" t="s">
        <v>103</v>
      </c>
      <c r="D54" s="2" t="s">
        <v>104</v>
      </c>
      <c r="E54" s="2"/>
      <c r="F54" s="2"/>
      <c r="G54" s="2"/>
      <c r="H54" s="2"/>
      <c r="I54" s="2"/>
      <c r="J54" s="2"/>
      <c r="K54" s="2"/>
      <c r="L54" s="2"/>
    </row>
    <row r="55" customFormat="false" ht="21.75" hidden="false" customHeight="true" outlineLevel="0" collapsed="false">
      <c r="A55" s="7" t="s">
        <v>105</v>
      </c>
      <c r="B55" s="14" t="n">
        <f aca="false">$B$20/$B$21</f>
        <v>0.08</v>
      </c>
      <c r="C55" s="4" t="s">
        <v>106</v>
      </c>
      <c r="D55" s="2" t="s">
        <v>107</v>
      </c>
      <c r="E55" s="2"/>
      <c r="F55" s="2"/>
      <c r="G55" s="2"/>
      <c r="H55" s="2"/>
      <c r="I55" s="2"/>
      <c r="J55" s="2"/>
      <c r="K55" s="2"/>
      <c r="L55" s="2"/>
    </row>
    <row r="56" customFormat="false" ht="21.75" hidden="false" customHeight="true" outlineLevel="0" collapsed="false">
      <c r="A56" s="7" t="s">
        <v>108</v>
      </c>
      <c r="B56" s="24" t="n">
        <f aca="false">PI()*$B$26*$B$21/1000</f>
        <v>0.302378292908018</v>
      </c>
      <c r="C56" s="4" t="s">
        <v>109</v>
      </c>
      <c r="D56" s="2" t="s">
        <v>110</v>
      </c>
      <c r="E56" s="2"/>
      <c r="F56" s="2"/>
      <c r="G56" s="2"/>
      <c r="H56" s="2"/>
      <c r="I56" s="2"/>
      <c r="J56" s="2"/>
      <c r="K56" s="2"/>
      <c r="L56" s="2"/>
    </row>
    <row r="57" customFormat="false" ht="21.75" hidden="false" customHeight="true" outlineLevel="0" collapsed="false">
      <c r="A57" s="7" t="s">
        <v>111</v>
      </c>
      <c r="B57" s="24" t="n">
        <f aca="false">PI()*($B$26+$B$28)*$B$28*$B$20</f>
        <v>1.84961267480099</v>
      </c>
      <c r="C57" s="4" t="s">
        <v>112</v>
      </c>
      <c r="D57" s="2" t="s">
        <v>113</v>
      </c>
      <c r="E57" s="2"/>
      <c r="F57" s="2"/>
      <c r="G57" s="2"/>
      <c r="H57" s="2"/>
      <c r="I57" s="2"/>
      <c r="J57" s="2"/>
      <c r="K57" s="2"/>
      <c r="L57" s="2"/>
    </row>
    <row r="58" customFormat="false" ht="21.75" hidden="false" customHeight="true" outlineLevel="0" collapsed="false">
      <c r="A58" s="7" t="s">
        <v>114</v>
      </c>
      <c r="B58" s="24" t="n">
        <f aca="false">IF(($B$8&gt;$B$7),($D$37+$D$38+$D$39)/$B$20,($D$37+$B$30)/$B$20)</f>
        <v>7.95</v>
      </c>
      <c r="C58" s="7" t="s">
        <v>115</v>
      </c>
      <c r="D58" s="2" t="s">
        <v>116</v>
      </c>
      <c r="E58" s="2"/>
      <c r="F58" s="2"/>
      <c r="G58" s="2"/>
      <c r="H58" s="2"/>
      <c r="I58" s="2"/>
      <c r="J58" s="2"/>
      <c r="K58" s="2"/>
      <c r="L58" s="2"/>
    </row>
    <row r="59" customFormat="false" ht="21.75" hidden="false" customHeight="true" outlineLevel="0" collapsed="false">
      <c r="A59" s="7" t="s">
        <v>117</v>
      </c>
      <c r="B59" s="22" t="n">
        <f aca="false">IF(($B$8&gt;$B$7),$B$46*($D$38+$D$39)/$B$20,IF($B$46&gt;1,$B$46*($D$37+$B$30)/$B$20,0))</f>
        <v>0</v>
      </c>
      <c r="C59" s="7" t="s">
        <v>115</v>
      </c>
      <c r="D59" s="2" t="s">
        <v>118</v>
      </c>
      <c r="E59" s="2"/>
      <c r="F59" s="2"/>
      <c r="G59" s="2"/>
      <c r="H59" s="2"/>
      <c r="I59" s="2"/>
      <c r="J59" s="2"/>
      <c r="K59" s="2"/>
      <c r="L59" s="2"/>
    </row>
    <row r="60" customFormat="false" ht="21.75" hidden="false" customHeight="true" outlineLevel="0" collapsed="false"/>
    <row r="61" customFormat="false" ht="21.75" hidden="false" customHeight="true" outlineLevel="0" collapsed="false">
      <c r="A61" s="3" t="s">
        <v>119</v>
      </c>
    </row>
    <row r="62" customFormat="false" ht="21.75" hidden="false" customHeight="true" outlineLevel="0" collapsed="false">
      <c r="A62" s="26" t="str">
        <f aca="false">IF($B$26&gt;=$B$5,"⛔ 넥 지름 d 가 D 이상 — 넥이 아님","")</f>
        <v/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customFormat="false" ht="21.75" hidden="false" customHeight="true" outlineLevel="0" collapsed="false">
      <c r="A63" s="26" t="str">
        <f aca="false">IF($B$5&lt;0.5,"⛔ D0.5 미만은 D − 0.15 미적용 (형상 성립 안 함) — d 직접 입력","")</f>
        <v/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</row>
    <row r="64" customFormat="false" ht="21.75" hidden="false" customHeight="true" outlineLevel="0" collapsed="false">
      <c r="A64" s="26" t="str">
        <f aca="false">IF($B$33&lt;=0,"⛔ 넥 직선 길이 0 이하 — L2(목표)·날장·washout 확인","")</f>
        <v/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  <row r="65" customFormat="false" ht="21.75" hidden="false" customHeight="true" outlineLevel="0" collapsed="false">
      <c r="A65" s="26" t="str">
        <f aca="false">IF(AND(($B$8&gt;$B$7),$B$7&lt;=($B$6+$B$14)),"⛔ S1 길이 0 이하 — 날장이 기존 Ø D 구간보다 김, 섹션 재구성","")</f>
        <v/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</row>
    <row r="66" customFormat="false" ht="21.75" hidden="false" customHeight="true" outlineLevel="0" collapsed="false">
      <c r="A66" s="26" t="str">
        <f aca="false">IF(($B$8&gt;$B$7),"⚠️ 상위 오퍼레이션 Blank OD = "&amp;TEXT($B$10,"0.0##")&amp;" 로 설정 — Ø D 그대로면 제거량을 Δr 로 보고 1패스만 잡음 → 과부하·파손 위험","")</f>
        <v/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</row>
    <row r="67" customFormat="false" ht="21.75" hidden="false" customHeight="true" outlineLevel="0" collapsed="false">
      <c r="A67" s="26" t="str">
        <f aca="false">IF(($B$8&gt;$B$7),"⚠️ CIM3D 블랭크를 실제 형상(Ø D → L2(블랭크)에서 θ 테이퍼 → Ø S)으로 지정해야 연결부 검증 가능","")</f>
        <v/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</row>
    <row r="68" customFormat="false" ht="21.75" hidden="false" customHeight="true" outlineLevel="0" collapsed="false">
      <c r="A68" s="26" t="str">
        <f aca="false">IF($B$28&gt;$B$19,"⚠️ 경고: 초경 고절입 — 머리 구간 반경 절입 "&amp;TEXT($B$28,"0.000")&amp;" mm 가 사내 1패스 실적 "&amp;TEXT($B$19,"0.000")&amp;" mm 초과 → Roughing 분할","")</f>
        <v/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</row>
    <row r="69" customFormat="false" ht="21.75" hidden="false" customHeight="true" outlineLevel="0" collapsed="false">
      <c r="A69" s="26" t="str">
        <f aca="false">IF(($B$8&gt;$B$7),IF($B$44&gt;$B$19,"⚠️ 경고: 초경 고절입 — 생크 구간 최대 반경 "&amp;TEXT($B$44,"0.000")&amp;" mm → 황삭 "&amp;$B$46&amp;"패스 분할 필수, 생크(Ø S)는 원주가 커 같은 절입에도 부하 큼",""),"")</f>
        <v/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customFormat="false" ht="21.75" hidden="false" customHeight="true" outlineLevel="0" collapsed="false">
      <c r="A70" s="26" t="str">
        <f aca="false">IF(AND($B$15&lt;&gt;"",$B$9&lt;&gt;""),IF($B$9-$B$52&lt;$B$15,"⚠️ 생크 남는 길이가 홀더 물림 최소 길이보다 짧음",""),"")</f>
        <v/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</row>
    <row r="71" customFormat="false" ht="21.75" hidden="false" customHeight="true" outlineLevel="0" collapsed="false">
      <c r="A71" s="26" t="str">
        <f aca="false">IF($B$22="","",IF(PI()*$B$22*$B$23/60000&gt;30,"⚠️ 경고: 고속 연삭 Vc &gt; 30 m/s — Resin Bond 초과 가능성",IF(PI()*$B$22*$B$23/60000&gt;25,"⚠️ Vc 가 사내 상한 25 m/s 초과","")))</f>
        <v/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</row>
    <row r="72" customFormat="false" ht="21.75" hidden="false" customHeight="true" outlineLevel="0" collapsed="false">
      <c r="A72" s="26" t="str">
        <f aca="false">IF($B$5&lt;2.5,"🔴 D2.5 미만 — 강성 비 "&amp;TEXT($B$47,"0.00")&amp;", 유효장 길면 개별 확인",IF($B$5&gt;=8,"🟡 D8 이상 — 한쪽 여유 "&amp;TEXT($B$28,"0.000")&amp;" mm 가 처짐·런아웃보다 큰지 확인",""))</f>
        <v/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</row>
    <row r="73" customFormat="false" ht="21.75" hidden="false" customHeight="true" outlineLevel="0" collapsed="false">
      <c r="A73" s="27" t="str">
        <f aca="false">"✅ 항상: Allow Wheel Overhang 섹션마다 해제 확인 (머리 &gt; 넥이면 켜져 있을 때 날장을 깎음 — CIM3D 확인, decisions 2026-10-19 (5))"</f>
        <v>✅ 항상: Allow Wheel Overhang 섹션마다 해제 확인 (머리 &gt; 넥이면 켜져 있을 때 날장을 깎음 — CIM3D 확인, decisions 2026-10-19 (5))</v>
      </c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customFormat="false" ht="21.75" hidden="false" customHeight="true" outlineLevel="0" collapsed="false">
      <c r="A74" s="27" t="str">
        <f aca="false">"✅ 항상: 시험 연삭 1개 → 넥 지름 · 진원도 · Ra μm · 턱/테이퍼 연결부 · 치핑 · 스핀들 부하 측정 후 양산 판단"</f>
        <v>✅ 항상: 시험 연삭 1개 → 넥 지름 · 진원도 · Ra μm · 턱/테이퍼 연결부 · 치핑 · 스핀들 부하 측정 후 양산 판단</v>
      </c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customFormat="false" ht="21.75" hidden="false" customHeight="true" outlineLevel="0" collapsed="false"/>
  </sheetData>
  <mergeCells count="57">
    <mergeCell ref="A2:L2"/>
    <mergeCell ref="D5:L5"/>
    <mergeCell ref="D6:L6"/>
    <mergeCell ref="D7:L7"/>
    <mergeCell ref="D8:L8"/>
    <mergeCell ref="D9:L9"/>
    <mergeCell ref="D10:L10"/>
    <mergeCell ref="D11:L11"/>
    <mergeCell ref="D12:L12"/>
    <mergeCell ref="D13:L13"/>
    <mergeCell ref="D14:L14"/>
    <mergeCell ref="D15:L15"/>
    <mergeCell ref="D18:L18"/>
    <mergeCell ref="D19:L19"/>
    <mergeCell ref="D20:L20"/>
    <mergeCell ref="D21:L21"/>
    <mergeCell ref="D22:L22"/>
    <mergeCell ref="D23:L23"/>
    <mergeCell ref="D26:L26"/>
    <mergeCell ref="D27:L27"/>
    <mergeCell ref="D28:L28"/>
    <mergeCell ref="D29:L29"/>
    <mergeCell ref="D30:L30"/>
    <mergeCell ref="D31:L31"/>
    <mergeCell ref="D32:L32"/>
    <mergeCell ref="D33:L33"/>
    <mergeCell ref="A40:L40"/>
    <mergeCell ref="A41:L41"/>
    <mergeCell ref="D44:L44"/>
    <mergeCell ref="D45:L45"/>
    <mergeCell ref="D46:L46"/>
    <mergeCell ref="D47:L47"/>
    <mergeCell ref="D48:L48"/>
    <mergeCell ref="D49:L49"/>
    <mergeCell ref="D50:L50"/>
    <mergeCell ref="D51:L51"/>
    <mergeCell ref="D52:L52"/>
    <mergeCell ref="D53:L53"/>
    <mergeCell ref="D54:L54"/>
    <mergeCell ref="D55:L55"/>
    <mergeCell ref="D56:L56"/>
    <mergeCell ref="D57:L57"/>
    <mergeCell ref="D58:L58"/>
    <mergeCell ref="D59:L59"/>
    <mergeCell ref="A62:L62"/>
    <mergeCell ref="A63:L63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7" min="6" style="0" width="9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9" min="14" style="0" width="11"/>
    <col collapsed="false" customWidth="true" hidden="false" outlineLevel="0" max="22" min="20" style="0" width="9"/>
    <col collapsed="false" customWidth="true" hidden="false" outlineLevel="0" max="23" min="23" style="0" width="8"/>
    <col collapsed="false" customWidth="true" hidden="false" outlineLevel="0" max="24" min="24" style="0" width="22"/>
    <col collapsed="false" customWidth="true" hidden="false" outlineLevel="0" max="26" min="25" style="0" width="11"/>
  </cols>
  <sheetData>
    <row r="1" customFormat="false" ht="32.8" hidden="false" customHeight="false" outlineLevel="0" collapsed="false">
      <c r="A1" s="1" t="s">
        <v>120</v>
      </c>
    </row>
    <row r="2" customFormat="false" ht="17.15" hidden="false" customHeight="fals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0.1" hidden="false" customHeight="false" outlineLevel="0" collapsed="false">
      <c r="A3" s="11" t="s">
        <v>122</v>
      </c>
      <c r="B3" s="28" t="s">
        <v>123</v>
      </c>
      <c r="C3" s="28"/>
      <c r="D3" s="29" t="n">
        <f aca="false">넥계산기!$B$13</f>
        <v>0.15</v>
      </c>
      <c r="E3" s="30" t="s">
        <v>124</v>
      </c>
      <c r="F3" s="30"/>
      <c r="G3" s="29" t="n">
        <f aca="false">넥계산기!$B$14</f>
        <v>0.1</v>
      </c>
      <c r="H3" s="28" t="s">
        <v>125</v>
      </c>
      <c r="I3" s="28"/>
      <c r="J3" s="29" t="n">
        <f aca="false">넥계산기!$B$18</f>
        <v>0.05</v>
      </c>
      <c r="K3" s="28" t="s">
        <v>126</v>
      </c>
      <c r="L3" s="28"/>
      <c r="M3" s="29" t="n">
        <f aca="false">넥계산기!$B$19</f>
        <v>0.075</v>
      </c>
      <c r="N3" s="28" t="s">
        <v>127</v>
      </c>
      <c r="O3" s="28"/>
      <c r="P3" s="29" t="n">
        <f aca="false">넥계산기!$B$20</f>
        <v>2</v>
      </c>
    </row>
    <row r="5" customFormat="false" ht="48" hidden="false" customHeight="true" outlineLevel="0" collapsed="false">
      <c r="A5" s="31" t="s">
        <v>128</v>
      </c>
      <c r="B5" s="32" t="s">
        <v>129</v>
      </c>
      <c r="C5" s="32" t="s">
        <v>130</v>
      </c>
      <c r="D5" s="32" t="s">
        <v>131</v>
      </c>
      <c r="E5" s="32" t="s">
        <v>132</v>
      </c>
      <c r="F5" s="32" t="s">
        <v>133</v>
      </c>
      <c r="G5" s="32" t="s">
        <v>134</v>
      </c>
      <c r="H5" s="32" t="s">
        <v>135</v>
      </c>
      <c r="I5" s="32" t="s">
        <v>136</v>
      </c>
      <c r="J5" s="31" t="s">
        <v>137</v>
      </c>
      <c r="K5" s="31" t="s">
        <v>46</v>
      </c>
      <c r="L5" s="32" t="s">
        <v>138</v>
      </c>
      <c r="M5" s="32" t="s">
        <v>139</v>
      </c>
      <c r="N5" s="32" t="s">
        <v>140</v>
      </c>
      <c r="O5" s="32" t="s">
        <v>141</v>
      </c>
      <c r="P5" s="32" t="s">
        <v>142</v>
      </c>
      <c r="Q5" s="31" t="s">
        <v>143</v>
      </c>
      <c r="R5" s="32" t="s">
        <v>144</v>
      </c>
      <c r="S5" s="31" t="s">
        <v>145</v>
      </c>
      <c r="T5" s="31" t="s">
        <v>146</v>
      </c>
      <c r="U5" s="31" t="s">
        <v>147</v>
      </c>
      <c r="V5" s="31" t="s">
        <v>148</v>
      </c>
      <c r="W5" s="32" t="s">
        <v>149</v>
      </c>
      <c r="X5" s="31" t="s">
        <v>150</v>
      </c>
      <c r="Y5" s="31" t="s">
        <v>100</v>
      </c>
      <c r="Z5" s="31" t="s">
        <v>151</v>
      </c>
    </row>
    <row r="6" customFormat="false" ht="36" hidden="false" customHeight="true" outlineLevel="0" collapsed="false">
      <c r="A6" s="33" t="s">
        <v>152</v>
      </c>
      <c r="B6" s="34" t="n">
        <v>4</v>
      </c>
      <c r="C6" s="34" t="n">
        <v>4</v>
      </c>
      <c r="D6" s="34" t="n">
        <v>20</v>
      </c>
      <c r="E6" s="34" t="n">
        <v>20</v>
      </c>
      <c r="F6" s="34" t="n">
        <v>50</v>
      </c>
      <c r="G6" s="34" t="n">
        <v>6</v>
      </c>
      <c r="H6" s="34" t="n">
        <v>15</v>
      </c>
      <c r="I6" s="34"/>
      <c r="J6" s="35" t="n">
        <f aca="false">IF(B6="","",IF(I6="",B6-넥계산기!$B$13,I6))</f>
        <v>3.85</v>
      </c>
      <c r="K6" s="36" t="str">
        <f aca="false">IF(B6="","",IF((E6&gt;D6),"3섹션 연장","단일"))</f>
        <v>단일</v>
      </c>
      <c r="L6" s="37" t="n">
        <f aca="false">IF(B6="","",((B6-J6)/2)/TAN(RADIANS(H6)))</f>
        <v>0.279903810567666</v>
      </c>
      <c r="M6" s="37" t="n">
        <f aca="false">IF(B6="","",-(C6+넥계산기!$B$14))</f>
        <v>-4.1</v>
      </c>
      <c r="N6" s="37" t="n">
        <f aca="false">IF(B6="","",IF((E6&gt;D6),D6-(C6+넥계산기!$B$14),Q6-(C6+넥계산기!$B$14)))</f>
        <v>15.6200961894323</v>
      </c>
      <c r="O6" s="37" t="str">
        <f aca="false">IF(B6="","",IF((E6&gt;D6),Q6-D6,"—"))</f>
        <v>—</v>
      </c>
      <c r="P6" s="37" t="str">
        <f aca="false">IF(B6="","",IF((E6&gt;D6),(G6-J6)/(2*TAN(RADIANS(H6))),"—"))</f>
        <v>—</v>
      </c>
      <c r="Q6" s="37" t="n">
        <f aca="false">IF(B6="","",E6-L6)</f>
        <v>19.7200961894323</v>
      </c>
      <c r="R6" s="37" t="str">
        <f aca="false">IF(B6="","",IF((E6&gt;D6),MIN(G6,B6+2*(Q6-D6)*TAN(RADIANS(H6))),"—"))</f>
        <v>—</v>
      </c>
      <c r="S6" s="37" t="n">
        <f aca="false">IF(B6="","",IF((E6&gt;D6),(MIN(G6,B6+2*(Q6-D6)*TAN(RADIANS(H6)))-J6)/2,((B6-J6)/2)))</f>
        <v>0.075</v>
      </c>
      <c r="T6" s="38" t="n">
        <f aca="false">IF(B6="","",IF((E6&gt;D6),ROUNDUP(S6/넥계산기!$B$18,0),IF(((B6-J6)/2)&gt;넥계산기!$B$19,ROUNDUP(((B6-J6)/2)/넥계산기!$B$18,0),1)))</f>
        <v>1</v>
      </c>
      <c r="U6" s="39" t="n">
        <f aca="false">IF(B6="","",(J6/B6)^4)</f>
        <v>0.858228540039063</v>
      </c>
      <c r="V6" s="39" t="n">
        <f aca="false">IF(B6="","",1/U6)</f>
        <v>1.16519080098931</v>
      </c>
      <c r="W6" s="39" t="n">
        <f aca="false">IF(B6="","",E6/B6)</f>
        <v>5</v>
      </c>
      <c r="X6" s="36" t="str">
        <f aca="false">IF(B6="","",IF(B6&lt;0.5,"⛔ 미적용",IF(B6&lt;2,"🔴 개별 확인",IF(B6&lt;2.5,"🟡 개별(유효장 길면)",IF(B6&lt;8,"🟢 기본 적용","🟡 여유 확인")))))</f>
        <v>🟢 기본 적용</v>
      </c>
      <c r="Y6" s="35" t="n">
        <f aca="false">IF(B6="","",IF(F6="","전장 입력",F6-IF((E6&gt;D6),Q6+P6,D6+(G6-B6)/(2*TAN(RADIANS(H6))))))</f>
        <v>26.2679491924311</v>
      </c>
      <c r="Z6" s="35" t="n">
        <f aca="false">IF(B6="","",IF((E6&gt;D6),(N6+O6+P6)/넥계산기!$B$20,(N6+L6)/넥계산기!$B$20))</f>
        <v>7.95</v>
      </c>
    </row>
    <row r="7" customFormat="false" ht="36" hidden="false" customHeight="true" outlineLevel="0" collapsed="false">
      <c r="A7" s="40" t="s">
        <v>153</v>
      </c>
      <c r="B7" s="34" t="n">
        <v>4</v>
      </c>
      <c r="C7" s="34" t="n">
        <v>4</v>
      </c>
      <c r="D7" s="34" t="n">
        <v>8</v>
      </c>
      <c r="E7" s="34" t="n">
        <v>14</v>
      </c>
      <c r="F7" s="34"/>
      <c r="G7" s="34" t="n">
        <v>6</v>
      </c>
      <c r="H7" s="34" t="n">
        <v>15</v>
      </c>
      <c r="I7" s="34"/>
      <c r="J7" s="35" t="n">
        <f aca="false">IF(B7="","",IF(I7="",B7-넥계산기!$B$13,I7))</f>
        <v>3.85</v>
      </c>
      <c r="K7" s="36" t="str">
        <f aca="false">IF(B7="","",IF((E7&gt;D7),"3섹션 연장","단일"))</f>
        <v>3섹션 연장</v>
      </c>
      <c r="L7" s="37" t="n">
        <f aca="false">IF(B7="","",((B7-J7)/2)/TAN(RADIANS(H7)))</f>
        <v>0.279903810567666</v>
      </c>
      <c r="M7" s="37" t="n">
        <f aca="false">IF(B7="","",-(C7+넥계산기!$B$14))</f>
        <v>-4.1</v>
      </c>
      <c r="N7" s="37" t="n">
        <f aca="false">IF(B7="","",IF((E7&gt;D7),D7-(C7+넥계산기!$B$14),Q7-(C7+넥계산기!$B$14)))</f>
        <v>3.9</v>
      </c>
      <c r="O7" s="37" t="n">
        <f aca="false">IF(B7="","",IF((E7&gt;D7),Q7-D7,"—"))</f>
        <v>5.72009618943233</v>
      </c>
      <c r="P7" s="37" t="n">
        <f aca="false">IF(B7="","",IF((E7&gt;D7),(G7-J7)/(2*TAN(RADIANS(H7))),"—"))</f>
        <v>4.01195461813654</v>
      </c>
      <c r="Q7" s="37" t="n">
        <f aca="false">IF(B7="","",E7-L7)</f>
        <v>13.7200961894323</v>
      </c>
      <c r="R7" s="37" t="n">
        <f aca="false">IF(B7="","",IF((E7&gt;D7),MIN(G7,B7+2*(Q7-D7)*TAN(RADIANS(H7))),"—"))</f>
        <v>6</v>
      </c>
      <c r="S7" s="37" t="n">
        <f aca="false">IF(B7="","",IF((E7&gt;D7),(MIN(G7,B7+2*(Q7-D7)*TAN(RADIANS(H7)))-J7)/2,((B7-J7)/2)))</f>
        <v>1.075</v>
      </c>
      <c r="T7" s="38" t="n">
        <f aca="false">IF(B7="","",IF((E7&gt;D7),ROUNDUP(S7/넥계산기!$B$18,0),IF(((B7-J7)/2)&gt;넥계산기!$B$19,ROUNDUP(((B7-J7)/2)/넥계산기!$B$18,0),1)))</f>
        <v>22</v>
      </c>
      <c r="U7" s="39" t="n">
        <f aca="false">IF(B7="","",(J7/B7)^4)</f>
        <v>0.858228540039063</v>
      </c>
      <c r="V7" s="39" t="n">
        <f aca="false">IF(B7="","",1/U7)</f>
        <v>1.16519080098931</v>
      </c>
      <c r="W7" s="39" t="n">
        <f aca="false">IF(B7="","",E7/B7)</f>
        <v>3.5</v>
      </c>
      <c r="X7" s="36" t="str">
        <f aca="false">IF(B7="","",IF(B7&lt;0.5,"⛔ 미적용",IF(B7&lt;2,"🔴 개별 확인",IF(B7&lt;2.5,"🟡 개별(유효장 길면)",IF(B7&lt;8,"🟢 기본 적용","🟡 여유 확인")))))</f>
        <v>🟢 기본 적용</v>
      </c>
      <c r="Y7" s="35" t="str">
        <f aca="false">IF(B7="","",IF(F7="","전장 입력",F7-IF((E7&gt;D7),Q7+P7,D7+(G7-B7)/(2*TAN(RADIANS(H7))))))</f>
        <v>전장 입력</v>
      </c>
      <c r="Z7" s="35" t="n">
        <f aca="false">IF(B7="","",IF((E7&gt;D7),(N7+O7+P7)/넥계산기!$B$20,(N7+L7)/넥계산기!$B$20))</f>
        <v>6.81602540378444</v>
      </c>
    </row>
    <row r="8" customFormat="false" ht="36" hidden="false" customHeight="true" outlineLevel="0" collapsed="false">
      <c r="A8" s="40" t="s">
        <v>154</v>
      </c>
      <c r="B8" s="34" t="n">
        <v>4</v>
      </c>
      <c r="C8" s="34" t="n">
        <v>4</v>
      </c>
      <c r="D8" s="34" t="n">
        <v>8</v>
      </c>
      <c r="E8" s="34" t="n">
        <v>12</v>
      </c>
      <c r="F8" s="34" t="n">
        <v>50</v>
      </c>
      <c r="G8" s="34" t="n">
        <v>6</v>
      </c>
      <c r="H8" s="34" t="n">
        <v>15</v>
      </c>
      <c r="I8" s="34"/>
      <c r="J8" s="35" t="n">
        <f aca="false">IF(B8="","",IF(I8="",B8-넥계산기!$B$13,I8))</f>
        <v>3.85</v>
      </c>
      <c r="K8" s="36" t="str">
        <f aca="false">IF(B8="","",IF((E8&gt;D8),"3섹션 연장","단일"))</f>
        <v>3섹션 연장</v>
      </c>
      <c r="L8" s="37" t="n">
        <f aca="false">IF(B8="","",((B8-J8)/2)/TAN(RADIANS(H8)))</f>
        <v>0.279903810567666</v>
      </c>
      <c r="M8" s="37" t="n">
        <f aca="false">IF(B8="","",-(C8+넥계산기!$B$14))</f>
        <v>-4.1</v>
      </c>
      <c r="N8" s="37" t="n">
        <f aca="false">IF(B8="","",IF((E8&gt;D8),D8-(C8+넥계산기!$B$14),Q8-(C8+넥계산기!$B$14)))</f>
        <v>3.9</v>
      </c>
      <c r="O8" s="37" t="n">
        <f aca="false">IF(B8="","",IF((E8&gt;D8),Q8-D8,"—"))</f>
        <v>3.72009618943233</v>
      </c>
      <c r="P8" s="37" t="n">
        <f aca="false">IF(B8="","",IF((E8&gt;D8),(G8-J8)/(2*TAN(RADIANS(H8))),"—"))</f>
        <v>4.01195461813654</v>
      </c>
      <c r="Q8" s="37" t="n">
        <f aca="false">IF(B8="","",E8-L8)</f>
        <v>11.7200961894323</v>
      </c>
      <c r="R8" s="37" t="n">
        <f aca="false">IF(B8="","",IF((E8&gt;D8),MIN(G8,B8+2*(Q8-D8)*TAN(RADIANS(H8))),"—"))</f>
        <v>5.99359353944898</v>
      </c>
      <c r="S8" s="37" t="n">
        <f aca="false">IF(B8="","",IF((E8&gt;D8),(MIN(G8,B8+2*(Q8-D8)*TAN(RADIANS(H8)))-J8)/2,((B8-J8)/2)))</f>
        <v>1.07179676972449</v>
      </c>
      <c r="T8" s="38" t="n">
        <f aca="false">IF(B8="","",IF((E8&gt;D8),ROUNDUP(S8/넥계산기!$B$18,0),IF(((B8-J8)/2)&gt;넥계산기!$B$19,ROUNDUP(((B8-J8)/2)/넥계산기!$B$18,0),1)))</f>
        <v>22</v>
      </c>
      <c r="U8" s="39" t="n">
        <f aca="false">IF(B8="","",(J8/B8)^4)</f>
        <v>0.858228540039063</v>
      </c>
      <c r="V8" s="39" t="n">
        <f aca="false">IF(B8="","",1/U8)</f>
        <v>1.16519080098931</v>
      </c>
      <c r="W8" s="39" t="n">
        <f aca="false">IF(B8="","",E8/B8)</f>
        <v>3</v>
      </c>
      <c r="X8" s="36" t="str">
        <f aca="false">IF(B8="","",IF(B8&lt;0.5,"⛔ 미적용",IF(B8&lt;2,"🔴 개별 확인",IF(B8&lt;2.5,"🟡 개별(유효장 길면)",IF(B8&lt;8,"🟢 기본 적용","🟡 여유 확인")))))</f>
        <v>🟢 기본 적용</v>
      </c>
      <c r="Y8" s="35" t="n">
        <f aca="false">IF(B8="","",IF(F8="","전장 입력",F8-IF((E8&gt;D8),Q8+P8,D8+(G8-B8)/(2*TAN(RADIANS(H8))))))</f>
        <v>34.2679491924311</v>
      </c>
      <c r="Z8" s="35" t="n">
        <f aca="false">IF(B8="","",IF((E8&gt;D8),(N8+O8+P8)/넥계산기!$B$20,(N8+L8)/넥계산기!$B$20))</f>
        <v>5.81602540378444</v>
      </c>
    </row>
    <row r="9" customFormat="false" ht="36" hidden="false" customHeight="true" outlineLevel="0" collapsed="false">
      <c r="A9" s="40" t="s">
        <v>155</v>
      </c>
      <c r="B9" s="34" t="n">
        <v>4</v>
      </c>
      <c r="C9" s="34" t="n">
        <v>4</v>
      </c>
      <c r="D9" s="34" t="n">
        <v>8</v>
      </c>
      <c r="E9" s="34" t="n">
        <v>16</v>
      </c>
      <c r="F9" s="34" t="n">
        <v>50</v>
      </c>
      <c r="G9" s="34" t="n">
        <v>6</v>
      </c>
      <c r="H9" s="34" t="n">
        <v>15</v>
      </c>
      <c r="I9" s="34"/>
      <c r="J9" s="35" t="n">
        <f aca="false">IF(B9="","",IF(I9="",B9-넥계산기!$B$13,I9))</f>
        <v>3.85</v>
      </c>
      <c r="K9" s="36" t="str">
        <f aca="false">IF(B9="","",IF((E9&gt;D9),"3섹션 연장","단일"))</f>
        <v>3섹션 연장</v>
      </c>
      <c r="L9" s="37" t="n">
        <f aca="false">IF(B9="","",((B9-J9)/2)/TAN(RADIANS(H9)))</f>
        <v>0.279903810567666</v>
      </c>
      <c r="M9" s="37" t="n">
        <f aca="false">IF(B9="","",-(C9+넥계산기!$B$14))</f>
        <v>-4.1</v>
      </c>
      <c r="N9" s="37" t="n">
        <f aca="false">IF(B9="","",IF((E9&gt;D9),D9-(C9+넥계산기!$B$14),Q9-(C9+넥계산기!$B$14)))</f>
        <v>3.9</v>
      </c>
      <c r="O9" s="37" t="n">
        <f aca="false">IF(B9="","",IF((E9&gt;D9),Q9-D9,"—"))</f>
        <v>7.72009618943233</v>
      </c>
      <c r="P9" s="37" t="n">
        <f aca="false">IF(B9="","",IF((E9&gt;D9),(G9-J9)/(2*TAN(RADIANS(H9))),"—"))</f>
        <v>4.01195461813654</v>
      </c>
      <c r="Q9" s="37" t="n">
        <f aca="false">IF(B9="","",E9-L9)</f>
        <v>15.7200961894323</v>
      </c>
      <c r="R9" s="37" t="n">
        <f aca="false">IF(B9="","",IF((E9&gt;D9),MIN(G9,B9+2*(Q9-D9)*TAN(RADIANS(H9))),"—"))</f>
        <v>6</v>
      </c>
      <c r="S9" s="37" t="n">
        <f aca="false">IF(B9="","",IF((E9&gt;D9),(MIN(G9,B9+2*(Q9-D9)*TAN(RADIANS(H9)))-J9)/2,((B9-J9)/2)))</f>
        <v>1.075</v>
      </c>
      <c r="T9" s="38" t="n">
        <f aca="false">IF(B9="","",IF((E9&gt;D9),ROUNDUP(S9/넥계산기!$B$18,0),IF(((B9-J9)/2)&gt;넥계산기!$B$19,ROUNDUP(((B9-J9)/2)/넥계산기!$B$18,0),1)))</f>
        <v>22</v>
      </c>
      <c r="U9" s="39" t="n">
        <f aca="false">IF(B9="","",(J9/B9)^4)</f>
        <v>0.858228540039063</v>
      </c>
      <c r="V9" s="39" t="n">
        <f aca="false">IF(B9="","",1/U9)</f>
        <v>1.16519080098931</v>
      </c>
      <c r="W9" s="39" t="n">
        <f aca="false">IF(B9="","",E9/B9)</f>
        <v>4</v>
      </c>
      <c r="X9" s="36" t="str">
        <f aca="false">IF(B9="","",IF(B9&lt;0.5,"⛔ 미적용",IF(B9&lt;2,"🔴 개별 확인",IF(B9&lt;2.5,"🟡 개별(유효장 길면)",IF(B9&lt;8,"🟢 기본 적용","🟡 여유 확인")))))</f>
        <v>🟢 기본 적용</v>
      </c>
      <c r="Y9" s="35" t="n">
        <f aca="false">IF(B9="","",IF(F9="","전장 입력",F9-IF((E9&gt;D9),Q9+P9,D9+(G9-B9)/(2*TAN(RADIANS(H9))))))</f>
        <v>30.2679491924311</v>
      </c>
      <c r="Z9" s="35" t="n">
        <f aca="false">IF(B9="","",IF((E9&gt;D9),(N9+O9+P9)/넥계산기!$B$20,(N9+L9)/넥계산기!$B$20))</f>
        <v>7.81602540378444</v>
      </c>
    </row>
    <row r="10" customFormat="false" ht="36" hidden="false" customHeight="true" outlineLevel="0" collapsed="false">
      <c r="A10" s="40" t="s">
        <v>156</v>
      </c>
      <c r="B10" s="34" t="n">
        <v>4</v>
      </c>
      <c r="C10" s="34" t="n">
        <v>4</v>
      </c>
      <c r="D10" s="34" t="n">
        <v>8</v>
      </c>
      <c r="E10" s="34" t="n">
        <v>20</v>
      </c>
      <c r="F10" s="34" t="n">
        <v>50</v>
      </c>
      <c r="G10" s="34" t="n">
        <v>6</v>
      </c>
      <c r="H10" s="34" t="n">
        <v>15</v>
      </c>
      <c r="I10" s="34"/>
      <c r="J10" s="35" t="n">
        <f aca="false">IF(B10="","",IF(I10="",B10-넥계산기!$B$13,I10))</f>
        <v>3.85</v>
      </c>
      <c r="K10" s="36" t="str">
        <f aca="false">IF(B10="","",IF((E10&gt;D10),"3섹션 연장","단일"))</f>
        <v>3섹션 연장</v>
      </c>
      <c r="L10" s="37" t="n">
        <f aca="false">IF(B10="","",((B10-J10)/2)/TAN(RADIANS(H10)))</f>
        <v>0.279903810567666</v>
      </c>
      <c r="M10" s="37" t="n">
        <f aca="false">IF(B10="","",-(C10+넥계산기!$B$14))</f>
        <v>-4.1</v>
      </c>
      <c r="N10" s="37" t="n">
        <f aca="false">IF(B10="","",IF((E10&gt;D10),D10-(C10+넥계산기!$B$14),Q10-(C10+넥계산기!$B$14)))</f>
        <v>3.9</v>
      </c>
      <c r="O10" s="37" t="n">
        <f aca="false">IF(B10="","",IF((E10&gt;D10),Q10-D10,"—"))</f>
        <v>11.7200961894323</v>
      </c>
      <c r="P10" s="37" t="n">
        <f aca="false">IF(B10="","",IF((E10&gt;D10),(G10-J10)/(2*TAN(RADIANS(H10))),"—"))</f>
        <v>4.01195461813654</v>
      </c>
      <c r="Q10" s="37" t="n">
        <f aca="false">IF(B10="","",E10-L10)</f>
        <v>19.7200961894323</v>
      </c>
      <c r="R10" s="37" t="n">
        <f aca="false">IF(B10="","",IF((E10&gt;D10),MIN(G10,B10+2*(Q10-D10)*TAN(RADIANS(H10))),"—"))</f>
        <v>6</v>
      </c>
      <c r="S10" s="37" t="n">
        <f aca="false">IF(B10="","",IF((E10&gt;D10),(MIN(G10,B10+2*(Q10-D10)*TAN(RADIANS(H10)))-J10)/2,((B10-J10)/2)))</f>
        <v>1.075</v>
      </c>
      <c r="T10" s="38" t="n">
        <f aca="false">IF(B10="","",IF((E10&gt;D10),ROUNDUP(S10/넥계산기!$B$18,0),IF(((B10-J10)/2)&gt;넥계산기!$B$19,ROUNDUP(((B10-J10)/2)/넥계산기!$B$18,0),1)))</f>
        <v>22</v>
      </c>
      <c r="U10" s="39" t="n">
        <f aca="false">IF(B10="","",(J10/B10)^4)</f>
        <v>0.858228540039063</v>
      </c>
      <c r="V10" s="39" t="n">
        <f aca="false">IF(B10="","",1/U10)</f>
        <v>1.16519080098931</v>
      </c>
      <c r="W10" s="39" t="n">
        <f aca="false">IF(B10="","",E10/B10)</f>
        <v>5</v>
      </c>
      <c r="X10" s="36" t="str">
        <f aca="false">IF(B10="","",IF(B10&lt;0.5,"⛔ 미적용",IF(B10&lt;2,"🔴 개별 확인",IF(B10&lt;2.5,"🟡 개별(유효장 길면)",IF(B10&lt;8,"🟢 기본 적용","🟡 여유 확인")))))</f>
        <v>🟢 기본 적용</v>
      </c>
      <c r="Y10" s="35" t="n">
        <f aca="false">IF(B10="","",IF(F10="","전장 입력",F10-IF((E10&gt;D10),Q10+P10,D10+(G10-B10)/(2*TAN(RADIANS(H10))))))</f>
        <v>26.2679491924311</v>
      </c>
      <c r="Z10" s="35" t="n">
        <f aca="false">IF(B10="","",IF((E10&gt;D10),(N10+O10+P10)/넥계산기!$B$20,(N10+L10)/넥계산기!$B$20))</f>
        <v>9.81602540378444</v>
      </c>
    </row>
    <row r="11" customFormat="false" ht="36" hidden="false" customHeight="true" outlineLevel="0" collapsed="false">
      <c r="A11" s="33"/>
      <c r="B11" s="34"/>
      <c r="C11" s="34"/>
      <c r="D11" s="34"/>
      <c r="E11" s="34"/>
      <c r="F11" s="34"/>
      <c r="G11" s="34"/>
      <c r="H11" s="34"/>
      <c r="I11" s="34"/>
      <c r="J11" s="35" t="str">
        <f aca="false">IF(B11="","",IF(I11="",B11-넥계산기!$B$13,I11))</f>
        <v/>
      </c>
      <c r="K11" s="36" t="str">
        <f aca="false">IF(B11="","",IF((E11&gt;D11),"3섹션 연장","단일"))</f>
        <v/>
      </c>
      <c r="L11" s="37" t="str">
        <f aca="false">IF(B11="","",((B11-J11)/2)/TAN(RADIANS(H11)))</f>
        <v/>
      </c>
      <c r="M11" s="37" t="str">
        <f aca="false">IF(B11="","",-(C11+넥계산기!$B$14))</f>
        <v/>
      </c>
      <c r="N11" s="37" t="str">
        <f aca="false">IF(B11="","",IF((E11&gt;D11),D11-(C11+넥계산기!$B$14),Q11-(C11+넥계산기!$B$14)))</f>
        <v/>
      </c>
      <c r="O11" s="37" t="str">
        <f aca="false">IF(B11="","",IF((E11&gt;D11),Q11-D11,"—"))</f>
        <v/>
      </c>
      <c r="P11" s="37" t="str">
        <f aca="false">IF(B11="","",IF((E11&gt;D11),(G11-J11)/(2*TAN(RADIANS(H11))),"—"))</f>
        <v/>
      </c>
      <c r="Q11" s="37" t="str">
        <f aca="false">IF(B11="","",E11-L11)</f>
        <v/>
      </c>
      <c r="R11" s="37" t="str">
        <f aca="false">IF(B11="","",IF((E11&gt;D11),MIN(G11,B11+2*(Q11-D11)*TAN(RADIANS(H11))),"—"))</f>
        <v/>
      </c>
      <c r="S11" s="37" t="str">
        <f aca="false">IF(B11="","",IF((E11&gt;D11),(MIN(G11,B11+2*(Q11-D11)*TAN(RADIANS(H11)))-J11)/2,((B11-J11)/2)))</f>
        <v/>
      </c>
      <c r="T11" s="38" t="str">
        <f aca="false">IF(B11="","",IF((E11&gt;D11),ROUNDUP(S11/넥계산기!$B$18,0),IF(((B11-J11)/2)&gt;넥계산기!$B$19,ROUNDUP(((B11-J11)/2)/넥계산기!$B$18,0),1)))</f>
        <v/>
      </c>
      <c r="U11" s="39" t="str">
        <f aca="false">IF(B11="","",(J11/B11)^4)</f>
        <v/>
      </c>
      <c r="V11" s="39" t="str">
        <f aca="false">IF(B11="","",1/U11)</f>
        <v/>
      </c>
      <c r="W11" s="39" t="str">
        <f aca="false">IF(B11="","",E11/B11)</f>
        <v/>
      </c>
      <c r="X11" s="36" t="str">
        <f aca="false">IF(B11="","",IF(B11&lt;0.5,"⛔ 미적용",IF(B11&lt;2,"🔴 개별 확인",IF(B11&lt;2.5,"🟡 개별(유효장 길면)",IF(B11&lt;8,"🟢 기본 적용","🟡 여유 확인")))))</f>
        <v/>
      </c>
      <c r="Y11" s="35" t="str">
        <f aca="false">IF(B11="","",IF(F11="","전장 입력",F11-IF((E11&gt;D11),Q11+P11,D11+(G11-B11)/(2*TAN(RADIANS(H11))))))</f>
        <v/>
      </c>
      <c r="Z11" s="35" t="str">
        <f aca="false">IF(B11="","",IF((E11&gt;D11),(N11+O11+P11)/넥계산기!$B$20,(N11+L11)/넥계산기!$B$20))</f>
        <v/>
      </c>
    </row>
    <row r="12" customFormat="false" ht="36" hidden="false" customHeight="true" outlineLevel="0" collapsed="false">
      <c r="A12" s="33"/>
      <c r="B12" s="34"/>
      <c r="C12" s="34"/>
      <c r="D12" s="34"/>
      <c r="E12" s="34"/>
      <c r="F12" s="34"/>
      <c r="G12" s="34"/>
      <c r="H12" s="34"/>
      <c r="I12" s="34"/>
      <c r="J12" s="35" t="str">
        <f aca="false">IF(B12="","",IF(I12="",B12-넥계산기!$B$13,I12))</f>
        <v/>
      </c>
      <c r="K12" s="36" t="str">
        <f aca="false">IF(B12="","",IF((E12&gt;D12),"3섹션 연장","단일"))</f>
        <v/>
      </c>
      <c r="L12" s="37" t="str">
        <f aca="false">IF(B12="","",((B12-J12)/2)/TAN(RADIANS(H12)))</f>
        <v/>
      </c>
      <c r="M12" s="37" t="str">
        <f aca="false">IF(B12="","",-(C12+넥계산기!$B$14))</f>
        <v/>
      </c>
      <c r="N12" s="37" t="str">
        <f aca="false">IF(B12="","",IF((E12&gt;D12),D12-(C12+넥계산기!$B$14),Q12-(C12+넥계산기!$B$14)))</f>
        <v/>
      </c>
      <c r="O12" s="37" t="str">
        <f aca="false">IF(B12="","",IF((E12&gt;D12),Q12-D12,"—"))</f>
        <v/>
      </c>
      <c r="P12" s="37" t="str">
        <f aca="false">IF(B12="","",IF((E12&gt;D12),(G12-J12)/(2*TAN(RADIANS(H12))),"—"))</f>
        <v/>
      </c>
      <c r="Q12" s="37" t="str">
        <f aca="false">IF(B12="","",E12-L12)</f>
        <v/>
      </c>
      <c r="R12" s="37" t="str">
        <f aca="false">IF(B12="","",IF((E12&gt;D12),MIN(G12,B12+2*(Q12-D12)*TAN(RADIANS(H12))),"—"))</f>
        <v/>
      </c>
      <c r="S12" s="37" t="str">
        <f aca="false">IF(B12="","",IF((E12&gt;D12),(MIN(G12,B12+2*(Q12-D12)*TAN(RADIANS(H12)))-J12)/2,((B12-J12)/2)))</f>
        <v/>
      </c>
      <c r="T12" s="38" t="str">
        <f aca="false">IF(B12="","",IF((E12&gt;D12),ROUNDUP(S12/넥계산기!$B$18,0),IF(((B12-J12)/2)&gt;넥계산기!$B$19,ROUNDUP(((B12-J12)/2)/넥계산기!$B$18,0),1)))</f>
        <v/>
      </c>
      <c r="U12" s="39" t="str">
        <f aca="false">IF(B12="","",(J12/B12)^4)</f>
        <v/>
      </c>
      <c r="V12" s="39" t="str">
        <f aca="false">IF(B12="","",1/U12)</f>
        <v/>
      </c>
      <c r="W12" s="39" t="str">
        <f aca="false">IF(B12="","",E12/B12)</f>
        <v/>
      </c>
      <c r="X12" s="36" t="str">
        <f aca="false">IF(B12="","",IF(B12&lt;0.5,"⛔ 미적용",IF(B12&lt;2,"🔴 개별 확인",IF(B12&lt;2.5,"🟡 개별(유효장 길면)",IF(B12&lt;8,"🟢 기본 적용","🟡 여유 확인")))))</f>
        <v/>
      </c>
      <c r="Y12" s="35" t="str">
        <f aca="false">IF(B12="","",IF(F12="","전장 입력",F12-IF((E12&gt;D12),Q12+P12,D12+(G12-B12)/(2*TAN(RADIANS(H12))))))</f>
        <v/>
      </c>
      <c r="Z12" s="35" t="str">
        <f aca="false">IF(B12="","",IF((E12&gt;D12),(N12+O12+P12)/넥계산기!$B$20,(N12+L12)/넥계산기!$B$20))</f>
        <v/>
      </c>
    </row>
    <row r="13" customFormat="false" ht="36" hidden="false" customHeight="true" outlineLevel="0" collapsed="false">
      <c r="A13" s="33"/>
      <c r="B13" s="34"/>
      <c r="C13" s="34"/>
      <c r="D13" s="34"/>
      <c r="E13" s="34"/>
      <c r="F13" s="34"/>
      <c r="G13" s="34"/>
      <c r="H13" s="34"/>
      <c r="I13" s="34"/>
      <c r="J13" s="35" t="str">
        <f aca="false">IF(B13="","",IF(I13="",B13-넥계산기!$B$13,I13))</f>
        <v/>
      </c>
      <c r="K13" s="36" t="str">
        <f aca="false">IF(B13="","",IF((E13&gt;D13),"3섹션 연장","단일"))</f>
        <v/>
      </c>
      <c r="L13" s="37" t="str">
        <f aca="false">IF(B13="","",((B13-J13)/2)/TAN(RADIANS(H13)))</f>
        <v/>
      </c>
      <c r="M13" s="37" t="str">
        <f aca="false">IF(B13="","",-(C13+넥계산기!$B$14))</f>
        <v/>
      </c>
      <c r="N13" s="37" t="str">
        <f aca="false">IF(B13="","",IF((E13&gt;D13),D13-(C13+넥계산기!$B$14),Q13-(C13+넥계산기!$B$14)))</f>
        <v/>
      </c>
      <c r="O13" s="37" t="str">
        <f aca="false">IF(B13="","",IF((E13&gt;D13),Q13-D13,"—"))</f>
        <v/>
      </c>
      <c r="P13" s="37" t="str">
        <f aca="false">IF(B13="","",IF((E13&gt;D13),(G13-J13)/(2*TAN(RADIANS(H13))),"—"))</f>
        <v/>
      </c>
      <c r="Q13" s="37" t="str">
        <f aca="false">IF(B13="","",E13-L13)</f>
        <v/>
      </c>
      <c r="R13" s="37" t="str">
        <f aca="false">IF(B13="","",IF((E13&gt;D13),MIN(G13,B13+2*(Q13-D13)*TAN(RADIANS(H13))),"—"))</f>
        <v/>
      </c>
      <c r="S13" s="37" t="str">
        <f aca="false">IF(B13="","",IF((E13&gt;D13),(MIN(G13,B13+2*(Q13-D13)*TAN(RADIANS(H13)))-J13)/2,((B13-J13)/2)))</f>
        <v/>
      </c>
      <c r="T13" s="38" t="str">
        <f aca="false">IF(B13="","",IF((E13&gt;D13),ROUNDUP(S13/넥계산기!$B$18,0),IF(((B13-J13)/2)&gt;넥계산기!$B$19,ROUNDUP(((B13-J13)/2)/넥계산기!$B$18,0),1)))</f>
        <v/>
      </c>
      <c r="U13" s="39" t="str">
        <f aca="false">IF(B13="","",(J13/B13)^4)</f>
        <v/>
      </c>
      <c r="V13" s="39" t="str">
        <f aca="false">IF(B13="","",1/U13)</f>
        <v/>
      </c>
      <c r="W13" s="39" t="str">
        <f aca="false">IF(B13="","",E13/B13)</f>
        <v/>
      </c>
      <c r="X13" s="36" t="str">
        <f aca="false">IF(B13="","",IF(B13&lt;0.5,"⛔ 미적용",IF(B13&lt;2,"🔴 개별 확인",IF(B13&lt;2.5,"🟡 개별(유효장 길면)",IF(B13&lt;8,"🟢 기본 적용","🟡 여유 확인")))))</f>
        <v/>
      </c>
      <c r="Y13" s="35" t="str">
        <f aca="false">IF(B13="","",IF(F13="","전장 입력",F13-IF((E13&gt;D13),Q13+P13,D13+(G13-B13)/(2*TAN(RADIANS(H13))))))</f>
        <v/>
      </c>
      <c r="Z13" s="35" t="str">
        <f aca="false">IF(B13="","",IF((E13&gt;D13),(N13+O13+P13)/넥계산기!$B$20,(N13+L13)/넥계산기!$B$20))</f>
        <v/>
      </c>
    </row>
    <row r="14" customFormat="false" ht="36" hidden="false" customHeight="true" outlineLevel="0" collapsed="false">
      <c r="A14" s="33"/>
      <c r="B14" s="34"/>
      <c r="C14" s="34"/>
      <c r="D14" s="34"/>
      <c r="E14" s="34"/>
      <c r="F14" s="34"/>
      <c r="G14" s="34"/>
      <c r="H14" s="34"/>
      <c r="I14" s="34"/>
      <c r="J14" s="35" t="str">
        <f aca="false">IF(B14="","",IF(I14="",B14-넥계산기!$B$13,I14))</f>
        <v/>
      </c>
      <c r="K14" s="36" t="str">
        <f aca="false">IF(B14="","",IF((E14&gt;D14),"3섹션 연장","단일"))</f>
        <v/>
      </c>
      <c r="L14" s="37" t="str">
        <f aca="false">IF(B14="","",((B14-J14)/2)/TAN(RADIANS(H14)))</f>
        <v/>
      </c>
      <c r="M14" s="37" t="str">
        <f aca="false">IF(B14="","",-(C14+넥계산기!$B$14))</f>
        <v/>
      </c>
      <c r="N14" s="37" t="str">
        <f aca="false">IF(B14="","",IF((E14&gt;D14),D14-(C14+넥계산기!$B$14),Q14-(C14+넥계산기!$B$14)))</f>
        <v/>
      </c>
      <c r="O14" s="37" t="str">
        <f aca="false">IF(B14="","",IF((E14&gt;D14),Q14-D14,"—"))</f>
        <v/>
      </c>
      <c r="P14" s="37" t="str">
        <f aca="false">IF(B14="","",IF((E14&gt;D14),(G14-J14)/(2*TAN(RADIANS(H14))),"—"))</f>
        <v/>
      </c>
      <c r="Q14" s="37" t="str">
        <f aca="false">IF(B14="","",E14-L14)</f>
        <v/>
      </c>
      <c r="R14" s="37" t="str">
        <f aca="false">IF(B14="","",IF((E14&gt;D14),MIN(G14,B14+2*(Q14-D14)*TAN(RADIANS(H14))),"—"))</f>
        <v/>
      </c>
      <c r="S14" s="37" t="str">
        <f aca="false">IF(B14="","",IF((E14&gt;D14),(MIN(G14,B14+2*(Q14-D14)*TAN(RADIANS(H14)))-J14)/2,((B14-J14)/2)))</f>
        <v/>
      </c>
      <c r="T14" s="38" t="str">
        <f aca="false">IF(B14="","",IF((E14&gt;D14),ROUNDUP(S14/넥계산기!$B$18,0),IF(((B14-J14)/2)&gt;넥계산기!$B$19,ROUNDUP(((B14-J14)/2)/넥계산기!$B$18,0),1)))</f>
        <v/>
      </c>
      <c r="U14" s="39" t="str">
        <f aca="false">IF(B14="","",(J14/B14)^4)</f>
        <v/>
      </c>
      <c r="V14" s="39" t="str">
        <f aca="false">IF(B14="","",1/U14)</f>
        <v/>
      </c>
      <c r="W14" s="39" t="str">
        <f aca="false">IF(B14="","",E14/B14)</f>
        <v/>
      </c>
      <c r="X14" s="36" t="str">
        <f aca="false">IF(B14="","",IF(B14&lt;0.5,"⛔ 미적용",IF(B14&lt;2,"🔴 개별 확인",IF(B14&lt;2.5,"🟡 개별(유효장 길면)",IF(B14&lt;8,"🟢 기본 적용","🟡 여유 확인")))))</f>
        <v/>
      </c>
      <c r="Y14" s="35" t="str">
        <f aca="false">IF(B14="","",IF(F14="","전장 입력",F14-IF((E14&gt;D14),Q14+P14,D14+(G14-B14)/(2*TAN(RADIANS(H14))))))</f>
        <v/>
      </c>
      <c r="Z14" s="35" t="str">
        <f aca="false">IF(B14="","",IF((E14&gt;D14),(N14+O14+P14)/넥계산기!$B$20,(N14+L14)/넥계산기!$B$20))</f>
        <v/>
      </c>
    </row>
    <row r="15" customFormat="false" ht="36" hidden="false" customHeight="true" outlineLevel="0" collapsed="false">
      <c r="A15" s="33"/>
      <c r="B15" s="34"/>
      <c r="C15" s="34"/>
      <c r="D15" s="34"/>
      <c r="E15" s="34"/>
      <c r="F15" s="34"/>
      <c r="G15" s="34"/>
      <c r="H15" s="34"/>
      <c r="I15" s="34"/>
      <c r="J15" s="35" t="str">
        <f aca="false">IF(B15="","",IF(I15="",B15-넥계산기!$B$13,I15))</f>
        <v/>
      </c>
      <c r="K15" s="36" t="str">
        <f aca="false">IF(B15="","",IF((E15&gt;D15),"3섹션 연장","단일"))</f>
        <v/>
      </c>
      <c r="L15" s="37" t="str">
        <f aca="false">IF(B15="","",((B15-J15)/2)/TAN(RADIANS(H15)))</f>
        <v/>
      </c>
      <c r="M15" s="37" t="str">
        <f aca="false">IF(B15="","",-(C15+넥계산기!$B$14))</f>
        <v/>
      </c>
      <c r="N15" s="37" t="str">
        <f aca="false">IF(B15="","",IF((E15&gt;D15),D15-(C15+넥계산기!$B$14),Q15-(C15+넥계산기!$B$14)))</f>
        <v/>
      </c>
      <c r="O15" s="37" t="str">
        <f aca="false">IF(B15="","",IF((E15&gt;D15),Q15-D15,"—"))</f>
        <v/>
      </c>
      <c r="P15" s="37" t="str">
        <f aca="false">IF(B15="","",IF((E15&gt;D15),(G15-J15)/(2*TAN(RADIANS(H15))),"—"))</f>
        <v/>
      </c>
      <c r="Q15" s="37" t="str">
        <f aca="false">IF(B15="","",E15-L15)</f>
        <v/>
      </c>
      <c r="R15" s="37" t="str">
        <f aca="false">IF(B15="","",IF((E15&gt;D15),MIN(G15,B15+2*(Q15-D15)*TAN(RADIANS(H15))),"—"))</f>
        <v/>
      </c>
      <c r="S15" s="37" t="str">
        <f aca="false">IF(B15="","",IF((E15&gt;D15),(MIN(G15,B15+2*(Q15-D15)*TAN(RADIANS(H15)))-J15)/2,((B15-J15)/2)))</f>
        <v/>
      </c>
      <c r="T15" s="38" t="str">
        <f aca="false">IF(B15="","",IF((E15&gt;D15),ROUNDUP(S15/넥계산기!$B$18,0),IF(((B15-J15)/2)&gt;넥계산기!$B$19,ROUNDUP(((B15-J15)/2)/넥계산기!$B$18,0),1)))</f>
        <v/>
      </c>
      <c r="U15" s="39" t="str">
        <f aca="false">IF(B15="","",(J15/B15)^4)</f>
        <v/>
      </c>
      <c r="V15" s="39" t="str">
        <f aca="false">IF(B15="","",1/U15)</f>
        <v/>
      </c>
      <c r="W15" s="39" t="str">
        <f aca="false">IF(B15="","",E15/B15)</f>
        <v/>
      </c>
      <c r="X15" s="36" t="str">
        <f aca="false">IF(B15="","",IF(B15&lt;0.5,"⛔ 미적용",IF(B15&lt;2,"🔴 개별 확인",IF(B15&lt;2.5,"🟡 개별(유효장 길면)",IF(B15&lt;8,"🟢 기본 적용","🟡 여유 확인")))))</f>
        <v/>
      </c>
      <c r="Y15" s="35" t="str">
        <f aca="false">IF(B15="","",IF(F15="","전장 입력",F15-IF((E15&gt;D15),Q15+P15,D15+(G15-B15)/(2*TAN(RADIANS(H15))))))</f>
        <v/>
      </c>
      <c r="Z15" s="35" t="str">
        <f aca="false">IF(B15="","",IF((E15&gt;D15),(N15+O15+P15)/넥계산기!$B$20,(N15+L15)/넥계산기!$B$20))</f>
        <v/>
      </c>
    </row>
    <row r="16" customFormat="false" ht="36" hidden="false" customHeight="true" outlineLevel="0" collapsed="false">
      <c r="A16" s="33"/>
      <c r="B16" s="34"/>
      <c r="C16" s="34"/>
      <c r="D16" s="34"/>
      <c r="E16" s="34"/>
      <c r="F16" s="34"/>
      <c r="G16" s="34"/>
      <c r="H16" s="34"/>
      <c r="I16" s="34"/>
      <c r="J16" s="35" t="str">
        <f aca="false">IF(B16="","",IF(I16="",B16-넥계산기!$B$13,I16))</f>
        <v/>
      </c>
      <c r="K16" s="36" t="str">
        <f aca="false">IF(B16="","",IF((E16&gt;D16),"3섹션 연장","단일"))</f>
        <v/>
      </c>
      <c r="L16" s="37" t="str">
        <f aca="false">IF(B16="","",((B16-J16)/2)/TAN(RADIANS(H16)))</f>
        <v/>
      </c>
      <c r="M16" s="37" t="str">
        <f aca="false">IF(B16="","",-(C16+넥계산기!$B$14))</f>
        <v/>
      </c>
      <c r="N16" s="37" t="str">
        <f aca="false">IF(B16="","",IF((E16&gt;D16),D16-(C16+넥계산기!$B$14),Q16-(C16+넥계산기!$B$14)))</f>
        <v/>
      </c>
      <c r="O16" s="37" t="str">
        <f aca="false">IF(B16="","",IF((E16&gt;D16),Q16-D16,"—"))</f>
        <v/>
      </c>
      <c r="P16" s="37" t="str">
        <f aca="false">IF(B16="","",IF((E16&gt;D16),(G16-J16)/(2*TAN(RADIANS(H16))),"—"))</f>
        <v/>
      </c>
      <c r="Q16" s="37" t="str">
        <f aca="false">IF(B16="","",E16-L16)</f>
        <v/>
      </c>
      <c r="R16" s="37" t="str">
        <f aca="false">IF(B16="","",IF((E16&gt;D16),MIN(G16,B16+2*(Q16-D16)*TAN(RADIANS(H16))),"—"))</f>
        <v/>
      </c>
      <c r="S16" s="37" t="str">
        <f aca="false">IF(B16="","",IF((E16&gt;D16),(MIN(G16,B16+2*(Q16-D16)*TAN(RADIANS(H16)))-J16)/2,((B16-J16)/2)))</f>
        <v/>
      </c>
      <c r="T16" s="38" t="str">
        <f aca="false">IF(B16="","",IF((E16&gt;D16),ROUNDUP(S16/넥계산기!$B$18,0),IF(((B16-J16)/2)&gt;넥계산기!$B$19,ROUNDUP(((B16-J16)/2)/넥계산기!$B$18,0),1)))</f>
        <v/>
      </c>
      <c r="U16" s="39" t="str">
        <f aca="false">IF(B16="","",(J16/B16)^4)</f>
        <v/>
      </c>
      <c r="V16" s="39" t="str">
        <f aca="false">IF(B16="","",1/U16)</f>
        <v/>
      </c>
      <c r="W16" s="39" t="str">
        <f aca="false">IF(B16="","",E16/B16)</f>
        <v/>
      </c>
      <c r="X16" s="36" t="str">
        <f aca="false">IF(B16="","",IF(B16&lt;0.5,"⛔ 미적용",IF(B16&lt;2,"🔴 개별 확인",IF(B16&lt;2.5,"🟡 개별(유효장 길면)",IF(B16&lt;8,"🟢 기본 적용","🟡 여유 확인")))))</f>
        <v/>
      </c>
      <c r="Y16" s="35" t="str">
        <f aca="false">IF(B16="","",IF(F16="","전장 입력",F16-IF((E16&gt;D16),Q16+P16,D16+(G16-B16)/(2*TAN(RADIANS(H16))))))</f>
        <v/>
      </c>
      <c r="Z16" s="35" t="str">
        <f aca="false">IF(B16="","",IF((E16&gt;D16),(N16+O16+P16)/넥계산기!$B$20,(N16+L16)/넥계산기!$B$20))</f>
        <v/>
      </c>
    </row>
    <row r="17" customFormat="false" ht="36" hidden="false" customHeight="true" outlineLevel="0" collapsed="false">
      <c r="A17" s="33"/>
      <c r="B17" s="34"/>
      <c r="C17" s="34"/>
      <c r="D17" s="34"/>
      <c r="E17" s="34"/>
      <c r="F17" s="34"/>
      <c r="G17" s="34"/>
      <c r="H17" s="34"/>
      <c r="I17" s="34"/>
      <c r="J17" s="35" t="str">
        <f aca="false">IF(B17="","",IF(I17="",B17-넥계산기!$B$13,I17))</f>
        <v/>
      </c>
      <c r="K17" s="36" t="str">
        <f aca="false">IF(B17="","",IF((E17&gt;D17),"3섹션 연장","단일"))</f>
        <v/>
      </c>
      <c r="L17" s="37" t="str">
        <f aca="false">IF(B17="","",((B17-J17)/2)/TAN(RADIANS(H17)))</f>
        <v/>
      </c>
      <c r="M17" s="37" t="str">
        <f aca="false">IF(B17="","",-(C17+넥계산기!$B$14))</f>
        <v/>
      </c>
      <c r="N17" s="37" t="str">
        <f aca="false">IF(B17="","",IF((E17&gt;D17),D17-(C17+넥계산기!$B$14),Q17-(C17+넥계산기!$B$14)))</f>
        <v/>
      </c>
      <c r="O17" s="37" t="str">
        <f aca="false">IF(B17="","",IF((E17&gt;D17),Q17-D17,"—"))</f>
        <v/>
      </c>
      <c r="P17" s="37" t="str">
        <f aca="false">IF(B17="","",IF((E17&gt;D17),(G17-J17)/(2*TAN(RADIANS(H17))),"—"))</f>
        <v/>
      </c>
      <c r="Q17" s="37" t="str">
        <f aca="false">IF(B17="","",E17-L17)</f>
        <v/>
      </c>
      <c r="R17" s="37" t="str">
        <f aca="false">IF(B17="","",IF((E17&gt;D17),MIN(G17,B17+2*(Q17-D17)*TAN(RADIANS(H17))),"—"))</f>
        <v/>
      </c>
      <c r="S17" s="37" t="str">
        <f aca="false">IF(B17="","",IF((E17&gt;D17),(MIN(G17,B17+2*(Q17-D17)*TAN(RADIANS(H17)))-J17)/2,((B17-J17)/2)))</f>
        <v/>
      </c>
      <c r="T17" s="38" t="str">
        <f aca="false">IF(B17="","",IF((E17&gt;D17),ROUNDUP(S17/넥계산기!$B$18,0),IF(((B17-J17)/2)&gt;넥계산기!$B$19,ROUNDUP(((B17-J17)/2)/넥계산기!$B$18,0),1)))</f>
        <v/>
      </c>
      <c r="U17" s="39" t="str">
        <f aca="false">IF(B17="","",(J17/B17)^4)</f>
        <v/>
      </c>
      <c r="V17" s="39" t="str">
        <f aca="false">IF(B17="","",1/U17)</f>
        <v/>
      </c>
      <c r="W17" s="39" t="str">
        <f aca="false">IF(B17="","",E17/B17)</f>
        <v/>
      </c>
      <c r="X17" s="36" t="str">
        <f aca="false">IF(B17="","",IF(B17&lt;0.5,"⛔ 미적용",IF(B17&lt;2,"🔴 개별 확인",IF(B17&lt;2.5,"🟡 개별(유효장 길면)",IF(B17&lt;8,"🟢 기본 적용","🟡 여유 확인")))))</f>
        <v/>
      </c>
      <c r="Y17" s="35" t="str">
        <f aca="false">IF(B17="","",IF(F17="","전장 입력",F17-IF((E17&gt;D17),Q17+P17,D17+(G17-B17)/(2*TAN(RADIANS(H17))))))</f>
        <v/>
      </c>
      <c r="Z17" s="35" t="str">
        <f aca="false">IF(B17="","",IF((E17&gt;D17),(N17+O17+P17)/넥계산기!$B$20,(N17+L17)/넥계산기!$B$20))</f>
        <v/>
      </c>
    </row>
    <row r="18" customFormat="false" ht="36" hidden="false" customHeight="true" outlineLevel="0" collapsed="false">
      <c r="A18" s="33"/>
      <c r="B18" s="34"/>
      <c r="C18" s="34"/>
      <c r="D18" s="34"/>
      <c r="E18" s="34"/>
      <c r="F18" s="34"/>
      <c r="G18" s="34"/>
      <c r="H18" s="34"/>
      <c r="I18" s="34"/>
      <c r="J18" s="35" t="str">
        <f aca="false">IF(B18="","",IF(I18="",B18-넥계산기!$B$13,I18))</f>
        <v/>
      </c>
      <c r="K18" s="36" t="str">
        <f aca="false">IF(B18="","",IF((E18&gt;D18),"3섹션 연장","단일"))</f>
        <v/>
      </c>
      <c r="L18" s="37" t="str">
        <f aca="false">IF(B18="","",((B18-J18)/2)/TAN(RADIANS(H18)))</f>
        <v/>
      </c>
      <c r="M18" s="37" t="str">
        <f aca="false">IF(B18="","",-(C18+넥계산기!$B$14))</f>
        <v/>
      </c>
      <c r="N18" s="37" t="str">
        <f aca="false">IF(B18="","",IF((E18&gt;D18),D18-(C18+넥계산기!$B$14),Q18-(C18+넥계산기!$B$14)))</f>
        <v/>
      </c>
      <c r="O18" s="37" t="str">
        <f aca="false">IF(B18="","",IF((E18&gt;D18),Q18-D18,"—"))</f>
        <v/>
      </c>
      <c r="P18" s="37" t="str">
        <f aca="false">IF(B18="","",IF((E18&gt;D18),(G18-J18)/(2*TAN(RADIANS(H18))),"—"))</f>
        <v/>
      </c>
      <c r="Q18" s="37" t="str">
        <f aca="false">IF(B18="","",E18-L18)</f>
        <v/>
      </c>
      <c r="R18" s="37" t="str">
        <f aca="false">IF(B18="","",IF((E18&gt;D18),MIN(G18,B18+2*(Q18-D18)*TAN(RADIANS(H18))),"—"))</f>
        <v/>
      </c>
      <c r="S18" s="37" t="str">
        <f aca="false">IF(B18="","",IF((E18&gt;D18),(MIN(G18,B18+2*(Q18-D18)*TAN(RADIANS(H18)))-J18)/2,((B18-J18)/2)))</f>
        <v/>
      </c>
      <c r="T18" s="38" t="str">
        <f aca="false">IF(B18="","",IF((E18&gt;D18),ROUNDUP(S18/넥계산기!$B$18,0),IF(((B18-J18)/2)&gt;넥계산기!$B$19,ROUNDUP(((B18-J18)/2)/넥계산기!$B$18,0),1)))</f>
        <v/>
      </c>
      <c r="U18" s="39" t="str">
        <f aca="false">IF(B18="","",(J18/B18)^4)</f>
        <v/>
      </c>
      <c r="V18" s="39" t="str">
        <f aca="false">IF(B18="","",1/U18)</f>
        <v/>
      </c>
      <c r="W18" s="39" t="str">
        <f aca="false">IF(B18="","",E18/B18)</f>
        <v/>
      </c>
      <c r="X18" s="36" t="str">
        <f aca="false">IF(B18="","",IF(B18&lt;0.5,"⛔ 미적용",IF(B18&lt;2,"🔴 개별 확인",IF(B18&lt;2.5,"🟡 개별(유효장 길면)",IF(B18&lt;8,"🟢 기본 적용","🟡 여유 확인")))))</f>
        <v/>
      </c>
      <c r="Y18" s="35" t="str">
        <f aca="false">IF(B18="","",IF(F18="","전장 입력",F18-IF((E18&gt;D18),Q18+P18,D18+(G18-B18)/(2*TAN(RADIANS(H18))))))</f>
        <v/>
      </c>
      <c r="Z18" s="35" t="str">
        <f aca="false">IF(B18="","",IF((E18&gt;D18),(N18+O18+P18)/넥계산기!$B$20,(N18+L18)/넥계산기!$B$20))</f>
        <v/>
      </c>
    </row>
    <row r="19" customFormat="false" ht="36" hidden="false" customHeight="true" outlineLevel="0" collapsed="false">
      <c r="A19" s="33"/>
      <c r="B19" s="34"/>
      <c r="C19" s="34"/>
      <c r="D19" s="34"/>
      <c r="E19" s="34"/>
      <c r="F19" s="34"/>
      <c r="G19" s="34"/>
      <c r="H19" s="34"/>
      <c r="I19" s="34"/>
      <c r="J19" s="35" t="str">
        <f aca="false">IF(B19="","",IF(I19="",B19-넥계산기!$B$13,I19))</f>
        <v/>
      </c>
      <c r="K19" s="36" t="str">
        <f aca="false">IF(B19="","",IF((E19&gt;D19),"3섹션 연장","단일"))</f>
        <v/>
      </c>
      <c r="L19" s="37" t="str">
        <f aca="false">IF(B19="","",((B19-J19)/2)/TAN(RADIANS(H19)))</f>
        <v/>
      </c>
      <c r="M19" s="37" t="str">
        <f aca="false">IF(B19="","",-(C19+넥계산기!$B$14))</f>
        <v/>
      </c>
      <c r="N19" s="37" t="str">
        <f aca="false">IF(B19="","",IF((E19&gt;D19),D19-(C19+넥계산기!$B$14),Q19-(C19+넥계산기!$B$14)))</f>
        <v/>
      </c>
      <c r="O19" s="37" t="str">
        <f aca="false">IF(B19="","",IF((E19&gt;D19),Q19-D19,"—"))</f>
        <v/>
      </c>
      <c r="P19" s="37" t="str">
        <f aca="false">IF(B19="","",IF((E19&gt;D19),(G19-J19)/(2*TAN(RADIANS(H19))),"—"))</f>
        <v/>
      </c>
      <c r="Q19" s="37" t="str">
        <f aca="false">IF(B19="","",E19-L19)</f>
        <v/>
      </c>
      <c r="R19" s="37" t="str">
        <f aca="false">IF(B19="","",IF((E19&gt;D19),MIN(G19,B19+2*(Q19-D19)*TAN(RADIANS(H19))),"—"))</f>
        <v/>
      </c>
      <c r="S19" s="37" t="str">
        <f aca="false">IF(B19="","",IF((E19&gt;D19),(MIN(G19,B19+2*(Q19-D19)*TAN(RADIANS(H19)))-J19)/2,((B19-J19)/2)))</f>
        <v/>
      </c>
      <c r="T19" s="38" t="str">
        <f aca="false">IF(B19="","",IF((E19&gt;D19),ROUNDUP(S19/넥계산기!$B$18,0),IF(((B19-J19)/2)&gt;넥계산기!$B$19,ROUNDUP(((B19-J19)/2)/넥계산기!$B$18,0),1)))</f>
        <v/>
      </c>
      <c r="U19" s="39" t="str">
        <f aca="false">IF(B19="","",(J19/B19)^4)</f>
        <v/>
      </c>
      <c r="V19" s="39" t="str">
        <f aca="false">IF(B19="","",1/U19)</f>
        <v/>
      </c>
      <c r="W19" s="39" t="str">
        <f aca="false">IF(B19="","",E19/B19)</f>
        <v/>
      </c>
      <c r="X19" s="36" t="str">
        <f aca="false">IF(B19="","",IF(B19&lt;0.5,"⛔ 미적용",IF(B19&lt;2,"🔴 개별 확인",IF(B19&lt;2.5,"🟡 개별(유효장 길면)",IF(B19&lt;8,"🟢 기본 적용","🟡 여유 확인")))))</f>
        <v/>
      </c>
      <c r="Y19" s="35" t="str">
        <f aca="false">IF(B19="","",IF(F19="","전장 입력",F19-IF((E19&gt;D19),Q19+P19,D19+(G19-B19)/(2*TAN(RADIANS(H19))))))</f>
        <v/>
      </c>
      <c r="Z19" s="35" t="str">
        <f aca="false">IF(B19="","",IF((E19&gt;D19),(N19+O19+P19)/넥계산기!$B$20,(N19+L19)/넥계산기!$B$20))</f>
        <v/>
      </c>
    </row>
    <row r="20" customFormat="false" ht="36" hidden="false" customHeight="true" outlineLevel="0" collapsed="false">
      <c r="A20" s="33"/>
      <c r="B20" s="34"/>
      <c r="C20" s="34"/>
      <c r="D20" s="34"/>
      <c r="E20" s="34"/>
      <c r="F20" s="34"/>
      <c r="G20" s="34"/>
      <c r="H20" s="34"/>
      <c r="I20" s="34"/>
      <c r="J20" s="35" t="str">
        <f aca="false">IF(B20="","",IF(I20="",B20-넥계산기!$B$13,I20))</f>
        <v/>
      </c>
      <c r="K20" s="36" t="str">
        <f aca="false">IF(B20="","",IF((E20&gt;D20),"3섹션 연장","단일"))</f>
        <v/>
      </c>
      <c r="L20" s="37" t="str">
        <f aca="false">IF(B20="","",((B20-J20)/2)/TAN(RADIANS(H20)))</f>
        <v/>
      </c>
      <c r="M20" s="37" t="str">
        <f aca="false">IF(B20="","",-(C20+넥계산기!$B$14))</f>
        <v/>
      </c>
      <c r="N20" s="37" t="str">
        <f aca="false">IF(B20="","",IF((E20&gt;D20),D20-(C20+넥계산기!$B$14),Q20-(C20+넥계산기!$B$14)))</f>
        <v/>
      </c>
      <c r="O20" s="37" t="str">
        <f aca="false">IF(B20="","",IF((E20&gt;D20),Q20-D20,"—"))</f>
        <v/>
      </c>
      <c r="P20" s="37" t="str">
        <f aca="false">IF(B20="","",IF((E20&gt;D20),(G20-J20)/(2*TAN(RADIANS(H20))),"—"))</f>
        <v/>
      </c>
      <c r="Q20" s="37" t="str">
        <f aca="false">IF(B20="","",E20-L20)</f>
        <v/>
      </c>
      <c r="R20" s="37" t="str">
        <f aca="false">IF(B20="","",IF((E20&gt;D20),MIN(G20,B20+2*(Q20-D20)*TAN(RADIANS(H20))),"—"))</f>
        <v/>
      </c>
      <c r="S20" s="37" t="str">
        <f aca="false">IF(B20="","",IF((E20&gt;D20),(MIN(G20,B20+2*(Q20-D20)*TAN(RADIANS(H20)))-J20)/2,((B20-J20)/2)))</f>
        <v/>
      </c>
      <c r="T20" s="38" t="str">
        <f aca="false">IF(B20="","",IF((E20&gt;D20),ROUNDUP(S20/넥계산기!$B$18,0),IF(((B20-J20)/2)&gt;넥계산기!$B$19,ROUNDUP(((B20-J20)/2)/넥계산기!$B$18,0),1)))</f>
        <v/>
      </c>
      <c r="U20" s="39" t="str">
        <f aca="false">IF(B20="","",(J20/B20)^4)</f>
        <v/>
      </c>
      <c r="V20" s="39" t="str">
        <f aca="false">IF(B20="","",1/U20)</f>
        <v/>
      </c>
      <c r="W20" s="39" t="str">
        <f aca="false">IF(B20="","",E20/B20)</f>
        <v/>
      </c>
      <c r="X20" s="36" t="str">
        <f aca="false">IF(B20="","",IF(B20&lt;0.5,"⛔ 미적용",IF(B20&lt;2,"🔴 개별 확인",IF(B20&lt;2.5,"🟡 개별(유효장 길면)",IF(B20&lt;8,"🟢 기본 적용","🟡 여유 확인")))))</f>
        <v/>
      </c>
      <c r="Y20" s="35" t="str">
        <f aca="false">IF(B20="","",IF(F20="","전장 입력",F20-IF((E20&gt;D20),Q20+P20,D20+(G20-B20)/(2*TAN(RADIANS(H20))))))</f>
        <v/>
      </c>
      <c r="Z20" s="35" t="str">
        <f aca="false">IF(B20="","",IF((E20&gt;D20),(N20+O20+P20)/넥계산기!$B$20,(N20+L20)/넥계산기!$B$20))</f>
        <v/>
      </c>
    </row>
    <row r="21" customFormat="false" ht="36" hidden="false" customHeight="true" outlineLevel="0" collapsed="false">
      <c r="A21" s="33"/>
      <c r="B21" s="34"/>
      <c r="C21" s="34"/>
      <c r="D21" s="34"/>
      <c r="E21" s="34"/>
      <c r="F21" s="34"/>
      <c r="G21" s="34"/>
      <c r="H21" s="34"/>
      <c r="I21" s="34"/>
      <c r="J21" s="35" t="str">
        <f aca="false">IF(B21="","",IF(I21="",B21-넥계산기!$B$13,I21))</f>
        <v/>
      </c>
      <c r="K21" s="36" t="str">
        <f aca="false">IF(B21="","",IF((E21&gt;D21),"3섹션 연장","단일"))</f>
        <v/>
      </c>
      <c r="L21" s="37" t="str">
        <f aca="false">IF(B21="","",((B21-J21)/2)/TAN(RADIANS(H21)))</f>
        <v/>
      </c>
      <c r="M21" s="37" t="str">
        <f aca="false">IF(B21="","",-(C21+넥계산기!$B$14))</f>
        <v/>
      </c>
      <c r="N21" s="37" t="str">
        <f aca="false">IF(B21="","",IF((E21&gt;D21),D21-(C21+넥계산기!$B$14),Q21-(C21+넥계산기!$B$14)))</f>
        <v/>
      </c>
      <c r="O21" s="37" t="str">
        <f aca="false">IF(B21="","",IF((E21&gt;D21),Q21-D21,"—"))</f>
        <v/>
      </c>
      <c r="P21" s="37" t="str">
        <f aca="false">IF(B21="","",IF((E21&gt;D21),(G21-J21)/(2*TAN(RADIANS(H21))),"—"))</f>
        <v/>
      </c>
      <c r="Q21" s="37" t="str">
        <f aca="false">IF(B21="","",E21-L21)</f>
        <v/>
      </c>
      <c r="R21" s="37" t="str">
        <f aca="false">IF(B21="","",IF((E21&gt;D21),MIN(G21,B21+2*(Q21-D21)*TAN(RADIANS(H21))),"—"))</f>
        <v/>
      </c>
      <c r="S21" s="37" t="str">
        <f aca="false">IF(B21="","",IF((E21&gt;D21),(MIN(G21,B21+2*(Q21-D21)*TAN(RADIANS(H21)))-J21)/2,((B21-J21)/2)))</f>
        <v/>
      </c>
      <c r="T21" s="38" t="str">
        <f aca="false">IF(B21="","",IF((E21&gt;D21),ROUNDUP(S21/넥계산기!$B$18,0),IF(((B21-J21)/2)&gt;넥계산기!$B$19,ROUNDUP(((B21-J21)/2)/넥계산기!$B$18,0),1)))</f>
        <v/>
      </c>
      <c r="U21" s="39" t="str">
        <f aca="false">IF(B21="","",(J21/B21)^4)</f>
        <v/>
      </c>
      <c r="V21" s="39" t="str">
        <f aca="false">IF(B21="","",1/U21)</f>
        <v/>
      </c>
      <c r="W21" s="39" t="str">
        <f aca="false">IF(B21="","",E21/B21)</f>
        <v/>
      </c>
      <c r="X21" s="36" t="str">
        <f aca="false">IF(B21="","",IF(B21&lt;0.5,"⛔ 미적용",IF(B21&lt;2,"🔴 개별 확인",IF(B21&lt;2.5,"🟡 개별(유효장 길면)",IF(B21&lt;8,"🟢 기본 적용","🟡 여유 확인")))))</f>
        <v/>
      </c>
      <c r="Y21" s="35" t="str">
        <f aca="false">IF(B21="","",IF(F21="","전장 입력",F21-IF((E21&gt;D21),Q21+P21,D21+(G21-B21)/(2*TAN(RADIANS(H21))))))</f>
        <v/>
      </c>
      <c r="Z21" s="35" t="str">
        <f aca="false">IF(B21="","",IF((E21&gt;D21),(N21+O21+P21)/넥계산기!$B$20,(N21+L21)/넥계산기!$B$20))</f>
        <v/>
      </c>
    </row>
    <row r="22" customFormat="false" ht="36" hidden="false" customHeight="true" outlineLevel="0" collapsed="false">
      <c r="A22" s="33"/>
      <c r="B22" s="34"/>
      <c r="C22" s="34"/>
      <c r="D22" s="34"/>
      <c r="E22" s="34"/>
      <c r="F22" s="34"/>
      <c r="G22" s="34"/>
      <c r="H22" s="34"/>
      <c r="I22" s="34"/>
      <c r="J22" s="35" t="str">
        <f aca="false">IF(B22="","",IF(I22="",B22-넥계산기!$B$13,I22))</f>
        <v/>
      </c>
      <c r="K22" s="36" t="str">
        <f aca="false">IF(B22="","",IF((E22&gt;D22),"3섹션 연장","단일"))</f>
        <v/>
      </c>
      <c r="L22" s="37" t="str">
        <f aca="false">IF(B22="","",((B22-J22)/2)/TAN(RADIANS(H22)))</f>
        <v/>
      </c>
      <c r="M22" s="37" t="str">
        <f aca="false">IF(B22="","",-(C22+넥계산기!$B$14))</f>
        <v/>
      </c>
      <c r="N22" s="37" t="str">
        <f aca="false">IF(B22="","",IF((E22&gt;D22),D22-(C22+넥계산기!$B$14),Q22-(C22+넥계산기!$B$14)))</f>
        <v/>
      </c>
      <c r="O22" s="37" t="str">
        <f aca="false">IF(B22="","",IF((E22&gt;D22),Q22-D22,"—"))</f>
        <v/>
      </c>
      <c r="P22" s="37" t="str">
        <f aca="false">IF(B22="","",IF((E22&gt;D22),(G22-J22)/(2*TAN(RADIANS(H22))),"—"))</f>
        <v/>
      </c>
      <c r="Q22" s="37" t="str">
        <f aca="false">IF(B22="","",E22-L22)</f>
        <v/>
      </c>
      <c r="R22" s="37" t="str">
        <f aca="false">IF(B22="","",IF((E22&gt;D22),MIN(G22,B22+2*(Q22-D22)*TAN(RADIANS(H22))),"—"))</f>
        <v/>
      </c>
      <c r="S22" s="37" t="str">
        <f aca="false">IF(B22="","",IF((E22&gt;D22),(MIN(G22,B22+2*(Q22-D22)*TAN(RADIANS(H22)))-J22)/2,((B22-J22)/2)))</f>
        <v/>
      </c>
      <c r="T22" s="38" t="str">
        <f aca="false">IF(B22="","",IF((E22&gt;D22),ROUNDUP(S22/넥계산기!$B$18,0),IF(((B22-J22)/2)&gt;넥계산기!$B$19,ROUNDUP(((B22-J22)/2)/넥계산기!$B$18,0),1)))</f>
        <v/>
      </c>
      <c r="U22" s="39" t="str">
        <f aca="false">IF(B22="","",(J22/B22)^4)</f>
        <v/>
      </c>
      <c r="V22" s="39" t="str">
        <f aca="false">IF(B22="","",1/U22)</f>
        <v/>
      </c>
      <c r="W22" s="39" t="str">
        <f aca="false">IF(B22="","",E22/B22)</f>
        <v/>
      </c>
      <c r="X22" s="36" t="str">
        <f aca="false">IF(B22="","",IF(B22&lt;0.5,"⛔ 미적용",IF(B22&lt;2,"🔴 개별 확인",IF(B22&lt;2.5,"🟡 개별(유효장 길면)",IF(B22&lt;8,"🟢 기본 적용","🟡 여유 확인")))))</f>
        <v/>
      </c>
      <c r="Y22" s="35" t="str">
        <f aca="false">IF(B22="","",IF(F22="","전장 입력",F22-IF((E22&gt;D22),Q22+P22,D22+(G22-B22)/(2*TAN(RADIANS(H22))))))</f>
        <v/>
      </c>
      <c r="Z22" s="35" t="str">
        <f aca="false">IF(B22="","",IF((E22&gt;D22),(N22+O22+P22)/넥계산기!$B$20,(N22+L22)/넥계산기!$B$20))</f>
        <v/>
      </c>
    </row>
    <row r="23" customFormat="false" ht="36" hidden="false" customHeight="true" outlineLevel="0" collapsed="false">
      <c r="A23" s="33"/>
      <c r="B23" s="34"/>
      <c r="C23" s="34"/>
      <c r="D23" s="34"/>
      <c r="E23" s="34"/>
      <c r="F23" s="34"/>
      <c r="G23" s="34"/>
      <c r="H23" s="34"/>
      <c r="I23" s="34"/>
      <c r="J23" s="35" t="str">
        <f aca="false">IF(B23="","",IF(I23="",B23-넥계산기!$B$13,I23))</f>
        <v/>
      </c>
      <c r="K23" s="36" t="str">
        <f aca="false">IF(B23="","",IF((E23&gt;D23),"3섹션 연장","단일"))</f>
        <v/>
      </c>
      <c r="L23" s="37" t="str">
        <f aca="false">IF(B23="","",((B23-J23)/2)/TAN(RADIANS(H23)))</f>
        <v/>
      </c>
      <c r="M23" s="37" t="str">
        <f aca="false">IF(B23="","",-(C23+넥계산기!$B$14))</f>
        <v/>
      </c>
      <c r="N23" s="37" t="str">
        <f aca="false">IF(B23="","",IF((E23&gt;D23),D23-(C23+넥계산기!$B$14),Q23-(C23+넥계산기!$B$14)))</f>
        <v/>
      </c>
      <c r="O23" s="37" t="str">
        <f aca="false">IF(B23="","",IF((E23&gt;D23),Q23-D23,"—"))</f>
        <v/>
      </c>
      <c r="P23" s="37" t="str">
        <f aca="false">IF(B23="","",IF((E23&gt;D23),(G23-J23)/(2*TAN(RADIANS(H23))),"—"))</f>
        <v/>
      </c>
      <c r="Q23" s="37" t="str">
        <f aca="false">IF(B23="","",E23-L23)</f>
        <v/>
      </c>
      <c r="R23" s="37" t="str">
        <f aca="false">IF(B23="","",IF((E23&gt;D23),MIN(G23,B23+2*(Q23-D23)*TAN(RADIANS(H23))),"—"))</f>
        <v/>
      </c>
      <c r="S23" s="37" t="str">
        <f aca="false">IF(B23="","",IF((E23&gt;D23),(MIN(G23,B23+2*(Q23-D23)*TAN(RADIANS(H23)))-J23)/2,((B23-J23)/2)))</f>
        <v/>
      </c>
      <c r="T23" s="38" t="str">
        <f aca="false">IF(B23="","",IF((E23&gt;D23),ROUNDUP(S23/넥계산기!$B$18,0),IF(((B23-J23)/2)&gt;넥계산기!$B$19,ROUNDUP(((B23-J23)/2)/넥계산기!$B$18,0),1)))</f>
        <v/>
      </c>
      <c r="U23" s="39" t="str">
        <f aca="false">IF(B23="","",(J23/B23)^4)</f>
        <v/>
      </c>
      <c r="V23" s="39" t="str">
        <f aca="false">IF(B23="","",1/U23)</f>
        <v/>
      </c>
      <c r="W23" s="39" t="str">
        <f aca="false">IF(B23="","",E23/B23)</f>
        <v/>
      </c>
      <c r="X23" s="36" t="str">
        <f aca="false">IF(B23="","",IF(B23&lt;0.5,"⛔ 미적용",IF(B23&lt;2,"🔴 개별 확인",IF(B23&lt;2.5,"🟡 개별(유효장 길면)",IF(B23&lt;8,"🟢 기본 적용","🟡 여유 확인")))))</f>
        <v/>
      </c>
      <c r="Y23" s="35" t="str">
        <f aca="false">IF(B23="","",IF(F23="","전장 입력",F23-IF((E23&gt;D23),Q23+P23,D23+(G23-B23)/(2*TAN(RADIANS(H23))))))</f>
        <v/>
      </c>
      <c r="Z23" s="35" t="str">
        <f aca="false">IF(B23="","",IF((E23&gt;D23),(N23+O23+P23)/넥계산기!$B$20,(N23+L23)/넥계산기!$B$20))</f>
        <v/>
      </c>
    </row>
    <row r="24" customFormat="false" ht="36" hidden="false" customHeight="true" outlineLevel="0" collapsed="false">
      <c r="A24" s="33"/>
      <c r="B24" s="34"/>
      <c r="C24" s="34"/>
      <c r="D24" s="34"/>
      <c r="E24" s="34"/>
      <c r="F24" s="34"/>
      <c r="G24" s="34"/>
      <c r="H24" s="34"/>
      <c r="I24" s="34"/>
      <c r="J24" s="35" t="str">
        <f aca="false">IF(B24="","",IF(I24="",B24-넥계산기!$B$13,I24))</f>
        <v/>
      </c>
      <c r="K24" s="36" t="str">
        <f aca="false">IF(B24="","",IF((E24&gt;D24),"3섹션 연장","단일"))</f>
        <v/>
      </c>
      <c r="L24" s="37" t="str">
        <f aca="false">IF(B24="","",((B24-J24)/2)/TAN(RADIANS(H24)))</f>
        <v/>
      </c>
      <c r="M24" s="37" t="str">
        <f aca="false">IF(B24="","",-(C24+넥계산기!$B$14))</f>
        <v/>
      </c>
      <c r="N24" s="37" t="str">
        <f aca="false">IF(B24="","",IF((E24&gt;D24),D24-(C24+넥계산기!$B$14),Q24-(C24+넥계산기!$B$14)))</f>
        <v/>
      </c>
      <c r="O24" s="37" t="str">
        <f aca="false">IF(B24="","",IF((E24&gt;D24),Q24-D24,"—"))</f>
        <v/>
      </c>
      <c r="P24" s="37" t="str">
        <f aca="false">IF(B24="","",IF((E24&gt;D24),(G24-J24)/(2*TAN(RADIANS(H24))),"—"))</f>
        <v/>
      </c>
      <c r="Q24" s="37" t="str">
        <f aca="false">IF(B24="","",E24-L24)</f>
        <v/>
      </c>
      <c r="R24" s="37" t="str">
        <f aca="false">IF(B24="","",IF((E24&gt;D24),MIN(G24,B24+2*(Q24-D24)*TAN(RADIANS(H24))),"—"))</f>
        <v/>
      </c>
      <c r="S24" s="37" t="str">
        <f aca="false">IF(B24="","",IF((E24&gt;D24),(MIN(G24,B24+2*(Q24-D24)*TAN(RADIANS(H24)))-J24)/2,((B24-J24)/2)))</f>
        <v/>
      </c>
      <c r="T24" s="38" t="str">
        <f aca="false">IF(B24="","",IF((E24&gt;D24),ROUNDUP(S24/넥계산기!$B$18,0),IF(((B24-J24)/2)&gt;넥계산기!$B$19,ROUNDUP(((B24-J24)/2)/넥계산기!$B$18,0),1)))</f>
        <v/>
      </c>
      <c r="U24" s="39" t="str">
        <f aca="false">IF(B24="","",(J24/B24)^4)</f>
        <v/>
      </c>
      <c r="V24" s="39" t="str">
        <f aca="false">IF(B24="","",1/U24)</f>
        <v/>
      </c>
      <c r="W24" s="39" t="str">
        <f aca="false">IF(B24="","",E24/B24)</f>
        <v/>
      </c>
      <c r="X24" s="36" t="str">
        <f aca="false">IF(B24="","",IF(B24&lt;0.5,"⛔ 미적용",IF(B24&lt;2,"🔴 개별 확인",IF(B24&lt;2.5,"🟡 개별(유효장 길면)",IF(B24&lt;8,"🟢 기본 적용","🟡 여유 확인")))))</f>
        <v/>
      </c>
      <c r="Y24" s="35" t="str">
        <f aca="false">IF(B24="","",IF(F24="","전장 입력",F24-IF((E24&gt;D24),Q24+P24,D24+(G24-B24)/(2*TAN(RADIANS(H24))))))</f>
        <v/>
      </c>
      <c r="Z24" s="35" t="str">
        <f aca="false">IF(B24="","",IF((E24&gt;D24),(N24+O24+P24)/넥계산기!$B$20,(N24+L24)/넥계산기!$B$20))</f>
        <v/>
      </c>
    </row>
    <row r="25" customFormat="false" ht="36" hidden="false" customHeight="true" outlineLevel="0" collapsed="false">
      <c r="A25" s="33"/>
      <c r="B25" s="34"/>
      <c r="C25" s="34"/>
      <c r="D25" s="34"/>
      <c r="E25" s="34"/>
      <c r="F25" s="34"/>
      <c r="G25" s="34"/>
      <c r="H25" s="34"/>
      <c r="I25" s="34"/>
      <c r="J25" s="35" t="str">
        <f aca="false">IF(B25="","",IF(I25="",B25-넥계산기!$B$13,I25))</f>
        <v/>
      </c>
      <c r="K25" s="36" t="str">
        <f aca="false">IF(B25="","",IF((E25&gt;D25),"3섹션 연장","단일"))</f>
        <v/>
      </c>
      <c r="L25" s="37" t="str">
        <f aca="false">IF(B25="","",((B25-J25)/2)/TAN(RADIANS(H25)))</f>
        <v/>
      </c>
      <c r="M25" s="37" t="str">
        <f aca="false">IF(B25="","",-(C25+넥계산기!$B$14))</f>
        <v/>
      </c>
      <c r="N25" s="37" t="str">
        <f aca="false">IF(B25="","",IF((E25&gt;D25),D25-(C25+넥계산기!$B$14),Q25-(C25+넥계산기!$B$14)))</f>
        <v/>
      </c>
      <c r="O25" s="37" t="str">
        <f aca="false">IF(B25="","",IF((E25&gt;D25),Q25-D25,"—"))</f>
        <v/>
      </c>
      <c r="P25" s="37" t="str">
        <f aca="false">IF(B25="","",IF((E25&gt;D25),(G25-J25)/(2*TAN(RADIANS(H25))),"—"))</f>
        <v/>
      </c>
      <c r="Q25" s="37" t="str">
        <f aca="false">IF(B25="","",E25-L25)</f>
        <v/>
      </c>
      <c r="R25" s="37" t="str">
        <f aca="false">IF(B25="","",IF((E25&gt;D25),MIN(G25,B25+2*(Q25-D25)*TAN(RADIANS(H25))),"—"))</f>
        <v/>
      </c>
      <c r="S25" s="37" t="str">
        <f aca="false">IF(B25="","",IF((E25&gt;D25),(MIN(G25,B25+2*(Q25-D25)*TAN(RADIANS(H25)))-J25)/2,((B25-J25)/2)))</f>
        <v/>
      </c>
      <c r="T25" s="38" t="str">
        <f aca="false">IF(B25="","",IF((E25&gt;D25),ROUNDUP(S25/넥계산기!$B$18,0),IF(((B25-J25)/2)&gt;넥계산기!$B$19,ROUNDUP(((B25-J25)/2)/넥계산기!$B$18,0),1)))</f>
        <v/>
      </c>
      <c r="U25" s="39" t="str">
        <f aca="false">IF(B25="","",(J25/B25)^4)</f>
        <v/>
      </c>
      <c r="V25" s="39" t="str">
        <f aca="false">IF(B25="","",1/U25)</f>
        <v/>
      </c>
      <c r="W25" s="39" t="str">
        <f aca="false">IF(B25="","",E25/B25)</f>
        <v/>
      </c>
      <c r="X25" s="36" t="str">
        <f aca="false">IF(B25="","",IF(B25&lt;0.5,"⛔ 미적용",IF(B25&lt;2,"🔴 개별 확인",IF(B25&lt;2.5,"🟡 개별(유효장 길면)",IF(B25&lt;8,"🟢 기본 적용","🟡 여유 확인")))))</f>
        <v/>
      </c>
      <c r="Y25" s="35" t="str">
        <f aca="false">IF(B25="","",IF(F25="","전장 입력",F25-IF((E25&gt;D25),Q25+P25,D25+(G25-B25)/(2*TAN(RADIANS(H25))))))</f>
        <v/>
      </c>
      <c r="Z25" s="35" t="str">
        <f aca="false">IF(B25="","",IF((E25&gt;D25),(N25+O25+P25)/넥계산기!$B$20,(N25+L25)/넥계산기!$B$20))</f>
        <v/>
      </c>
    </row>
  </sheetData>
  <mergeCells count="6">
    <mergeCell ref="A2:Z2"/>
    <mergeCell ref="B3:C3"/>
    <mergeCell ref="E3:F3"/>
    <mergeCell ref="H3:I3"/>
    <mergeCell ref="K3:L3"/>
    <mergeCell ref="N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26"/>
    <col collapsed="false" customWidth="true" hidden="false" outlineLevel="0" max="4" min="4" style="0" width="34"/>
  </cols>
  <sheetData>
    <row r="1" customFormat="false" ht="32.8" hidden="false" customHeight="false" outlineLevel="0" collapsed="false">
      <c r="A1" s="1" t="s">
        <v>157</v>
      </c>
    </row>
    <row r="3" customFormat="false" ht="24" hidden="false" customHeight="true" outlineLevel="0" collapsed="false">
      <c r="A3" s="41" t="s">
        <v>158</v>
      </c>
      <c r="B3" s="41" t="s">
        <v>159</v>
      </c>
      <c r="C3" s="41" t="s">
        <v>160</v>
      </c>
      <c r="D3" s="41" t="s">
        <v>161</v>
      </c>
    </row>
    <row r="4" customFormat="false" ht="48" hidden="false" customHeight="true" outlineLevel="0" collapsed="false">
      <c r="A4" s="42" t="s">
        <v>162</v>
      </c>
      <c r="B4" s="43" t="s">
        <v>163</v>
      </c>
      <c r="C4" s="44" t="s">
        <v>164</v>
      </c>
      <c r="D4" s="43" t="s">
        <v>165</v>
      </c>
    </row>
    <row r="5" customFormat="false" ht="48" hidden="false" customHeight="true" outlineLevel="0" collapsed="false">
      <c r="A5" s="45" t="s">
        <v>166</v>
      </c>
      <c r="B5" s="43" t="s">
        <v>167</v>
      </c>
      <c r="C5" s="44" t="s">
        <v>168</v>
      </c>
      <c r="D5" s="43" t="s">
        <v>169</v>
      </c>
    </row>
    <row r="6" customFormat="false" ht="48" hidden="false" customHeight="true" outlineLevel="0" collapsed="false">
      <c r="A6" s="45" t="s">
        <v>139</v>
      </c>
      <c r="B6" s="43" t="s">
        <v>170</v>
      </c>
      <c r="C6" s="44" t="s">
        <v>171</v>
      </c>
      <c r="D6" s="43" t="s">
        <v>172</v>
      </c>
    </row>
    <row r="7" customFormat="false" ht="48" hidden="false" customHeight="true" outlineLevel="0" collapsed="false">
      <c r="A7" s="42" t="s">
        <v>173</v>
      </c>
      <c r="B7" s="43" t="s">
        <v>174</v>
      </c>
      <c r="C7" s="44" t="s">
        <v>175</v>
      </c>
      <c r="D7" s="43" t="s">
        <v>176</v>
      </c>
    </row>
    <row r="8" customFormat="false" ht="48" hidden="false" customHeight="true" outlineLevel="0" collapsed="false">
      <c r="A8" s="42" t="s">
        <v>177</v>
      </c>
      <c r="B8" s="43" t="s">
        <v>178</v>
      </c>
      <c r="C8" s="44" t="s">
        <v>168</v>
      </c>
      <c r="D8" s="43" t="s">
        <v>179</v>
      </c>
    </row>
    <row r="9" customFormat="false" ht="48" hidden="false" customHeight="true" outlineLevel="0" collapsed="false">
      <c r="A9" s="45" t="s">
        <v>180</v>
      </c>
      <c r="B9" s="43" t="s">
        <v>181</v>
      </c>
      <c r="C9" s="44" t="s">
        <v>168</v>
      </c>
      <c r="D9" s="43"/>
    </row>
    <row r="10" customFormat="false" ht="48" hidden="false" customHeight="true" outlineLevel="0" collapsed="false">
      <c r="A10" s="45" t="s">
        <v>73</v>
      </c>
      <c r="B10" s="43" t="s">
        <v>182</v>
      </c>
      <c r="C10" s="44" t="s">
        <v>183</v>
      </c>
      <c r="D10" s="43" t="s">
        <v>184</v>
      </c>
    </row>
    <row r="11" customFormat="false" ht="48" hidden="false" customHeight="true" outlineLevel="0" collapsed="false">
      <c r="A11" s="45" t="s">
        <v>75</v>
      </c>
      <c r="B11" s="43" t="s">
        <v>185</v>
      </c>
      <c r="C11" s="44" t="s">
        <v>186</v>
      </c>
      <c r="D11" s="44" t="s">
        <v>187</v>
      </c>
    </row>
    <row r="12" customFormat="false" ht="48" hidden="false" customHeight="true" outlineLevel="0" collapsed="false">
      <c r="A12" s="45" t="s">
        <v>76</v>
      </c>
      <c r="B12" s="43" t="s">
        <v>188</v>
      </c>
      <c r="C12" s="44" t="s">
        <v>189</v>
      </c>
      <c r="D12" s="44" t="s">
        <v>187</v>
      </c>
    </row>
    <row r="13" customFormat="false" ht="48" hidden="false" customHeight="true" outlineLevel="0" collapsed="false">
      <c r="A13" s="42" t="s">
        <v>145</v>
      </c>
      <c r="B13" s="44" t="s">
        <v>190</v>
      </c>
      <c r="C13" s="44" t="s">
        <v>168</v>
      </c>
      <c r="D13" s="43"/>
    </row>
    <row r="14" customFormat="false" ht="48" hidden="false" customHeight="true" outlineLevel="0" collapsed="false">
      <c r="A14" s="42" t="s">
        <v>146</v>
      </c>
      <c r="B14" s="43" t="s">
        <v>191</v>
      </c>
      <c r="C14" s="44" t="s">
        <v>192</v>
      </c>
      <c r="D14" s="43" t="s">
        <v>179</v>
      </c>
    </row>
    <row r="15" customFormat="false" ht="48" hidden="false" customHeight="true" outlineLevel="0" collapsed="false">
      <c r="A15" s="42" t="s">
        <v>193</v>
      </c>
      <c r="B15" s="43" t="s">
        <v>194</v>
      </c>
      <c r="C15" s="44" t="s">
        <v>195</v>
      </c>
      <c r="D15" s="43" t="s">
        <v>196</v>
      </c>
    </row>
    <row r="16" customFormat="false" ht="48" hidden="false" customHeight="true" outlineLevel="0" collapsed="false">
      <c r="A16" s="42" t="s">
        <v>197</v>
      </c>
      <c r="B16" s="43" t="s">
        <v>198</v>
      </c>
      <c r="C16" s="44" t="s">
        <v>199</v>
      </c>
      <c r="D16" s="44" t="s">
        <v>200</v>
      </c>
    </row>
    <row r="17" customFormat="false" ht="48" hidden="false" customHeight="true" outlineLevel="0" collapsed="false">
      <c r="A17" s="45" t="s">
        <v>201</v>
      </c>
      <c r="B17" s="43" t="s">
        <v>202</v>
      </c>
      <c r="C17" s="44" t="s">
        <v>203</v>
      </c>
      <c r="D17" s="43" t="s">
        <v>204</v>
      </c>
    </row>
    <row r="18" customFormat="false" ht="48" hidden="false" customHeight="true" outlineLevel="0" collapsed="false">
      <c r="A18" s="42" t="s">
        <v>205</v>
      </c>
      <c r="B18" s="44" t="s">
        <v>206</v>
      </c>
      <c r="C18" s="44" t="s">
        <v>186</v>
      </c>
      <c r="D18" s="43" t="s">
        <v>207</v>
      </c>
    </row>
    <row r="19" customFormat="false" ht="48" hidden="false" customHeight="true" outlineLevel="0" collapsed="false">
      <c r="A19" s="46"/>
      <c r="B19" s="47"/>
      <c r="C19" s="47"/>
      <c r="D19" s="47"/>
    </row>
    <row r="20" customFormat="false" ht="48" hidden="false" customHeight="true" outlineLevel="0" collapsed="false">
      <c r="A20" s="42" t="s">
        <v>208</v>
      </c>
      <c r="B20" s="43" t="s">
        <v>209</v>
      </c>
      <c r="C20" s="44" t="s">
        <v>210</v>
      </c>
      <c r="D20" s="43" t="s">
        <v>211</v>
      </c>
    </row>
    <row r="21" customFormat="false" ht="48" hidden="false" customHeight="true" outlineLevel="0" collapsed="false">
      <c r="A21" s="42" t="s">
        <v>212</v>
      </c>
      <c r="B21" s="43" t="s">
        <v>213</v>
      </c>
      <c r="C21" s="44" t="s">
        <v>210</v>
      </c>
      <c r="D21" s="44" t="s">
        <v>214</v>
      </c>
    </row>
    <row r="22" customFormat="false" ht="48" hidden="false" customHeight="true" outlineLevel="0" collapsed="false">
      <c r="A22" s="46"/>
      <c r="B22" s="47"/>
      <c r="C22" s="47"/>
      <c r="D22" s="47"/>
    </row>
    <row r="23" customFormat="false" ht="48" hidden="false" customHeight="true" outlineLevel="0" collapsed="false">
      <c r="A23" s="42" t="s">
        <v>215</v>
      </c>
      <c r="B23" s="43" t="s">
        <v>216</v>
      </c>
      <c r="C23" s="43"/>
      <c r="D23" s="43" t="s">
        <v>217</v>
      </c>
    </row>
    <row r="24" customFormat="false" ht="48" hidden="false" customHeight="true" outlineLevel="0" collapsed="false">
      <c r="A24" s="42" t="s">
        <v>218</v>
      </c>
      <c r="B24" s="43" t="s">
        <v>219</v>
      </c>
      <c r="C24" s="43"/>
      <c r="D24" s="43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2.8" hidden="false" customHeight="false" outlineLevel="0" collapsed="false">
      <c r="A1" s="1" t="s">
        <v>221</v>
      </c>
    </row>
    <row r="3" customFormat="false" ht="16.15" hidden="false" customHeight="false" outlineLevel="0" collapsed="false">
      <c r="A3" s="48" t="s">
        <v>222</v>
      </c>
      <c r="B3" s="48" t="s">
        <v>223</v>
      </c>
      <c r="C3" s="48" t="s">
        <v>224</v>
      </c>
      <c r="D3" s="48" t="s">
        <v>225</v>
      </c>
    </row>
    <row r="4" customFormat="false" ht="39.75" hidden="false" customHeight="true" outlineLevel="0" collapsed="false">
      <c r="A4" s="43" t="s">
        <v>226</v>
      </c>
      <c r="B4" s="43" t="s">
        <v>227</v>
      </c>
      <c r="C4" s="44" t="s">
        <v>228</v>
      </c>
      <c r="D4" s="44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2026-10-19T23:16:00Z</dcterms:created>
  <dc:creator>openpyxl</dc:creator>
  <dc:description/>
  <dc:language>en-US</dc:language>
  <cp:lastModifiedBy/>
  <dcterms:modified xsi:type="dcterms:W3CDTF">2026-10-19T23:16:00Z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