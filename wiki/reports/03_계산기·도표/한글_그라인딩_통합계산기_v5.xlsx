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 안내" sheetId="1" state="visible" r:id="rId3"/>
    <sheet name="변경이력" sheetId="2" state="visible" r:id="rId4"/>
    <sheet name="ISO 표준 매핑" sheetId="3" state="visible" r:id="rId5"/>
    <sheet name="01 휠속도" sheetId="4" state="visible" r:id="rId6"/>
    <sheet name="02 쿨런트노즐" sheetId="5" state="visible" r:id="rId7"/>
    <sheet name="03 절삭강도_MRR_heq" sheetId="6" state="visible" r:id="rId8"/>
    <sheet name="04 로터리드레서" sheetId="7" state="visible" r:id="rId9"/>
    <sheet name="05 단점클러스터드레싱" sheetId="8" state="visible" r:id="rId10"/>
    <sheet name="06 단위환산" sheetId="9" state="visible" r:id="rId11"/>
    <sheet name="07 드릴X거리" sheetId="10" state="visible" r:id="rId12"/>
    <sheet name="08 원본_한글번역" sheetId="11" state="visible" r:id="rId13"/>
    <sheet name="09 열변형보정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<sst xmlns="http://schemas.openxmlformats.org/spreadsheetml/2006/main" count="808" uniqueCount="698">
  <si>
    <t xml:space="preserve">한글판 통합 그라인딩 계산기 — 사용 안내</t>
  </si>
  <si>
    <r>
      <rPr>
        <i val="true"/>
        <sz val="9"/>
        <color rgb="FF555555"/>
        <rFont val="DejaVu Sans"/>
        <family val="2"/>
      </rPr>
      <t xml:space="preserve">원본</t>
    </r>
    <r>
      <rPr>
        <i val="true"/>
        <sz val="9"/>
        <color rgb="FF555555"/>
        <rFont val="DejaVu Sans"/>
        <family val="2"/>
        <charset val="1"/>
      </rPr>
      <t xml:space="preserve">: Grinding Doc's Toolbox v8.2 (Dr. Jeffrey Badger) + Drill_X_Distance.xls (</t>
    </r>
    <r>
      <rPr>
        <i val="true"/>
        <sz val="9"/>
        <color rgb="FF555555"/>
        <rFont val="DejaVu Sans"/>
        <family val="2"/>
      </rPr>
      <t xml:space="preserve">사내</t>
    </r>
    <r>
      <rPr>
        <i val="true"/>
        <sz val="9"/>
        <color rgb="FF555555"/>
        <rFont val="DejaVu Sans"/>
        <family val="2"/>
        <charset val="1"/>
      </rPr>
      <t xml:space="preserve">)</t>
    </r>
  </si>
  <si>
    <t xml:space="preserve">■ 시트 구성</t>
  </si>
  <si>
    <t xml:space="preserve">시트</t>
  </si>
  <si>
    <t xml:space="preserve">내용</t>
  </si>
  <si>
    <r>
      <rPr>
        <b val="true"/>
        <sz val="10"/>
        <rFont val="Arial"/>
        <family val="0"/>
        <charset val="1"/>
      </rPr>
      <t xml:space="preserve">01 </t>
    </r>
    <r>
      <rPr>
        <b val="true"/>
        <sz val="10"/>
        <rFont val="DejaVu Sans"/>
        <family val="2"/>
      </rPr>
      <t xml:space="preserve">휠속도</t>
    </r>
  </si>
  <si>
    <r>
      <rPr>
        <sz val="10"/>
        <rFont val="DejaVu Sans"/>
        <family val="2"/>
      </rPr>
      <t xml:space="preserve">휠 직경 ↔ </t>
    </r>
    <r>
      <rPr>
        <sz val="10"/>
        <rFont val="DejaVu Sans"/>
        <family val="2"/>
        <charset val="1"/>
      </rPr>
      <t xml:space="preserve">RPM ↔ </t>
    </r>
    <r>
      <rPr>
        <sz val="10"/>
        <rFont val="DejaVu Sans"/>
        <family val="2"/>
      </rPr>
      <t xml:space="preserve">원주속도 </t>
    </r>
    <r>
      <rPr>
        <sz val="10"/>
        <rFont val="DejaVu Sans"/>
        <family val="2"/>
        <charset val="1"/>
      </rPr>
      <t xml:space="preserve">V </t>
    </r>
    <r>
      <rPr>
        <sz val="10"/>
        <rFont val="DejaVu Sans"/>
        <family val="2"/>
      </rPr>
      <t xml:space="preserve">양방향 계산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권장 </t>
    </r>
    <r>
      <rPr>
        <sz val="10"/>
        <rFont val="DejaVu Sans"/>
        <family val="2"/>
        <charset val="1"/>
      </rPr>
      <t xml:space="preserve">Vc </t>
    </r>
    <r>
      <rPr>
        <sz val="10"/>
        <rFont val="DejaVu Sans"/>
        <family val="2"/>
      </rPr>
      <t xml:space="preserve">영역표 포함</t>
    </r>
    <r>
      <rPr>
        <sz val="10"/>
        <rFont val="DejaVu Sans"/>
        <family val="2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</si>
  <si>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02 </t>
    </r>
    <r>
      <rPr>
        <b val="true"/>
        <sz val="10"/>
        <rFont val="DejaVu Sans"/>
        <family val="2"/>
      </rPr>
      <t xml:space="preserve">쿨런트노즐</t>
    </r>
  </si>
  <si>
    <r>
      <rPr>
        <sz val="10"/>
        <rFont val="DejaVu Sans"/>
        <family val="2"/>
      </rPr>
      <t xml:space="preserve">노즐 압력 </t>
    </r>
    <r>
      <rPr>
        <sz val="10"/>
        <rFont val="DejaVu Sans"/>
        <family val="2"/>
        <charset val="1"/>
      </rPr>
      <t xml:space="preserve">/ </t>
    </r>
    <r>
      <rPr>
        <sz val="10"/>
        <rFont val="DejaVu Sans"/>
        <family val="2"/>
      </rPr>
      <t xml:space="preserve">유량 </t>
    </r>
    <r>
      <rPr>
        <sz val="10"/>
        <rFont val="DejaVu Sans"/>
        <family val="2"/>
        <charset val="1"/>
      </rPr>
      <t xml:space="preserve">/ </t>
    </r>
    <r>
      <rPr>
        <sz val="10"/>
        <rFont val="DejaVu Sans"/>
        <family val="2"/>
      </rPr>
      <t xml:space="preserve">펌프 동력</t>
    </r>
    <r>
      <rPr>
        <sz val="10"/>
        <rFont val="DejaVu Sans"/>
        <family val="2"/>
        <charset val="1"/>
      </rPr>
      <t xml:space="preserve">. Webster nozzle </t>
    </r>
    <r>
      <rPr>
        <sz val="10"/>
        <rFont val="DejaVu Sans"/>
        <family val="2"/>
      </rPr>
      <t xml:space="preserve">기준</t>
    </r>
    <r>
      <rPr>
        <sz val="10"/>
        <rFont val="DejaVu Sans"/>
        <family val="2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</si>
  <si>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03 </t>
    </r>
    <r>
      <rPr>
        <b val="true"/>
        <sz val="10"/>
        <rFont val="DejaVu Sans"/>
        <family val="2"/>
      </rPr>
      <t xml:space="preserve">절삭강도</t>
    </r>
    <r>
      <rPr>
        <b val="true"/>
        <sz val="10"/>
        <rFont val="Arial"/>
        <family val="0"/>
        <charset val="1"/>
      </rPr>
      <t xml:space="preserve">_MRR_heq</t>
    </r>
  </si>
  <si>
    <r>
      <rPr>
        <sz val="10"/>
        <rFont val="Arial"/>
        <family val="0"/>
        <charset val="1"/>
      </rPr>
      <t xml:space="preserve">MRR, </t>
    </r>
    <r>
      <rPr>
        <sz val="10"/>
        <rFont val="DejaVu Sans"/>
        <family val="2"/>
      </rPr>
      <t xml:space="preserve">등가 칩 두께</t>
    </r>
    <r>
      <rPr>
        <sz val="10"/>
        <rFont val="Arial"/>
        <family val="0"/>
        <charset val="1"/>
      </rPr>
      <t xml:space="preserve">(h_eq), Aggressiveness </t>
    </r>
    <r>
      <rPr>
        <sz val="10"/>
        <rFont val="DejaVu Sans"/>
        <family val="2"/>
      </rPr>
      <t xml:space="preserve">지수 </t>
    </r>
    <r>
      <rPr>
        <sz val="10"/>
        <rFont val="Arial"/>
        <family val="0"/>
        <charset val="1"/>
      </rPr>
      <t xml:space="preserve">(Malkin / Badger).</t>
    </r>
  </si>
  <si>
    <r>
      <rPr>
        <b val="true"/>
        <sz val="10"/>
        <rFont val="Arial"/>
        <family val="0"/>
        <charset val="1"/>
      </rPr>
      <t xml:space="preserve">04 </t>
    </r>
    <r>
      <rPr>
        <b val="true"/>
        <sz val="10"/>
        <rFont val="DejaVu Sans"/>
        <family val="2"/>
      </rPr>
      <t xml:space="preserve">로터리드레서</t>
    </r>
  </si>
  <si>
    <r>
      <rPr>
        <sz val="10"/>
        <rFont val="DejaVu Sans"/>
        <family val="2"/>
      </rPr>
      <t xml:space="preserve">로터리 드레서 속도비 </t>
    </r>
    <r>
      <rPr>
        <sz val="10"/>
        <rFont val="DejaVu Sans"/>
        <family val="2"/>
        <charset val="1"/>
      </rPr>
      <t xml:space="preserve">/ </t>
    </r>
    <r>
      <rPr>
        <sz val="10"/>
        <rFont val="DejaVu Sans"/>
        <family val="2"/>
      </rPr>
      <t xml:space="preserve">이송 </t>
    </r>
    <r>
      <rPr>
        <sz val="10"/>
        <rFont val="DejaVu Sans"/>
        <family val="2"/>
        <charset val="1"/>
      </rPr>
      <t xml:space="preserve">/ </t>
    </r>
    <r>
      <rPr>
        <sz val="10"/>
        <rFont val="DejaVu Sans"/>
        <family val="2"/>
      </rPr>
      <t xml:space="preserve">체류시간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가이드 </t>
    </r>
    <r>
      <rPr>
        <sz val="10"/>
        <rFont val="DejaVu Sans"/>
        <family val="2"/>
        <charset val="1"/>
      </rPr>
      <t xml:space="preserve">zone.</t>
    </r>
  </si>
  <si>
    <r>
      <rPr>
        <b val="true"/>
        <sz val="10"/>
        <rFont val="Arial"/>
        <family val="0"/>
        <charset val="1"/>
      </rPr>
      <t xml:space="preserve">05 </t>
    </r>
    <r>
      <rPr>
        <b val="true"/>
        <sz val="10"/>
        <rFont val="DejaVu Sans"/>
        <family val="2"/>
      </rPr>
      <t xml:space="preserve">단점클러스터드레싱</t>
    </r>
  </si>
  <si>
    <r>
      <rPr>
        <sz val="10"/>
        <rFont val="DejaVu Sans"/>
        <family val="2"/>
      </rPr>
      <t xml:space="preserve">단점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클러스터 다이아몬드 드레싱 </t>
    </r>
    <r>
      <rPr>
        <sz val="10"/>
        <rFont val="DejaVu Sans"/>
        <family val="2"/>
        <charset val="1"/>
      </rPr>
      <t xml:space="preserve">lead </t>
    </r>
    <r>
      <rPr>
        <sz val="10"/>
        <rFont val="DejaVu Sans"/>
        <family val="2"/>
      </rPr>
      <t xml:space="preserve">계산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가이드 </t>
    </r>
    <r>
      <rPr>
        <sz val="10"/>
        <rFont val="DejaVu Sans"/>
        <family val="2"/>
        <charset val="1"/>
      </rPr>
      <t xml:space="preserve">zone.</t>
    </r>
  </si>
  <si>
    <r>
      <rPr>
        <b val="true"/>
        <sz val="10"/>
        <rFont val="Arial"/>
        <family val="0"/>
        <charset val="1"/>
      </rPr>
      <t xml:space="preserve">06 </t>
    </r>
    <r>
      <rPr>
        <b val="true"/>
        <sz val="10"/>
        <rFont val="DejaVu Sans"/>
        <family val="2"/>
      </rPr>
      <t xml:space="preserve">단위환산</t>
    </r>
  </si>
  <si>
    <r>
      <rPr>
        <sz val="10"/>
        <rFont val="DejaVu Sans"/>
        <family val="2"/>
      </rPr>
      <t xml:space="preserve">표면속도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경도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온도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점도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길이 단위 환산</t>
    </r>
    <r>
      <rPr>
        <sz val="10"/>
        <rFont val="DejaVu Sans"/>
        <family val="2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</si>
  <si>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07 </t>
    </r>
    <r>
      <rPr>
        <b val="true"/>
        <sz val="10"/>
        <rFont val="DejaVu Sans"/>
        <family val="2"/>
      </rPr>
      <t xml:space="preserve">드릴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DejaVu Sans"/>
        <family val="2"/>
      </rPr>
      <t xml:space="preserve">거리</t>
    </r>
  </si>
  <si>
    <r>
      <rPr>
        <sz val="10"/>
        <rFont val="DejaVu Sans"/>
        <family val="2"/>
      </rPr>
      <t xml:space="preserve">드릴 포인트 </t>
    </r>
    <r>
      <rPr>
        <sz val="10"/>
        <rFont val="DejaVu Sans"/>
        <family val="2"/>
        <charset val="1"/>
      </rPr>
      <t xml:space="preserve">X</t>
    </r>
    <r>
      <rPr>
        <sz val="10"/>
        <rFont val="DejaVu Sans"/>
        <family val="2"/>
      </rPr>
      <t xml:space="preserve">축 거리 </t>
    </r>
    <r>
      <rPr>
        <sz val="10"/>
        <rFont val="DejaVu Sans"/>
        <family val="2"/>
        <charset val="1"/>
      </rPr>
      <t xml:space="preserve">= (D/2)/tan(θ/2).</t>
    </r>
  </si>
  <si>
    <r>
      <rPr>
        <b val="true"/>
        <sz val="11"/>
        <color rgb="FFFFFFFF"/>
        <rFont val="DejaVu Sans"/>
        <family val="2"/>
      </rPr>
      <t xml:space="preserve">■ 입력</t>
    </r>
    <r>
      <rPr>
        <b val="true"/>
        <sz val="11"/>
        <color rgb="FFFFFFFF"/>
        <rFont val="DejaVu Sans"/>
        <family val="2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출력 색상 규칙</t>
    </r>
  </si>
  <si>
    <r>
      <rPr>
        <sz val="10"/>
        <rFont val="DejaVu Sans"/>
        <family val="2"/>
      </rPr>
      <t xml:space="preserve">노랑 </t>
    </r>
    <r>
      <rPr>
        <sz val="10"/>
        <rFont val="DejaVu Sans"/>
        <family val="2"/>
        <charset val="1"/>
      </rPr>
      <t xml:space="preserve">= </t>
    </r>
    <r>
      <rPr>
        <sz val="10"/>
        <rFont val="DejaVu Sans"/>
        <family val="2"/>
      </rPr>
      <t xml:space="preserve">사용자 입력 셀</t>
    </r>
  </si>
  <si>
    <r>
      <rPr>
        <sz val="10"/>
        <rFont val="DejaVu Sans"/>
        <family val="2"/>
      </rPr>
      <t xml:space="preserve">녹색 </t>
    </r>
    <r>
      <rPr>
        <sz val="10"/>
        <rFont val="DejaVu Sans"/>
        <family val="2"/>
        <charset val="1"/>
      </rPr>
      <t xml:space="preserve">= </t>
    </r>
    <r>
      <rPr>
        <sz val="10"/>
        <rFont val="DejaVu Sans"/>
        <family val="2"/>
      </rPr>
      <t xml:space="preserve">자동 계산 결과</t>
    </r>
  </si>
  <si>
    <r>
      <rPr>
        <sz val="10"/>
        <rFont val="DejaVu Sans"/>
        <family val="2"/>
      </rPr>
      <t xml:space="preserve">노랑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주황빛</t>
    </r>
    <r>
      <rPr>
        <sz val="10"/>
        <rFont val="DejaVu Sans"/>
        <family val="2"/>
        <charset val="1"/>
      </rPr>
      <t xml:space="preserve">) = </t>
    </r>
    <r>
      <rPr>
        <sz val="10"/>
        <rFont val="DejaVu Sans"/>
        <family val="2"/>
      </rPr>
      <t xml:space="preserve">경계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주의 영역</t>
    </r>
  </si>
  <si>
    <r>
      <rPr>
        <sz val="10"/>
        <rFont val="DejaVu Sans"/>
        <family val="2"/>
      </rPr>
      <t xml:space="preserve">주황 </t>
    </r>
    <r>
      <rPr>
        <sz val="10"/>
        <rFont val="DejaVu Sans"/>
        <family val="2"/>
        <charset val="1"/>
      </rPr>
      <t xml:space="preserve">= </t>
    </r>
    <r>
      <rPr>
        <sz val="10"/>
        <rFont val="DejaVu Sans"/>
        <family val="2"/>
      </rPr>
      <t xml:space="preserve">위험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금지 영역</t>
    </r>
  </si>
  <si>
    <r>
      <rPr>
        <b val="true"/>
        <sz val="11"/>
        <color rgb="FFFFFFFF"/>
        <rFont val="DejaVu Sans"/>
        <family val="2"/>
      </rPr>
      <t xml:space="preserve">■ 학술 출처 </t>
    </r>
    <r>
      <rPr>
        <b val="true"/>
        <sz val="11"/>
        <color rgb="FFFFFFFF"/>
        <rFont val="DejaVu Sans"/>
        <family val="2"/>
        <charset val="1"/>
      </rPr>
      <t xml:space="preserve">/ </t>
    </r>
    <r>
      <rPr>
        <b val="true"/>
        <sz val="11"/>
        <color rgb="FFFFFFFF"/>
        <rFont val="DejaVu Sans"/>
        <family val="2"/>
      </rPr>
      <t xml:space="preserve">참고</t>
    </r>
  </si>
  <si>
    <t xml:space="preserve">[1]</t>
  </si>
  <si>
    <t xml:space="preserve">Marinescu, I.D. et al. (2016) Handbook of Machining with Grinding Wheels (2nd ed.), CRC Press</t>
  </si>
  <si>
    <t xml:space="preserve">[2]</t>
  </si>
  <si>
    <t xml:space="preserve">Malkin, S. &amp; Guo, C. (2008) Grinding Technology: Theory and Applications of Machining with Abrasives (2nd ed.), Industrial Press</t>
  </si>
  <si>
    <t xml:space="preserve">[3]</t>
  </si>
  <si>
    <t xml:space="preserve">Rowe, W.B. (2014) Principles of Modern Grinding Technology (2nd ed.), Elsevier</t>
  </si>
  <si>
    <t xml:space="preserve">[4]</t>
  </si>
  <si>
    <t xml:space="preserve">Klocke, F. (2009) Manufacturing Processes 2: Grinding, Honing, Lapping, Springer</t>
  </si>
  <si>
    <t xml:space="preserve">[5]</t>
  </si>
  <si>
    <t xml:space="preserve">Webster, J. (2008) Optimum coolant nozzle delivery in grinding</t>
  </si>
  <si>
    <t xml:space="preserve">[6]</t>
  </si>
  <si>
    <t xml:space="preserve">The Grinding Doc — Dr. Jeffrey A. Badger, Cutting Tool Engineering Magazine columnist (TheGrindingDoc.com)</t>
  </si>
  <si>
    <t xml:space="preserve">[7]</t>
  </si>
  <si>
    <r>
      <rPr>
        <sz val="10"/>
        <rFont val="Arial"/>
        <family val="0"/>
        <charset val="1"/>
      </rPr>
      <t xml:space="preserve">EN 13236:2010 / ISO 16089:2015 / ANSI B7.1-2000 / KS B 5023 — </t>
    </r>
    <r>
      <rPr>
        <sz val="10"/>
        <rFont val="DejaVu Sans"/>
        <family val="2"/>
      </rPr>
      <t xml:space="preserve">안전기준</t>
    </r>
  </si>
  <si>
    <r>
      <rPr>
        <b val="true"/>
        <sz val="11"/>
        <color rgb="FFFFFFFF"/>
        <rFont val="Arial"/>
        <family val="0"/>
        <charset val="1"/>
      </rPr>
      <t xml:space="preserve">■ v4 </t>
    </r>
    <r>
      <rPr>
        <b val="true"/>
        <sz val="11"/>
        <color rgb="FFFFFFFF"/>
        <rFont val="DejaVu Sans"/>
        <family val="2"/>
      </rPr>
      <t xml:space="preserve">검증 후 정밀화된 출처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정정본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</si>
  <si>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[ISO 1] ISO 1:2016 — Standard reference temperature (20 °C, </t>
    </r>
    <r>
      <rPr>
        <sz val="10"/>
        <rFont val="DejaVu Sans"/>
        <family val="2"/>
      </rPr>
      <t xml:space="preserve">측정 표준화 기준</t>
    </r>
    <r>
      <rPr>
        <sz val="10"/>
        <rFont val="Arial"/>
        <family val="0"/>
        <charset val="1"/>
      </rPr>
      <t xml:space="preserve">)</t>
    </r>
  </si>
  <si>
    <t xml:space="preserve">[ISO 230-3] ISO 230-3:2020 — Test code for machine tools, Part 3: Determination of thermal effects</t>
  </si>
  <si>
    <t xml:space="preserve">[Brinksmeier 1999] Brinksmeier, E., Heinzel, C., Wittmann, M. (1999) “Friction, Cooling and Lubrication in Grinding” CIRP Annals 48(2), 581–598</t>
  </si>
  <si>
    <r>
      <rPr>
        <sz val="10"/>
        <rFont val="Arial"/>
        <family val="0"/>
        <charset val="1"/>
      </rPr>
      <t xml:space="preserve">[Brinksmeier 2006] Brinksmeier, E. et al. (2006) “Advances in Modeling and Simulation of Grinding Processes” CIRP Annals 55(2) — modeling/simulation </t>
    </r>
    <r>
      <rPr>
        <sz val="10"/>
        <rFont val="DejaVu Sans"/>
        <family val="2"/>
      </rPr>
      <t xml:space="preserve">일반론</t>
    </r>
  </si>
  <si>
    <r>
      <rPr>
        <sz val="10"/>
        <rFont val="Arial"/>
        <family val="0"/>
        <charset val="1"/>
      </rPr>
      <t xml:space="preserve">[Malkin 2008] Malkin, S., Guo, C. (2008) Grinding Technology (2nd ed.), Industrial Press — ch.6 grinding burn </t>
    </r>
    <r>
      <rPr>
        <sz val="10"/>
        <rFont val="DejaVu Sans"/>
        <family val="2"/>
      </rPr>
      <t xml:space="preserve">임계 온도 </t>
    </r>
    <r>
      <rPr>
        <sz val="10"/>
        <rFont val="Arial"/>
        <family val="0"/>
        <charset val="1"/>
      </rPr>
      <t xml:space="preserve">(steel ≈ 723 °C)</t>
    </r>
  </si>
  <si>
    <r>
      <rPr>
        <sz val="10"/>
        <rFont val="Arial"/>
        <family val="0"/>
        <charset val="1"/>
      </rPr>
      <t xml:space="preserve">[Marinescu 2016] Marinescu, I.D. et al. (2016) Handbook of Machining with Grinding Wheels (2nd ed.), CRC Press, ch.4 (</t>
    </r>
    <r>
      <rPr>
        <sz val="10"/>
        <rFont val="DejaVu Sans"/>
        <family val="2"/>
      </rPr>
      <t xml:space="preserve">열물성</t>
    </r>
    <r>
      <rPr>
        <sz val="10"/>
        <rFont val="Arial"/>
        <family val="0"/>
        <charset val="1"/>
      </rPr>
      <t xml:space="preserve">) ch.10 (cooling)</t>
    </r>
  </si>
  <si>
    <r>
      <rPr>
        <sz val="10"/>
        <rFont val="Arial"/>
        <family val="0"/>
        <charset val="1"/>
      </rPr>
      <t xml:space="preserve">[ANCA Ultra] ANCA Ultra White Paper — MTC ±0.5 °C </t>
    </r>
    <r>
      <rPr>
        <sz val="10"/>
        <rFont val="DejaVu Sans"/>
        <family val="2"/>
      </rPr>
      <t xml:space="preserve">스핀들 안정성</t>
    </r>
  </si>
  <si>
    <t xml:space="preserve">[CRC Polymer] CRC Handbook of Polymer Properties — phenolic Tg 150–180 °C, polyimide Tg 250–350 °C</t>
  </si>
  <si>
    <r>
      <rPr>
        <sz val="10"/>
        <rFont val="Arial"/>
        <family val="0"/>
        <charset val="1"/>
      </rPr>
      <t xml:space="preserve">[ORION] ORION RCC ±0.5 °C / RKS-JM ±0.1 °C </t>
    </r>
    <r>
      <rPr>
        <sz val="10"/>
        <rFont val="DejaVu Sans"/>
        <family val="2"/>
      </rPr>
      <t xml:space="preserve">정밀 칠러 사양</t>
    </r>
  </si>
  <si>
    <r>
      <rPr>
        <b val="true"/>
        <sz val="11"/>
        <color rgb="FFFFFFFF"/>
        <rFont val="Arial"/>
        <family val="0"/>
        <charset val="1"/>
      </rPr>
      <t xml:space="preserve">■ v5 </t>
    </r>
    <r>
      <rPr>
        <b val="true"/>
        <sz val="11"/>
        <color rgb="FFFFFFFF"/>
        <rFont val="DejaVu Sans"/>
        <family val="2"/>
      </rPr>
      <t xml:space="preserve">신규</t>
    </r>
    <r>
      <rPr>
        <b val="true"/>
        <sz val="11"/>
        <color rgb="FFFFFFFF"/>
        <rFont val="Arial"/>
        <family val="0"/>
        <charset val="1"/>
      </rPr>
      <t xml:space="preserve">: ISO </t>
    </r>
    <r>
      <rPr>
        <b val="true"/>
        <sz val="11"/>
        <color rgb="FFFFFFFF"/>
        <rFont val="DejaVu Sans"/>
        <family val="2"/>
      </rPr>
      <t xml:space="preserve">표준 매핑 시트</t>
    </r>
  </si>
  <si>
    <r>
      <rPr>
        <sz val="10"/>
        <rFont val="DejaVu Sans"/>
        <family val="2"/>
      </rPr>
      <t xml:space="preserve">신규 시트 </t>
    </r>
    <r>
      <rPr>
        <sz val="10"/>
        <rFont val="DejaVu Sans"/>
        <family val="2"/>
        <charset val="1"/>
      </rPr>
      <t xml:space="preserve">'ISO </t>
    </r>
    <r>
      <rPr>
        <sz val="10"/>
        <rFont val="DejaVu Sans"/>
        <family val="2"/>
      </rPr>
      <t xml:space="preserve">표준 매핑</t>
    </r>
    <r>
      <rPr>
        <sz val="10"/>
        <rFont val="DejaVu Sans"/>
        <family val="2"/>
        <charset val="1"/>
      </rPr>
      <t xml:space="preserve">'</t>
    </r>
    <r>
      <rPr>
        <sz val="10"/>
        <rFont val="DejaVu Sans"/>
        <family val="2"/>
      </rPr>
      <t xml:space="preserve">은 우리 워크북이 어느 </t>
    </r>
    <r>
      <rPr>
        <sz val="10"/>
        <rFont val="DejaVu Sans"/>
        <family val="2"/>
        <charset val="1"/>
      </rPr>
      <t xml:space="preserve">ISO </t>
    </r>
    <r>
      <rPr>
        <sz val="10"/>
        <rFont val="DejaVu Sans"/>
        <family val="2"/>
      </rPr>
      <t xml:space="preserve">표준에 </t>
    </r>
    <r>
      <rPr>
        <sz val="10"/>
        <rFont val="DejaVu Sans"/>
        <family val="2"/>
        <charset val="1"/>
      </rPr>
      <t xml:space="preserve">anchor</t>
    </r>
    <r>
      <rPr>
        <sz val="10"/>
        <rFont val="DejaVu Sans"/>
        <family val="2"/>
      </rPr>
      <t xml:space="preserve">되어 있는지 빠르게 조회하는 인덱스입니다</t>
    </r>
    <r>
      <rPr>
        <sz val="10"/>
        <rFont val="DejaVu Sans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</si>
  <si>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Tier 1 (8</t>
    </r>
    <r>
      <rPr>
        <sz val="10"/>
        <rFont val="DejaVu Sans"/>
        <family val="2"/>
      </rPr>
      <t xml:space="preserve">건</t>
    </r>
    <r>
      <rPr>
        <sz val="10"/>
        <rFont val="Arial"/>
        <family val="0"/>
        <charset val="1"/>
      </rPr>
      <t xml:space="preserve">) / Tier 2 (7</t>
    </r>
    <r>
      <rPr>
        <sz val="10"/>
        <rFont val="DejaVu Sans"/>
        <family val="2"/>
      </rPr>
      <t xml:space="preserve">건</t>
    </r>
    <r>
      <rPr>
        <sz val="10"/>
        <rFont val="Arial"/>
        <family val="0"/>
        <charset val="1"/>
      </rPr>
      <t xml:space="preserve">) / Tier 3 (4</t>
    </r>
    <r>
      <rPr>
        <sz val="10"/>
        <rFont val="DejaVu Sans"/>
        <family val="2"/>
      </rPr>
      <t xml:space="preserve">건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분류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워크북 위치별 </t>
    </r>
    <r>
      <rPr>
        <sz val="10"/>
        <rFont val="Arial"/>
        <family val="0"/>
        <charset val="1"/>
      </rPr>
      <t xml:space="preserve">cross-reference </t>
    </r>
    <r>
      <rPr>
        <sz val="10"/>
        <rFont val="DejaVu Sans"/>
        <family val="2"/>
      </rPr>
      <t xml:space="preserve">표 포함</t>
    </r>
    <r>
      <rPr>
        <sz val="10"/>
        <rFont val="Arial"/>
        <family val="0"/>
        <charset val="1"/>
      </rPr>
      <t xml:space="preserve">.</t>
    </r>
  </si>
  <si>
    <r>
      <rPr>
        <sz val="10"/>
        <rFont val="DejaVu Sans"/>
        <family val="2"/>
      </rPr>
      <t xml:space="preserve">전체 카탈로그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스코프 요약 </t>
    </r>
    <r>
      <rPr>
        <sz val="10"/>
        <rFont val="DejaVu Sans"/>
        <family val="2"/>
        <charset val="1"/>
      </rPr>
      <t xml:space="preserve">/ </t>
    </r>
    <r>
      <rPr>
        <sz val="10"/>
        <rFont val="DejaVu Sans"/>
        <family val="2"/>
      </rPr>
      <t xml:space="preserve">구매 경로 </t>
    </r>
    <r>
      <rPr>
        <sz val="10"/>
        <rFont val="DejaVu Sans"/>
        <family val="2"/>
        <charset val="1"/>
      </rPr>
      <t xml:space="preserve">/ </t>
    </r>
    <r>
      <rPr>
        <sz val="10"/>
        <rFont val="DejaVu Sans"/>
        <family val="2"/>
      </rPr>
      <t xml:space="preserve">갱신 추적</t>
    </r>
    <r>
      <rPr>
        <sz val="10"/>
        <rFont val="DejaVu Sans"/>
        <family val="2"/>
        <charset val="1"/>
      </rPr>
      <t xml:space="preserve">)</t>
    </r>
    <r>
      <rPr>
        <sz val="10"/>
        <rFont val="DejaVu Sans"/>
        <family val="2"/>
      </rPr>
      <t xml:space="preserve">는 </t>
    </r>
    <r>
      <rPr>
        <sz val="10"/>
        <rFont val="DejaVu Sans"/>
        <family val="2"/>
        <charset val="1"/>
      </rPr>
      <t xml:space="preserve">ISO_</t>
    </r>
    <r>
      <rPr>
        <sz val="10"/>
        <rFont val="DejaVu Sans"/>
        <family val="2"/>
      </rPr>
      <t xml:space="preserve">표준</t>
    </r>
    <r>
      <rPr>
        <sz val="10"/>
        <rFont val="DejaVu Sans"/>
        <family val="2"/>
        <charset val="1"/>
      </rPr>
      <t xml:space="preserve">_</t>
    </r>
    <r>
      <rPr>
        <sz val="10"/>
        <rFont val="DejaVu Sans"/>
        <family val="2"/>
      </rPr>
      <t xml:space="preserve">참조집</t>
    </r>
    <r>
      <rPr>
        <sz val="10"/>
        <rFont val="DejaVu Sans"/>
        <family val="2"/>
        <charset val="1"/>
      </rPr>
      <t xml:space="preserve">.md (</t>
    </r>
    <r>
      <rPr>
        <sz val="10"/>
        <rFont val="DejaVu Sans"/>
        <family val="2"/>
      </rPr>
      <t xml:space="preserve">마크다운</t>
    </r>
    <r>
      <rPr>
        <sz val="10"/>
        <rFont val="DejaVu Sans"/>
        <family val="2"/>
        <charset val="1"/>
      </rPr>
      <t xml:space="preserve">) </t>
    </r>
    <r>
      <rPr>
        <sz val="10"/>
        <rFont val="DejaVu Sans"/>
        <family val="2"/>
      </rPr>
      <t xml:space="preserve">참조</t>
    </r>
    <r>
      <rPr>
        <sz val="10"/>
        <rFont val="DejaVu Sans"/>
        <family val="2"/>
        <charset val="1"/>
      </rPr>
      <t xml:space="preserve">.</t>
    </r>
  </si>
  <si>
    <r>
      <rPr>
        <sz val="10"/>
        <rFont val="DejaVu Sans"/>
        <family val="2"/>
      </rPr>
      <t xml:space="preserve">출처 등급은 </t>
    </r>
    <r>
      <rPr>
        <sz val="10"/>
        <rFont val="DejaVu Sans"/>
        <family val="2"/>
        <charset val="1"/>
      </rPr>
      <t xml:space="preserve">v5</t>
    </r>
    <r>
      <rPr>
        <sz val="10"/>
        <rFont val="DejaVu Sans"/>
        <family val="2"/>
      </rPr>
      <t xml:space="preserve">에서 </t>
    </r>
    <r>
      <rPr>
        <sz val="10"/>
        <rFont val="DejaVu Sans"/>
        <family val="2"/>
        <charset val="1"/>
      </rPr>
      <t xml:space="preserve">6</t>
    </r>
    <r>
      <rPr>
        <sz val="10"/>
        <rFont val="DejaVu Sans"/>
        <family val="2"/>
      </rPr>
      <t xml:space="preserve">단계로 확장</t>
    </r>
    <r>
      <rPr>
        <sz val="10"/>
        <rFont val="DejaVu Sans"/>
        <family val="2"/>
        <charset val="1"/>
      </rPr>
      <t xml:space="preserve">: ISO </t>
    </r>
    <r>
      <rPr>
        <sz val="10"/>
        <rFont val="DejaVu Sans"/>
        <family val="2"/>
      </rPr>
      <t xml:space="preserve">직접 인용 </t>
    </r>
    <r>
      <rPr>
        <sz val="10"/>
        <rFont val="DejaVu Sans"/>
        <family val="2"/>
        <charset val="1"/>
      </rPr>
      <t xml:space="preserve">/ </t>
    </r>
    <r>
      <rPr>
        <sz val="10"/>
        <rFont val="DejaVu Sans"/>
        <family val="2"/>
      </rPr>
      <t xml:space="preserve">직접 출처 </t>
    </r>
    <r>
      <rPr>
        <sz val="10"/>
        <rFont val="DejaVu Sans"/>
        <family val="2"/>
        <charset val="1"/>
      </rPr>
      <t xml:space="preserve">/ </t>
    </r>
    <r>
      <rPr>
        <sz val="10"/>
        <rFont val="DejaVu Sans"/>
        <family val="2"/>
      </rPr>
      <t xml:space="preserve">간접 근거 </t>
    </r>
    <r>
      <rPr>
        <sz val="10"/>
        <rFont val="DejaVu Sans"/>
        <family val="2"/>
        <charset val="1"/>
      </rPr>
      <t xml:space="preserve">/ </t>
    </r>
    <r>
      <rPr>
        <sz val="10"/>
        <rFont val="DejaVu Sans"/>
        <family val="2"/>
      </rPr>
      <t xml:space="preserve">보수 가정 </t>
    </r>
    <r>
      <rPr>
        <sz val="10"/>
        <rFont val="DejaVu Sans"/>
        <family val="2"/>
        <charset val="1"/>
      </rPr>
      <t xml:space="preserve">/ </t>
    </r>
    <r>
      <rPr>
        <sz val="10"/>
        <rFont val="DejaVu Sans"/>
        <family val="2"/>
      </rPr>
      <t xml:space="preserve">현장 가정 </t>
    </r>
    <r>
      <rPr>
        <sz val="10"/>
        <rFont val="DejaVu Sans"/>
        <family val="2"/>
        <charset val="1"/>
      </rPr>
      <t xml:space="preserve">/ </t>
    </r>
    <r>
      <rPr>
        <sz val="10"/>
        <rFont val="DejaVu Sans"/>
        <family val="2"/>
      </rPr>
      <t xml:space="preserve">내부 실측</t>
    </r>
  </si>
  <si>
    <r>
      <rPr>
        <b val="true"/>
        <sz val="14"/>
        <color rgb="FFFFFFFF"/>
        <rFont val="DejaVu Sans"/>
        <family val="2"/>
      </rPr>
      <t xml:space="preserve">변경 이력 </t>
    </r>
    <r>
      <rPr>
        <b val="true"/>
        <sz val="14"/>
        <color rgb="FFFFFFFF"/>
        <rFont val="DejaVu Sans"/>
        <family val="2"/>
        <charset val="1"/>
      </rPr>
      <t xml:space="preserve">(Change History)</t>
    </r>
  </si>
  <si>
    <t xml:space="preserve">버전</t>
  </si>
  <si>
    <t xml:space="preserve">일자</t>
  </si>
  <si>
    <t xml:space="preserve">변경 내용</t>
  </si>
  <si>
    <t xml:space="preserve">변경 사유</t>
  </si>
  <si>
    <t xml:space="preserve">비고</t>
  </si>
  <si>
    <t xml:space="preserve">v1</t>
  </si>
  <si>
    <t xml:space="preserve">2026-05</t>
  </si>
  <si>
    <r>
      <rPr>
        <sz val="10"/>
        <rFont val="DejaVu Sans"/>
        <family val="2"/>
      </rPr>
      <t xml:space="preserve">기본 한글 통합 계산기 </t>
    </r>
    <r>
      <rPr>
        <sz val="10"/>
        <rFont val="DejaVu Sans"/>
        <family val="2"/>
        <charset val="1"/>
      </rPr>
      <t xml:space="preserve">(8 </t>
    </r>
    <r>
      <rPr>
        <sz val="10"/>
        <rFont val="DejaVu Sans"/>
        <family val="2"/>
      </rPr>
      <t xml:space="preserve">시트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</si>
  <si>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Grinding Doc Toolbox + Drill X Distance </t>
    </r>
    <r>
      <rPr>
        <sz val="10"/>
        <rFont val="DejaVu Sans"/>
        <family val="2"/>
      </rPr>
      <t xml:space="preserve">한글화</t>
    </r>
  </si>
  <si>
    <r>
      <rPr>
        <sz val="10"/>
        <rFont val="DejaVu Sans"/>
        <family val="2"/>
      </rPr>
      <t xml:space="preserve">휠속도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쿨런트</t>
    </r>
    <r>
      <rPr>
        <sz val="10"/>
        <rFont val="DejaVu Sans"/>
        <family val="2"/>
        <charset val="1"/>
      </rPr>
      <t xml:space="preserve">/MRR/</t>
    </r>
    <r>
      <rPr>
        <sz val="10"/>
        <rFont val="DejaVu Sans"/>
        <family val="2"/>
      </rPr>
      <t xml:space="preserve">드레서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단점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단위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드릴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안내</t>
    </r>
  </si>
  <si>
    <t xml:space="preserve">v2</t>
  </si>
  <si>
    <r>
      <rPr>
        <sz val="10"/>
        <rFont val="DejaVu Sans"/>
        <family val="2"/>
      </rPr>
      <t xml:space="preserve">원본 </t>
    </r>
    <r>
      <rPr>
        <sz val="10"/>
        <rFont val="DejaVu Sans"/>
        <family val="2"/>
        <charset val="1"/>
      </rPr>
      <t xml:space="preserve">Toolbox </t>
    </r>
    <r>
      <rPr>
        <sz val="10"/>
        <rFont val="DejaVu Sans"/>
        <family val="2"/>
      </rPr>
      <t xml:space="preserve">한글 번역 탭 추가 </t>
    </r>
    <r>
      <rPr>
        <sz val="10"/>
        <rFont val="DejaVu Sans"/>
        <family val="2"/>
        <charset val="1"/>
      </rPr>
      <t xml:space="preserve">(9 </t>
    </r>
    <r>
      <rPr>
        <sz val="10"/>
        <rFont val="DejaVu Sans"/>
        <family val="2"/>
      </rPr>
      <t xml:space="preserve">시트</t>
    </r>
    <r>
      <rPr>
        <sz val="10"/>
        <rFont val="DejaVu Sans"/>
        <family val="2"/>
        <charset val="1"/>
      </rPr>
      <t xml:space="preserve">)</t>
    </r>
  </si>
  <si>
    <t xml:space="preserve">원본 레이아웃 그대로 한글화 요청</t>
  </si>
  <si>
    <r>
      <rPr>
        <sz val="10"/>
        <rFont val="Arial"/>
        <family val="0"/>
        <charset val="1"/>
      </rPr>
      <t xml:space="preserve">08 </t>
    </r>
    <r>
      <rPr>
        <sz val="10"/>
        <rFont val="DejaVu Sans"/>
        <family val="2"/>
      </rPr>
      <t xml:space="preserve">원본</t>
    </r>
    <r>
      <rPr>
        <sz val="10"/>
        <rFont val="Arial"/>
        <family val="0"/>
        <charset val="1"/>
      </rPr>
      <t xml:space="preserve">_</t>
    </r>
    <r>
      <rPr>
        <sz val="10"/>
        <rFont val="DejaVu Sans"/>
        <family val="2"/>
      </rPr>
      <t xml:space="preserve">한글번역 탭 신설</t>
    </r>
  </si>
  <si>
    <t xml:space="preserve">v3</t>
  </si>
  <si>
    <r>
      <rPr>
        <sz val="10"/>
        <rFont val="DejaVu Sans"/>
        <family val="2"/>
      </rPr>
      <t xml:space="preserve">열변형 보정 계산기 추가 </t>
    </r>
    <r>
      <rPr>
        <sz val="10"/>
        <rFont val="DejaVu Sans"/>
        <family val="2"/>
        <charset val="1"/>
      </rPr>
      <t xml:space="preserve">(10 </t>
    </r>
    <r>
      <rPr>
        <sz val="10"/>
        <rFont val="DejaVu Sans"/>
        <family val="2"/>
      </rPr>
      <t xml:space="preserve">시트</t>
    </r>
    <r>
      <rPr>
        <sz val="10"/>
        <rFont val="DejaVu Sans"/>
        <family val="2"/>
        <charset val="1"/>
      </rPr>
      <t xml:space="preserve">)</t>
    </r>
  </si>
  <si>
    <t xml:space="preserve">쿨런트 온도 → 형상 영향 정량화 요청</t>
  </si>
  <si>
    <r>
      <rPr>
        <sz val="10"/>
        <rFont val="Arial"/>
        <family val="0"/>
        <charset val="1"/>
      </rPr>
      <t xml:space="preserve">09 </t>
    </r>
    <r>
      <rPr>
        <sz val="10"/>
        <rFont val="DejaVu Sans"/>
        <family val="2"/>
      </rPr>
      <t xml:space="preserve">열변형보정 탭 신설</t>
    </r>
  </si>
  <si>
    <t xml:space="preserve">v4</t>
  </si>
  <si>
    <r>
      <rPr>
        <sz val="10"/>
        <rFont val="Arial"/>
        <family val="0"/>
        <charset val="1"/>
      </rPr>
      <t xml:space="preserve">v3 </t>
    </r>
    <r>
      <rPr>
        <sz val="10"/>
        <rFont val="DejaVu Sans"/>
        <family val="2"/>
      </rPr>
      <t xml:space="preserve">검증 피드백 반영본</t>
    </r>
  </si>
  <si>
    <r>
      <rPr>
        <sz val="10"/>
        <rFont val="Arial"/>
        <family val="0"/>
        <charset val="1"/>
      </rPr>
      <t xml:space="preserve">Codex </t>
    </r>
    <r>
      <rPr>
        <sz val="10"/>
        <rFont val="DejaVu Sans"/>
        <family val="2"/>
      </rPr>
      <t xml:space="preserve">검증 라운드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회 </t>
    </r>
    <r>
      <rPr>
        <sz val="10"/>
        <rFont val="Arial"/>
        <family val="0"/>
        <charset val="1"/>
      </rPr>
      <t xml:space="preserve">+ Claude </t>
    </r>
    <r>
      <rPr>
        <sz val="10"/>
        <rFont val="DejaVu Sans"/>
        <family val="2"/>
      </rPr>
      <t xml:space="preserve">추가 검증</t>
    </r>
  </si>
  <si>
    <r>
      <rPr>
        <sz val="10"/>
        <rFont val="DejaVu Sans"/>
        <family val="2"/>
      </rPr>
      <t xml:space="preserve">패치 </t>
    </r>
    <r>
      <rPr>
        <sz val="10"/>
        <rFont val="DejaVu Sans"/>
        <family val="2"/>
        <charset val="1"/>
      </rPr>
      <t xml:space="preserve">14</t>
    </r>
    <r>
      <rPr>
        <sz val="10"/>
        <rFont val="DejaVu Sans"/>
        <family val="2"/>
      </rPr>
      <t xml:space="preserve">건 — 아래 상세</t>
    </r>
  </si>
  <si>
    <t xml:space="preserve">v5</t>
  </si>
  <si>
    <r>
      <rPr>
        <sz val="10"/>
        <rFont val="Arial"/>
        <family val="0"/>
        <charset val="1"/>
      </rPr>
      <t xml:space="preserve">ISO </t>
    </r>
    <r>
      <rPr>
        <sz val="10"/>
        <rFont val="DejaVu Sans"/>
        <family val="2"/>
      </rPr>
      <t xml:space="preserve">표준 매핑 시트 추가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출처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등급 확장</t>
    </r>
  </si>
  <si>
    <r>
      <rPr>
        <sz val="10"/>
        <rFont val="DejaVu Sans"/>
        <family val="2"/>
      </rPr>
      <t xml:space="preserve">옵션 </t>
    </r>
    <r>
      <rPr>
        <sz val="10"/>
        <rFont val="DejaVu Sans"/>
        <family val="2"/>
        <charset val="1"/>
      </rPr>
      <t xml:space="preserve">3 </t>
    </r>
    <r>
      <rPr>
        <sz val="10"/>
        <rFont val="DejaVu Sans"/>
        <family val="2"/>
      </rPr>
      <t xml:space="preserve">하이브리드 적용 — </t>
    </r>
    <r>
      <rPr>
        <sz val="10"/>
        <rFont val="DejaVu Sans"/>
        <family val="2"/>
        <charset val="1"/>
      </rPr>
      <t xml:space="preserve">ISO</t>
    </r>
    <r>
      <rPr>
        <sz val="10"/>
        <rFont val="DejaVu Sans"/>
        <family val="2"/>
      </rPr>
      <t xml:space="preserve">를 우선 표준으로</t>
    </r>
  </si>
  <si>
    <r>
      <rPr>
        <sz val="10"/>
        <rFont val="Arial"/>
        <family val="0"/>
        <charset val="1"/>
      </rPr>
      <t xml:space="preserve">ISO </t>
    </r>
    <r>
      <rPr>
        <sz val="10"/>
        <rFont val="DejaVu Sans"/>
        <family val="2"/>
      </rPr>
      <t xml:space="preserve">직접 인용 등급 신설 </t>
    </r>
    <r>
      <rPr>
        <sz val="10"/>
        <rFont val="Arial"/>
        <family val="0"/>
        <charset val="1"/>
      </rPr>
      <t xml:space="preserve">/ 09 </t>
    </r>
    <r>
      <rPr>
        <sz val="10"/>
        <rFont val="DejaVu Sans"/>
        <family val="2"/>
      </rPr>
      <t xml:space="preserve">시트 </t>
    </r>
    <r>
      <rPr>
        <sz val="10"/>
        <rFont val="Arial"/>
        <family val="0"/>
        <charset val="1"/>
      </rPr>
      <t xml:space="preserve">selective </t>
    </r>
    <r>
      <rPr>
        <sz val="10"/>
        <rFont val="DejaVu Sans"/>
        <family val="2"/>
      </rPr>
      <t xml:space="preserve">업데이트 </t>
    </r>
    <r>
      <rPr>
        <sz val="10"/>
        <rFont val="Arial"/>
        <family val="0"/>
        <charset val="1"/>
      </rPr>
      <t xml:space="preserve">/ ISO_</t>
    </r>
    <r>
      <rPr>
        <sz val="10"/>
        <rFont val="DejaVu Sans"/>
        <family val="2"/>
      </rPr>
      <t xml:space="preserve">표준</t>
    </r>
    <r>
      <rPr>
        <sz val="10"/>
        <rFont val="Arial"/>
        <family val="0"/>
        <charset val="1"/>
      </rPr>
      <t xml:space="preserve">_</t>
    </r>
    <r>
      <rPr>
        <sz val="10"/>
        <rFont val="DejaVu Sans"/>
        <family val="2"/>
      </rPr>
      <t xml:space="preserve">참조집</t>
    </r>
    <r>
      <rPr>
        <sz val="10"/>
        <rFont val="Arial"/>
        <family val="0"/>
        <charset val="1"/>
      </rPr>
      <t xml:space="preserve">.md cross-link</t>
    </r>
  </si>
  <si>
    <r>
      <rPr>
        <b val="true"/>
        <sz val="11"/>
        <color rgb="FFFFFFFF"/>
        <rFont val="Arial"/>
        <family val="0"/>
        <charset val="1"/>
      </rPr>
      <t xml:space="preserve">■ v4 </t>
    </r>
    <r>
      <rPr>
        <b val="true"/>
        <sz val="11"/>
        <color rgb="FFFFFFFF"/>
        <rFont val="DejaVu Sans"/>
        <family val="2"/>
      </rPr>
      <t xml:space="preserve">패치 상세 </t>
    </r>
    <r>
      <rPr>
        <b val="true"/>
        <sz val="11"/>
        <color rgb="FFFFFFFF"/>
        <rFont val="Arial"/>
        <family val="0"/>
        <charset val="1"/>
      </rPr>
      <t xml:space="preserve">(14</t>
    </r>
    <r>
      <rPr>
        <b val="true"/>
        <sz val="11"/>
        <color rgb="FFFFFFFF"/>
        <rFont val="DejaVu Sans"/>
        <family val="2"/>
      </rPr>
      <t xml:space="preserve">건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</si>
  <si>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ID</t>
  </si>
  <si>
    <t xml:space="preserve">항목</t>
  </si>
  <si>
    <t xml:space="preserve">A1</t>
  </si>
  <si>
    <t xml:space="preserve">표현 톤 다운</t>
  </si>
  <si>
    <r>
      <rPr>
        <sz val="10"/>
        <rFont val="DejaVu Sans"/>
        <family val="2"/>
      </rPr>
      <t xml:space="preserve">“학술 합의 </t>
    </r>
    <r>
      <rPr>
        <sz val="10"/>
        <rFont val="DejaVu Sans"/>
        <family val="2"/>
        <charset val="1"/>
      </rPr>
      <t xml:space="preserve">20–22 °C ±1 °C” → “</t>
    </r>
    <r>
      <rPr>
        <sz val="10"/>
        <rFont val="DejaVu Sans"/>
        <family val="2"/>
      </rPr>
      <t xml:space="preserve">보수적 사내 운영 권장값”</t>
    </r>
  </si>
  <si>
    <t xml:space="preserve">A2</t>
  </si>
  <si>
    <r>
      <rPr>
        <sz val="10"/>
        <rFont val="Arial"/>
        <family val="0"/>
        <charset val="1"/>
      </rPr>
      <t xml:space="preserve">ANCA </t>
    </r>
    <r>
      <rPr>
        <sz val="10"/>
        <rFont val="DejaVu Sans"/>
        <family val="2"/>
      </rPr>
      <t xml:space="preserve">좌표계 단서</t>
    </r>
  </si>
  <si>
    <r>
      <rPr>
        <sz val="10"/>
        <rFont val="DejaVu Sans"/>
        <family val="2"/>
      </rPr>
      <t xml:space="preserve">“현재 가공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보정 조건에서 형상이 커지는 방향으로 관찰됨” 명시</t>
    </r>
  </si>
  <si>
    <t xml:space="preserve">A3</t>
  </si>
  <si>
    <r>
      <rPr>
        <sz val="10"/>
        <rFont val="DejaVu Sans"/>
        <family val="2"/>
      </rPr>
      <t xml:space="preserve">출처 </t>
    </r>
    <r>
      <rPr>
        <sz val="10"/>
        <rFont val="DejaVu Sans"/>
        <family val="2"/>
        <charset val="1"/>
      </rPr>
      <t xml:space="preserve">5</t>
    </r>
    <r>
      <rPr>
        <sz val="10"/>
        <rFont val="DejaVu Sans"/>
        <family val="2"/>
      </rPr>
      <t xml:space="preserve">등급 태그 도입</t>
    </r>
  </si>
  <si>
    <r>
      <rPr>
        <sz val="10"/>
        <rFont val="DejaVu Sans"/>
        <family val="2"/>
      </rPr>
      <t xml:space="preserve">직접 출처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간접 근거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보수 가정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현장 가정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내부 실측</t>
    </r>
  </si>
  <si>
    <t xml:space="preserve">A4</t>
  </si>
  <si>
    <t xml:space="preserve">허용공차 입력값화</t>
  </si>
  <si>
    <r>
      <rPr>
        <sz val="10"/>
        <rFont val="Arial"/>
        <family val="0"/>
        <charset val="1"/>
      </rPr>
      <t xml:space="preserve">B13 </t>
    </r>
    <r>
      <rPr>
        <sz val="10"/>
        <rFont val="DejaVu Sans"/>
        <family val="2"/>
      </rPr>
      <t xml:space="preserve">사용자 입력으로 분리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기본 </t>
    </r>
    <r>
      <rPr>
        <sz val="10"/>
        <rFont val="Arial"/>
        <family val="0"/>
        <charset val="1"/>
      </rPr>
      <t xml:space="preserve">5 μm, </t>
    </r>
    <r>
      <rPr>
        <sz val="10"/>
        <rFont val="DejaVu Sans"/>
        <family val="2"/>
      </rPr>
      <t xml:space="preserve">도면별 변경</t>
    </r>
    <r>
      <rPr>
        <sz val="10"/>
        <rFont val="Arial"/>
        <family val="0"/>
        <charset val="1"/>
      </rPr>
      <t xml:space="preserve">)</t>
    </r>
  </si>
  <si>
    <t xml:space="preserve">B1</t>
  </si>
  <si>
    <r>
      <rPr>
        <sz val="10"/>
        <rFont val="Arial"/>
        <family val="0"/>
        <charset val="1"/>
      </rPr>
      <t xml:space="preserve">ISO </t>
    </r>
    <r>
      <rPr>
        <sz val="10"/>
        <rFont val="DejaVu Sans"/>
        <family val="2"/>
      </rPr>
      <t xml:space="preserve">인용 분리</t>
    </r>
  </si>
  <si>
    <r>
      <rPr>
        <sz val="10"/>
        <rFont val="Arial"/>
        <family val="0"/>
        <charset val="1"/>
      </rPr>
      <t xml:space="preserve">ISO 1(20 °C </t>
    </r>
    <r>
      <rPr>
        <sz val="10"/>
        <rFont val="DejaVu Sans"/>
        <family val="2"/>
      </rPr>
      <t xml:space="preserve">기준 온도</t>
    </r>
    <r>
      <rPr>
        <sz val="10"/>
        <rFont val="Arial"/>
        <family val="0"/>
        <charset val="1"/>
      </rPr>
      <t xml:space="preserve">) / ISO 230-3(</t>
    </r>
    <r>
      <rPr>
        <sz val="10"/>
        <rFont val="DejaVu Sans"/>
        <family val="2"/>
      </rPr>
      <t xml:space="preserve">열변위 시험 방법</t>
    </r>
    <r>
      <rPr>
        <sz val="10"/>
        <rFont val="Arial"/>
        <family val="0"/>
        <charset val="1"/>
      </rPr>
      <t xml:space="preserve">)</t>
    </r>
  </si>
  <si>
    <t xml:space="preserve">B2</t>
  </si>
  <si>
    <r>
      <rPr>
        <sz val="10"/>
        <rFont val="Arial"/>
        <family val="0"/>
        <charset val="1"/>
      </rPr>
      <t xml:space="preserve">Brinksmeier </t>
    </r>
    <r>
      <rPr>
        <sz val="10"/>
        <rFont val="DejaVu Sans"/>
        <family val="2"/>
      </rPr>
      <t xml:space="preserve">인용 분리</t>
    </r>
  </si>
  <si>
    <r>
      <rPr>
        <sz val="10"/>
        <rFont val="Arial"/>
        <family val="0"/>
        <charset val="1"/>
      </rPr>
      <t xml:space="preserve">1999 cooling/lubrication / 2006 modeling/simulation </t>
    </r>
    <r>
      <rPr>
        <sz val="10"/>
        <rFont val="DejaVu Sans"/>
        <family val="2"/>
      </rPr>
      <t xml:space="preserve">검증 완료</t>
    </r>
  </si>
  <si>
    <t xml:space="preserve">B3</t>
  </si>
  <si>
    <r>
      <rPr>
        <sz val="10"/>
        <rFont val="Arial"/>
        <family val="0"/>
        <charset val="1"/>
      </rPr>
      <t xml:space="preserve">Hindustan 150 °C </t>
    </r>
    <r>
      <rPr>
        <sz val="10"/>
        <rFont val="DejaVu Sans"/>
        <family val="2"/>
      </rPr>
      <t xml:space="preserve">인용 삭제</t>
    </r>
  </si>
  <si>
    <r>
      <rPr>
        <sz val="10"/>
        <rFont val="Arial"/>
        <family val="0"/>
        <charset val="1"/>
      </rPr>
      <t xml:space="preserve">CRC Polymer Handbook </t>
    </r>
    <r>
      <rPr>
        <sz val="10"/>
        <rFont val="DejaVu Sans"/>
        <family val="2"/>
      </rPr>
      <t xml:space="preserve">기반 </t>
    </r>
    <r>
      <rPr>
        <sz val="10"/>
        <rFont val="Arial"/>
        <family val="0"/>
        <charset val="1"/>
      </rPr>
      <t xml:space="preserve">Tg </t>
    </r>
    <r>
      <rPr>
        <sz val="10"/>
        <rFont val="DejaVu Sans"/>
        <family val="2"/>
      </rPr>
      <t xml:space="preserve">표로 정정 </t>
    </r>
    <r>
      <rPr>
        <sz val="10"/>
        <rFont val="Arial"/>
        <family val="0"/>
        <charset val="1"/>
      </rPr>
      <t xml:space="preserve">+ Malkin 723 °C </t>
    </r>
    <r>
      <rPr>
        <sz val="10"/>
        <rFont val="DejaVu Sans"/>
        <family val="2"/>
      </rPr>
      <t xml:space="preserve">추가</t>
    </r>
  </si>
  <si>
    <t xml:space="preserve">B4</t>
  </si>
  <si>
    <r>
      <rPr>
        <sz val="10"/>
        <rFont val="Arial"/>
        <family val="0"/>
        <charset val="1"/>
      </rPr>
      <t xml:space="preserve">Resin/Polyimide/Hybrid α </t>
    </r>
    <r>
      <rPr>
        <sz val="10"/>
        <rFont val="DejaVu Sans"/>
        <family val="2"/>
      </rPr>
      <t xml:space="preserve">단서</t>
    </r>
  </si>
  <si>
    <t xml:space="preserve">“보수 가정값 — 산업 일반 추정 범위 중간값” 표기</t>
  </si>
  <si>
    <t xml:space="preserve">C1</t>
  </si>
  <si>
    <r>
      <rPr>
        <sz val="10"/>
        <rFont val="Arial"/>
        <family val="0"/>
        <charset val="1"/>
      </rPr>
      <t xml:space="preserve">ΔT </t>
    </r>
    <r>
      <rPr>
        <sz val="10"/>
        <rFont val="DejaVu Sans"/>
        <family val="2"/>
      </rPr>
      <t xml:space="preserve">정의 명시</t>
    </r>
  </si>
  <si>
    <r>
      <rPr>
        <sz val="10"/>
        <rFont val="Arial"/>
        <family val="0"/>
        <charset val="1"/>
      </rPr>
      <t xml:space="preserve">peak-to-peak </t>
    </r>
    <r>
      <rPr>
        <sz val="10"/>
        <rFont val="DejaVu Sans"/>
        <family val="2"/>
      </rPr>
      <t xml:space="preserve">또는 기준 대비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보수 계산 시 </t>
    </r>
    <r>
      <rPr>
        <sz val="10"/>
        <rFont val="Arial"/>
        <family val="0"/>
        <charset val="1"/>
      </rPr>
      <t xml:space="preserve">peak-to-peak </t>
    </r>
    <r>
      <rPr>
        <sz val="10"/>
        <rFont val="DejaVu Sans"/>
        <family val="2"/>
      </rPr>
      <t xml:space="preserve">입력 권장</t>
    </r>
  </si>
  <si>
    <t xml:space="preserve">C2</t>
  </si>
  <si>
    <r>
      <rPr>
        <sz val="10"/>
        <rFont val="DejaVu Sans"/>
        <family val="2"/>
      </rPr>
      <t xml:space="preserve">휠 외경부 단순화 </t>
    </r>
    <r>
      <rPr>
        <sz val="10"/>
        <rFont val="DejaVu Sans"/>
        <family val="2"/>
        <charset val="1"/>
      </rPr>
      <t xml:space="preserve">caveat</t>
    </r>
  </si>
  <si>
    <r>
      <rPr>
        <sz val="10"/>
        <rFont val="Arial"/>
        <family val="0"/>
        <charset val="1"/>
      </rPr>
      <t xml:space="preserve">core+bond </t>
    </r>
    <r>
      <rPr>
        <sz val="10"/>
        <rFont val="DejaVu Sans"/>
        <family val="2"/>
      </rPr>
      <t xml:space="preserve">복합체 보수 단순화 단서 추가</t>
    </r>
  </si>
  <si>
    <t xml:space="preserve">C3</t>
  </si>
  <si>
    <r>
      <rPr>
        <sz val="10"/>
        <rFont val="Arial"/>
        <family val="0"/>
        <charset val="1"/>
      </rPr>
      <t xml:space="preserve">Tg vs </t>
    </r>
    <r>
      <rPr>
        <sz val="10"/>
        <rFont val="DejaVu Sans"/>
        <family val="2"/>
      </rPr>
      <t xml:space="preserve">쿨런트 분리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안전 경고</t>
    </r>
  </si>
  <si>
    <r>
      <rPr>
        <sz val="10"/>
        <rFont val="Arial"/>
        <family val="0"/>
        <charset val="1"/>
      </rPr>
      <t xml:space="preserve">§6 </t>
    </r>
    <r>
      <rPr>
        <sz val="10"/>
        <rFont val="DejaVu Sans"/>
        <family val="2"/>
      </rPr>
      <t xml:space="preserve">쿨런트와 </t>
    </r>
    <r>
      <rPr>
        <sz val="10"/>
        <rFont val="Arial"/>
        <family val="0"/>
        <charset val="1"/>
      </rPr>
      <t xml:space="preserve">§7 Tg </t>
    </r>
    <r>
      <rPr>
        <sz val="10"/>
        <rFont val="DejaVu Sans"/>
        <family val="2"/>
      </rPr>
      <t xml:space="preserve">물리적 분리 </t>
    </r>
    <r>
      <rPr>
        <sz val="10"/>
        <rFont val="Arial"/>
        <family val="0"/>
        <charset val="1"/>
      </rPr>
      <t xml:space="preserve">+ “</t>
    </r>
    <r>
      <rPr>
        <sz val="10"/>
        <rFont val="DejaVu Sans"/>
        <family val="2"/>
      </rPr>
      <t xml:space="preserve">직접 비교 금지” 경고</t>
    </r>
  </si>
  <si>
    <t xml:space="preserve">D1</t>
  </si>
  <si>
    <r>
      <rPr>
        <sz val="10"/>
        <rFont val="Arial"/>
        <family val="0"/>
        <charset val="1"/>
      </rPr>
      <t xml:space="preserve">Excel Data Validation </t>
    </r>
    <r>
      <rPr>
        <sz val="10"/>
        <rFont val="DejaVu Sans"/>
        <family val="2"/>
      </rPr>
      <t xml:space="preserve">드롭다운</t>
    </r>
  </si>
  <si>
    <r>
      <rPr>
        <sz val="10"/>
        <rFont val="Arial"/>
        <family val="0"/>
        <charset val="1"/>
      </rPr>
      <t xml:space="preserve">B5(</t>
    </r>
    <r>
      <rPr>
        <sz val="10"/>
        <rFont val="DejaVu Sans"/>
        <family val="2"/>
      </rPr>
      <t xml:space="preserve">재료</t>
    </r>
    <r>
      <rPr>
        <sz val="10"/>
        <rFont val="Arial"/>
        <family val="0"/>
        <charset val="1"/>
      </rPr>
      <t xml:space="preserve">)/B7(</t>
    </r>
    <r>
      <rPr>
        <sz val="10"/>
        <rFont val="DejaVu Sans"/>
        <family val="2"/>
      </rPr>
      <t xml:space="preserve">본드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자유입력 → 지정 목록만 허용</t>
    </r>
  </si>
  <si>
    <t xml:space="preserve">D2</t>
  </si>
  <si>
    <r>
      <rPr>
        <sz val="10"/>
        <rFont val="DejaVu Sans"/>
        <family val="2"/>
      </rPr>
      <t xml:space="preserve">현장 실측 검증 블록 </t>
    </r>
    <r>
      <rPr>
        <sz val="10"/>
        <rFont val="DejaVu Sans"/>
        <family val="2"/>
        <charset val="1"/>
      </rPr>
      <t xml:space="preserve">(a </t>
    </r>
    <r>
      <rPr>
        <sz val="10"/>
        <rFont val="DejaVu Sans"/>
        <family val="2"/>
      </rPr>
      <t xml:space="preserve">최소안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</si>
  <si>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측정 외경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시점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쿨런트 온도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잔차</t>
    </r>
    <r>
      <rPr>
        <sz val="10"/>
        <rFont val="DejaVu Sans"/>
        <family val="2"/>
        <charset val="1"/>
      </rPr>
      <t xml:space="preserve">/K </t>
    </r>
    <r>
      <rPr>
        <sz val="10"/>
        <rFont val="DejaVu Sans"/>
        <family val="2"/>
      </rPr>
      <t xml:space="preserve">보정계수 </t>
    </r>
    <r>
      <rPr>
        <sz val="10"/>
        <rFont val="DejaVu Sans"/>
        <family val="2"/>
        <charset val="1"/>
      </rPr>
      <t xml:space="preserve">5</t>
    </r>
    <r>
      <rPr>
        <sz val="10"/>
        <rFont val="DejaVu Sans"/>
        <family val="2"/>
      </rPr>
      <t xml:space="preserve">칼럼</t>
    </r>
  </si>
  <si>
    <t xml:space="preserve">E1</t>
  </si>
  <si>
    <t xml:space="preserve">변경 이력 시트 신설</t>
  </si>
  <si>
    <r>
      <rPr>
        <sz val="10"/>
        <rFont val="DejaVu Sans"/>
        <family val="2"/>
      </rPr>
      <t xml:space="preserve">거버넌스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감사 추적성 확보</t>
    </r>
  </si>
  <si>
    <r>
      <rPr>
        <b val="true"/>
        <sz val="11"/>
        <color rgb="FFFFFFFF"/>
        <rFont val="Arial"/>
        <family val="0"/>
        <charset val="1"/>
      </rPr>
      <t xml:space="preserve">■ v5 </t>
    </r>
    <r>
      <rPr>
        <b val="true"/>
        <sz val="11"/>
        <color rgb="FFFFFFFF"/>
        <rFont val="DejaVu Sans"/>
        <family val="2"/>
      </rPr>
      <t xml:space="preserve">예정 항목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실측 데이터 누적 후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</si>
  <si>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v5-1</t>
  </si>
  <si>
    <r>
      <rPr>
        <sz val="10"/>
        <rFont val="DejaVu Sans"/>
        <family val="2"/>
      </rPr>
      <t xml:space="preserve">현장 실측 블록 확장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워크 온도 </t>
    </r>
    <r>
      <rPr>
        <sz val="10"/>
        <rFont val="DejaVu Sans"/>
        <family val="2"/>
        <charset val="1"/>
      </rPr>
      <t xml:space="preserve">/ </t>
    </r>
    <r>
      <rPr>
        <sz val="10"/>
        <rFont val="DejaVu Sans"/>
        <family val="2"/>
      </rPr>
      <t xml:space="preserve">워밍업 시간 </t>
    </r>
    <r>
      <rPr>
        <sz val="10"/>
        <rFont val="DejaVu Sans"/>
        <family val="2"/>
        <charset val="1"/>
      </rPr>
      <t xml:space="preserve">/ OPS </t>
    </r>
    <r>
      <rPr>
        <sz val="10"/>
        <rFont val="DejaVu Sans"/>
        <family val="2"/>
      </rPr>
      <t xml:space="preserve">휠 직경</t>
    </r>
    <r>
      <rPr>
        <sz val="10"/>
        <rFont val="DejaVu Sans"/>
        <family val="2"/>
        <charset val="1"/>
      </rPr>
      <t xml:space="preserve">)</t>
    </r>
  </si>
  <si>
    <t xml:space="preserve">v5-2</t>
  </si>
  <si>
    <r>
      <rPr>
        <sz val="10"/>
        <rFont val="DejaVu Sans"/>
        <family val="2"/>
      </rPr>
      <t xml:space="preserve">유효 </t>
    </r>
    <r>
      <rPr>
        <sz val="10"/>
        <rFont val="DejaVu Sans"/>
        <family val="2"/>
        <charset val="1"/>
      </rPr>
      <t xml:space="preserve">α </t>
    </r>
    <r>
      <rPr>
        <sz val="10"/>
        <rFont val="DejaVu Sans"/>
        <family val="2"/>
      </rPr>
      <t xml:space="preserve">워크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휠 분리 역산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실측 데이터 누적 후</t>
    </r>
    <r>
      <rPr>
        <sz val="10"/>
        <rFont val="DejaVu Sans"/>
        <family val="2"/>
        <charset val="1"/>
      </rPr>
      <t xml:space="preserve">)</t>
    </r>
  </si>
  <si>
    <t xml:space="preserve">v5-3</t>
  </si>
  <si>
    <r>
      <rPr>
        <sz val="10"/>
        <rFont val="Arial"/>
        <family val="0"/>
        <charset val="1"/>
      </rPr>
      <t xml:space="preserve">Brinksmeier 1999 / 2006 </t>
    </r>
    <r>
      <rPr>
        <sz val="10"/>
        <rFont val="DejaVu Sans"/>
        <family val="2"/>
      </rPr>
      <t xml:space="preserve">외 </t>
    </r>
    <r>
      <rPr>
        <sz val="10"/>
        <rFont val="Arial"/>
        <family val="0"/>
        <charset val="1"/>
      </rPr>
      <t xml:space="preserve">grinding burn </t>
    </r>
    <r>
      <rPr>
        <sz val="10"/>
        <rFont val="DejaVu Sans"/>
        <family val="2"/>
      </rPr>
      <t xml:space="preserve">전용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차 인용 보강 </t>
    </r>
    <r>
      <rPr>
        <sz val="10"/>
        <rFont val="Arial"/>
        <family val="0"/>
        <charset val="1"/>
      </rPr>
      <t xml:space="preserve">(Malkin 723 °C </t>
    </r>
    <r>
      <rPr>
        <sz val="10"/>
        <rFont val="DejaVu Sans"/>
        <family val="2"/>
      </rPr>
      <t xml:space="preserve">출처 정밀화</t>
    </r>
    <r>
      <rPr>
        <sz val="10"/>
        <rFont val="Arial"/>
        <family val="0"/>
        <charset val="1"/>
      </rPr>
      <t xml:space="preserve">)</t>
    </r>
  </si>
  <si>
    <t xml:space="preserve">v5-4</t>
  </si>
  <si>
    <r>
      <rPr>
        <sz val="10"/>
        <rFont val="Arial"/>
        <family val="0"/>
        <charset val="1"/>
      </rPr>
      <t xml:space="preserve">release </t>
    </r>
    <r>
      <rPr>
        <sz val="10"/>
        <rFont val="DejaVu Sans"/>
        <family val="2"/>
      </rPr>
      <t xml:space="preserve">파일명 분리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안정화 후 </t>
    </r>
    <r>
      <rPr>
        <sz val="10"/>
        <rFont val="Arial"/>
        <family val="0"/>
        <charset val="1"/>
      </rPr>
      <t xml:space="preserve">_latest </t>
    </r>
    <r>
      <rPr>
        <sz val="10"/>
        <rFont val="DejaVu Sans"/>
        <family val="2"/>
      </rPr>
      <t xml:space="preserve">또는 </t>
    </r>
    <r>
      <rPr>
        <sz val="10"/>
        <rFont val="Arial"/>
        <family val="0"/>
        <charset val="1"/>
      </rPr>
      <t xml:space="preserve">_release </t>
    </r>
    <r>
      <rPr>
        <sz val="10"/>
        <rFont val="DejaVu Sans"/>
        <family val="2"/>
      </rPr>
      <t xml:space="preserve">접미사</t>
    </r>
    <r>
      <rPr>
        <sz val="10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</si>
  <si>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■ v5 </t>
    </r>
    <r>
      <rPr>
        <b val="true"/>
        <sz val="11"/>
        <color rgb="FFFFFFFF"/>
        <rFont val="DejaVu Sans"/>
        <family val="2"/>
      </rPr>
      <t xml:space="preserve">패치 상세 </t>
    </r>
    <r>
      <rPr>
        <b val="true"/>
        <sz val="11"/>
        <color rgb="FFFFFFFF"/>
        <rFont val="Arial"/>
        <family val="0"/>
        <charset val="1"/>
      </rPr>
      <t xml:space="preserve">(4</t>
    </r>
    <r>
      <rPr>
        <b val="true"/>
        <sz val="11"/>
        <color rgb="FFFFFFFF"/>
        <rFont val="DejaVu Sans"/>
        <family val="2"/>
      </rPr>
      <t xml:space="preserve">건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</si>
  <si>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F1</t>
  </si>
  <si>
    <r>
      <rPr>
        <sz val="10"/>
        <rFont val="Arial"/>
        <family val="0"/>
        <charset val="1"/>
      </rPr>
      <t xml:space="preserve">ISO </t>
    </r>
    <r>
      <rPr>
        <sz val="10"/>
        <rFont val="DejaVu Sans"/>
        <family val="2"/>
      </rPr>
      <t xml:space="preserve">표준 매핑 시트 추가</t>
    </r>
  </si>
  <si>
    <r>
      <rPr>
        <sz val="10"/>
        <rFont val="Arial"/>
        <family val="0"/>
        <charset val="1"/>
      </rPr>
      <t xml:space="preserve">Tier 1/2/3 </t>
    </r>
    <r>
      <rPr>
        <sz val="10"/>
        <rFont val="DejaVu Sans"/>
        <family val="2"/>
      </rPr>
      <t xml:space="preserve">분류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워크북 </t>
    </r>
    <r>
      <rPr>
        <sz val="10"/>
        <rFont val="Arial"/>
        <family val="0"/>
        <charset val="1"/>
      </rPr>
      <t xml:space="preserve">cross-reference </t>
    </r>
    <r>
      <rPr>
        <sz val="10"/>
        <rFont val="DejaVu Sans"/>
        <family val="2"/>
      </rPr>
      <t xml:space="preserve">표 통합</t>
    </r>
  </si>
  <si>
    <t xml:space="preserve">F2</t>
  </si>
  <si>
    <r>
      <rPr>
        <sz val="10"/>
        <rFont val="DejaVu Sans"/>
        <family val="2"/>
      </rPr>
      <t xml:space="preserve">출처 등급 </t>
    </r>
    <r>
      <rPr>
        <sz val="10"/>
        <rFont val="DejaVu Sans"/>
        <family val="2"/>
        <charset val="1"/>
      </rPr>
      <t xml:space="preserve">6</t>
    </r>
    <r>
      <rPr>
        <sz val="10"/>
        <rFont val="DejaVu Sans"/>
        <family val="2"/>
      </rPr>
      <t xml:space="preserve">단계 확장</t>
    </r>
  </si>
  <si>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단계 → 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단계 </t>
    </r>
    <r>
      <rPr>
        <sz val="10"/>
        <rFont val="Arial"/>
        <family val="0"/>
        <charset val="1"/>
      </rPr>
      <t xml:space="preserve">(ISO </t>
    </r>
    <r>
      <rPr>
        <sz val="10"/>
        <rFont val="DejaVu Sans"/>
        <family val="2"/>
      </rPr>
      <t xml:space="preserve">직접 인용 최상위 신설</t>
    </r>
    <r>
      <rPr>
        <sz val="10"/>
        <rFont val="Arial"/>
        <family val="0"/>
        <charset val="1"/>
      </rPr>
      <t xml:space="preserve">)</t>
    </r>
  </si>
  <si>
    <t xml:space="preserve">F3</t>
  </si>
  <si>
    <r>
      <rPr>
        <sz val="10"/>
        <rFont val="Arial"/>
        <family val="0"/>
        <charset val="1"/>
      </rPr>
      <t xml:space="preserve">09 </t>
    </r>
    <r>
      <rPr>
        <sz val="10"/>
        <rFont val="DejaVu Sans"/>
        <family val="2"/>
      </rPr>
      <t xml:space="preserve">시트 </t>
    </r>
    <r>
      <rPr>
        <sz val="10"/>
        <rFont val="Arial"/>
        <family val="0"/>
        <charset val="1"/>
      </rPr>
      <t xml:space="preserve">selective </t>
    </r>
    <r>
      <rPr>
        <sz val="10"/>
        <rFont val="DejaVu Sans"/>
        <family val="2"/>
      </rPr>
      <t xml:space="preserve">업데이트</t>
    </r>
  </si>
  <si>
    <r>
      <rPr>
        <sz val="10"/>
        <rFont val="Arial"/>
        <family val="0"/>
        <charset val="1"/>
      </rPr>
      <t xml:space="preserve">§6 </t>
    </r>
    <r>
      <rPr>
        <sz val="10"/>
        <rFont val="DejaVu Sans"/>
        <family val="2"/>
      </rPr>
      <t xml:space="preserve">초정밀 측정실 행 → </t>
    </r>
    <r>
      <rPr>
        <sz val="10"/>
        <rFont val="Arial"/>
        <family val="0"/>
        <charset val="1"/>
      </rPr>
      <t xml:space="preserve">ISO 1:2016 </t>
    </r>
    <r>
      <rPr>
        <sz val="10"/>
        <rFont val="DejaVu Sans"/>
        <family val="2"/>
      </rPr>
      <t xml:space="preserve">직접 인용 등급으로 갱신</t>
    </r>
  </si>
  <si>
    <t xml:space="preserve">F4</t>
  </si>
  <si>
    <r>
      <rPr>
        <sz val="10"/>
        <rFont val="Arial"/>
        <family val="0"/>
        <charset val="1"/>
      </rPr>
      <t xml:space="preserve">ISO_</t>
    </r>
    <r>
      <rPr>
        <sz val="10"/>
        <rFont val="DejaVu Sans"/>
        <family val="2"/>
      </rPr>
      <t xml:space="preserve">표준</t>
    </r>
    <r>
      <rPr>
        <sz val="10"/>
        <rFont val="Arial"/>
        <family val="0"/>
        <charset val="1"/>
      </rPr>
      <t xml:space="preserve">_</t>
    </r>
    <r>
      <rPr>
        <sz val="10"/>
        <rFont val="DejaVu Sans"/>
        <family val="2"/>
      </rPr>
      <t xml:space="preserve">참조집</t>
    </r>
    <r>
      <rPr>
        <sz val="10"/>
        <rFont val="Arial"/>
        <family val="0"/>
        <charset val="1"/>
      </rPr>
      <t xml:space="preserve">.md </t>
    </r>
    <r>
      <rPr>
        <sz val="10"/>
        <rFont val="DejaVu Sans"/>
        <family val="2"/>
      </rPr>
      <t xml:space="preserve">연결</t>
    </r>
  </si>
  <si>
    <r>
      <rPr>
        <sz val="10"/>
        <rFont val="DejaVu Sans"/>
        <family val="2"/>
      </rPr>
      <t xml:space="preserve">사내 마크다운 카탈로그와 워크북 매핑 시트 </t>
    </r>
    <r>
      <rPr>
        <sz val="10"/>
        <rFont val="DejaVu Sans"/>
        <family val="2"/>
        <charset val="1"/>
      </rPr>
      <t xml:space="preserve">cross-link</t>
    </r>
  </si>
  <si>
    <r>
      <rPr>
        <b val="true"/>
        <sz val="14"/>
        <color rgb="FFFFFFFF"/>
        <rFont val="Arial"/>
        <family val="0"/>
        <charset val="1"/>
      </rPr>
      <t xml:space="preserve">ISO </t>
    </r>
    <r>
      <rPr>
        <b val="true"/>
        <sz val="14"/>
        <color rgb="FFFFFFFF"/>
        <rFont val="DejaVu Sans"/>
        <family val="2"/>
      </rPr>
      <t xml:space="preserve">표준 매핑 — 우리 워크북 </t>
    </r>
    <r>
      <rPr>
        <b val="true"/>
        <sz val="14"/>
        <color rgb="FFFFFFFF"/>
        <rFont val="Arial"/>
        <family val="0"/>
        <charset val="1"/>
      </rPr>
      <t xml:space="preserve">anchor </t>
    </r>
    <r>
      <rPr>
        <b val="true"/>
        <sz val="14"/>
        <color rgb="FFFFFFFF"/>
        <rFont val="DejaVu Sans"/>
        <family val="2"/>
      </rPr>
      <t xml:space="preserve">표</t>
    </r>
  </si>
  <si>
    <r>
      <rPr>
        <i val="true"/>
        <sz val="9"/>
        <color rgb="FF555555"/>
        <rFont val="DejaVu Sans"/>
        <family val="2"/>
      </rPr>
      <t xml:space="preserve">본 시트는 </t>
    </r>
    <r>
      <rPr>
        <i val="true"/>
        <sz val="9"/>
        <color rgb="FF555555"/>
        <rFont val="DejaVu Sans"/>
        <family val="2"/>
        <charset val="1"/>
      </rPr>
      <t xml:space="preserve">ISO_</t>
    </r>
    <r>
      <rPr>
        <i val="true"/>
        <sz val="9"/>
        <color rgb="FF555555"/>
        <rFont val="DejaVu Sans"/>
        <family val="2"/>
      </rPr>
      <t xml:space="preserve">표준</t>
    </r>
    <r>
      <rPr>
        <i val="true"/>
        <sz val="9"/>
        <color rgb="FF555555"/>
        <rFont val="DejaVu Sans"/>
        <family val="2"/>
        <charset val="1"/>
      </rPr>
      <t xml:space="preserve">_</t>
    </r>
    <r>
      <rPr>
        <i val="true"/>
        <sz val="9"/>
        <color rgb="FF555555"/>
        <rFont val="DejaVu Sans"/>
        <family val="2"/>
      </rPr>
      <t xml:space="preserve">참조집</t>
    </r>
    <r>
      <rPr>
        <i val="true"/>
        <sz val="9"/>
        <color rgb="FF555555"/>
        <rFont val="DejaVu Sans"/>
        <family val="2"/>
        <charset val="1"/>
      </rPr>
      <t xml:space="preserve">.md </t>
    </r>
    <r>
      <rPr>
        <i val="true"/>
        <sz val="9"/>
        <color rgb="FF555555"/>
        <rFont val="DejaVu Sans"/>
        <family val="2"/>
      </rPr>
      <t xml:space="preserve">카탈로그의 </t>
    </r>
    <r>
      <rPr>
        <i val="true"/>
        <sz val="9"/>
        <color rgb="FF555555"/>
        <rFont val="DejaVu Sans"/>
        <family val="2"/>
        <charset val="1"/>
      </rPr>
      <t xml:space="preserve">cross-reference </t>
    </r>
    <r>
      <rPr>
        <i val="true"/>
        <sz val="9"/>
        <color rgb="FF555555"/>
        <rFont val="DejaVu Sans"/>
        <family val="2"/>
      </rPr>
      <t xml:space="preserve">부분을 워크북 안에서 빠르게 조회하기 위한 인덱스입니다</t>
    </r>
    <r>
      <rPr>
        <i val="true"/>
        <sz val="9"/>
        <color rgb="FF555555"/>
        <rFont val="DejaVu Sans"/>
        <family val="2"/>
        <charset val="1"/>
      </rPr>
      <t xml:space="preserve">. </t>
    </r>
    <r>
      <rPr>
        <i val="true"/>
        <sz val="9"/>
        <color rgb="FF555555"/>
        <rFont val="DejaVu Sans"/>
        <family val="2"/>
      </rPr>
      <t xml:space="preserve">본문 스코프는 카탈로그 또는 정식 표준을 참조하세요</t>
    </r>
    <r>
      <rPr>
        <i val="true"/>
        <sz val="9"/>
        <color rgb="FF555555"/>
        <rFont val="DejaVu Sans"/>
        <family val="2"/>
        <charset val="1"/>
      </rPr>
      <t xml:space="preserve">.</t>
    </r>
  </si>
  <si>
    <r>
      <rPr>
        <b val="true"/>
        <sz val="11"/>
        <color rgb="FFFFFFFF"/>
        <rFont val="Arial"/>
        <family val="0"/>
        <charset val="1"/>
      </rPr>
      <t xml:space="preserve">■ Tier 1 — </t>
    </r>
    <r>
      <rPr>
        <b val="true"/>
        <sz val="11"/>
        <color rgb="FFFFFFFF"/>
        <rFont val="DejaVu Sans"/>
        <family val="2"/>
      </rPr>
      <t xml:space="preserve">직접 적용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사내 보유 필수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</si>
  <si>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ISO </t>
    </r>
    <r>
      <rPr>
        <b val="true"/>
        <sz val="10"/>
        <rFont val="DejaVu Sans"/>
        <family val="2"/>
      </rPr>
      <t xml:space="preserve">번호</t>
    </r>
  </si>
  <si>
    <t xml:space="preserve">최신판 연도</t>
  </si>
  <si>
    <r>
      <rPr>
        <b val="true"/>
        <sz val="10"/>
        <rFont val="DejaVu Sans"/>
        <family val="2"/>
      </rPr>
      <t xml:space="preserve">제목 </t>
    </r>
    <r>
      <rPr>
        <b val="true"/>
        <sz val="10"/>
        <rFont val="DejaVu Sans"/>
        <family val="2"/>
        <charset val="1"/>
      </rPr>
      <t xml:space="preserve">(</t>
    </r>
    <r>
      <rPr>
        <b val="true"/>
        <sz val="10"/>
        <rFont val="DejaVu Sans"/>
        <family val="2"/>
      </rPr>
      <t xml:space="preserve">영문</t>
    </r>
    <r>
      <rPr>
        <b val="true"/>
        <sz val="10"/>
        <rFont val="DejaVu Sans"/>
        <family val="2"/>
        <charset val="1"/>
      </rPr>
      <t xml:space="preserve">)</t>
    </r>
  </si>
  <si>
    <t xml:space="preserve">분야</t>
  </si>
  <si>
    <t xml:space="preserve">우리 워크북 적용 위치</t>
  </si>
  <si>
    <t xml:space="preserve">공식 링크</t>
  </si>
  <si>
    <t xml:space="preserve">ISO 1</t>
  </si>
  <si>
    <t xml:space="preserve">Standard reference temperature for the specification of geometrical and dimensional properties</t>
  </si>
  <si>
    <t xml:space="preserve">기준 온도</t>
  </si>
  <si>
    <r>
      <rPr>
        <sz val="10"/>
        <rFont val="Arial"/>
        <family val="0"/>
        <charset val="1"/>
      </rPr>
      <t xml:space="preserve">09 §6 </t>
    </r>
    <r>
      <rPr>
        <sz val="10"/>
        <rFont val="DejaVu Sans"/>
        <family val="2"/>
      </rPr>
      <t xml:space="preserve">권장 쿨런트 </t>
    </r>
    <r>
      <rPr>
        <sz val="10"/>
        <rFont val="Arial"/>
        <family val="0"/>
        <charset val="1"/>
      </rPr>
      <t xml:space="preserve">(20 °C)</t>
    </r>
  </si>
  <si>
    <t xml:space="preserve">https://www.iso.org/standard/67630.html</t>
  </si>
  <si>
    <t xml:space="preserve">ISO 230-3</t>
  </si>
  <si>
    <t xml:space="preserve">Test code for machine tools — Part 3: Determination of thermal effects</t>
  </si>
  <si>
    <t xml:space="preserve">머신 열변형</t>
  </si>
  <si>
    <r>
      <rPr>
        <sz val="10"/>
        <rFont val="Arial"/>
        <family val="0"/>
        <charset val="1"/>
      </rPr>
      <t xml:space="preserve">09 § </t>
    </r>
    <r>
      <rPr>
        <sz val="10"/>
        <rFont val="DejaVu Sans"/>
        <family val="2"/>
      </rPr>
      <t xml:space="preserve">전체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열변형 평가</t>
    </r>
    <r>
      <rPr>
        <sz val="10"/>
        <rFont val="Arial"/>
        <family val="0"/>
        <charset val="1"/>
      </rPr>
      <t xml:space="preserve">)</t>
    </r>
  </si>
  <si>
    <t xml:space="preserve">https://www.iso.org/standard/73291.html</t>
  </si>
  <si>
    <t xml:space="preserve">ISO 525</t>
  </si>
  <si>
    <t xml:space="preserve">Bonded abrasive products — Shape types, designation and marking</t>
  </si>
  <si>
    <t xml:space="preserve">연삭숫돌 식별</t>
  </si>
  <si>
    <r>
      <rPr>
        <sz val="10"/>
        <rFont val="DejaVu Sans"/>
        <family val="2"/>
      </rPr>
      <t xml:space="preserve">휠 식별 </t>
    </r>
    <r>
      <rPr>
        <sz val="10"/>
        <rFont val="DejaVu Sans"/>
        <family val="2"/>
        <charset val="1"/>
      </rPr>
      <t xml:space="preserve">(5</t>
    </r>
    <r>
      <rPr>
        <sz val="10"/>
        <rFont val="DejaVu Sans"/>
        <family val="2"/>
      </rPr>
      <t xml:space="preserve">도</t>
    </r>
    <r>
      <rPr>
        <sz val="10"/>
        <rFont val="DejaVu Sans"/>
        <family val="2"/>
        <charset val="1"/>
      </rPr>
      <t xml:space="preserve">/20</t>
    </r>
    <r>
      <rPr>
        <sz val="10"/>
        <rFont val="DejaVu Sans"/>
        <family val="2"/>
      </rPr>
      <t xml:space="preserve">도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컵 휠</t>
    </r>
    <r>
      <rPr>
        <sz val="10"/>
        <rFont val="DejaVu Sans"/>
        <family val="2"/>
        <charset val="1"/>
      </rPr>
      <t xml:space="preserve">)</t>
    </r>
  </si>
  <si>
    <t xml:space="preserve">https://www.iso.org/standard/78476.html</t>
  </si>
  <si>
    <t xml:space="preserve">ISO 6104</t>
  </si>
  <si>
    <t xml:space="preserve">Superabrasive products — Rotating grinding tools with diamond or CBN — General survey, designation and multilingual nomenclature</t>
  </si>
  <si>
    <t xml:space="preserve">초연마 식별</t>
  </si>
  <si>
    <r>
      <rPr>
        <sz val="10"/>
        <rFont val="Arial"/>
        <family val="0"/>
        <charset val="1"/>
      </rPr>
      <t xml:space="preserve">Resin bond diamond </t>
    </r>
    <r>
      <rPr>
        <sz val="10"/>
        <rFont val="DejaVu Sans"/>
        <family val="2"/>
      </rPr>
      <t xml:space="preserve">휠 식별</t>
    </r>
  </si>
  <si>
    <t xml:space="preserve">https://www.iso.org/standard/36553.html</t>
  </si>
  <si>
    <t xml:space="preserve">ISO 12413</t>
  </si>
  <si>
    <t xml:space="preserve">Bonded abrasive products — Safety requirements</t>
  </si>
  <si>
    <t xml:space="preserve">연삭숫돌 안전</t>
  </si>
  <si>
    <r>
      <rPr>
        <sz val="10"/>
        <rFont val="Arial"/>
        <family val="0"/>
        <charset val="1"/>
      </rPr>
      <t xml:space="preserve">01 §</t>
    </r>
    <r>
      <rPr>
        <sz val="10"/>
        <rFont val="DejaVu Sans"/>
        <family val="2"/>
      </rPr>
      <t xml:space="preserve">휠 정격 </t>
    </r>
    <r>
      <rPr>
        <sz val="10"/>
        <rFont val="Arial"/>
        <family val="0"/>
        <charset val="1"/>
      </rPr>
      <t xml:space="preserve">Vmax </t>
    </r>
    <r>
      <rPr>
        <sz val="10"/>
        <rFont val="DejaVu Sans"/>
        <family val="2"/>
      </rPr>
      <t xml:space="preserve">확인</t>
    </r>
  </si>
  <si>
    <t xml:space="preserve">https://www.iso.org/standard/72906.html</t>
  </si>
  <si>
    <t xml:space="preserve">ISO 16089</t>
  </si>
  <si>
    <t xml:space="preserve">Machine tools — Safety — Stationary grinding machines</t>
  </si>
  <si>
    <t xml:space="preserve">연삭기 안전</t>
  </si>
  <si>
    <r>
      <rPr>
        <sz val="10"/>
        <rFont val="Arial"/>
        <family val="0"/>
        <charset val="1"/>
      </rPr>
      <t xml:space="preserve">ANCA </t>
    </r>
    <r>
      <rPr>
        <sz val="10"/>
        <rFont val="DejaVu Sans"/>
        <family val="2"/>
      </rPr>
      <t xml:space="preserve">안전 점검</t>
    </r>
  </si>
  <si>
    <t xml:space="preserve">https://www.iso.org/standard/55504.html</t>
  </si>
  <si>
    <t xml:space="preserve">ISO 6103</t>
  </si>
  <si>
    <t xml:space="preserve">Bonded abrasive products — Permissible unbalances of grinding wheels as delivered — Static testing</t>
  </si>
  <si>
    <t xml:space="preserve">휠 정적 균형</t>
  </si>
  <si>
    <t xml:space="preserve">휠 입고 검사</t>
  </si>
  <si>
    <t xml:space="preserve">https://www.iso.org/standard/61991.html</t>
  </si>
  <si>
    <t xml:space="preserve">ISO 4287</t>
  </si>
  <si>
    <t xml:space="preserve">Geometrical Product Specifications (GPS) — Surface texture: Profile method — Terms, definitions and surface texture parameters</t>
  </si>
  <si>
    <t xml:space="preserve">표면조도 정의</t>
  </si>
  <si>
    <r>
      <rPr>
        <sz val="10"/>
        <rFont val="Arial"/>
        <family val="0"/>
        <charset val="1"/>
      </rPr>
      <t xml:space="preserve">03 §Ra </t>
    </r>
    <r>
      <rPr>
        <sz val="10"/>
        <rFont val="DejaVu Sans"/>
        <family val="2"/>
      </rPr>
      <t xml:space="preserve">정의</t>
    </r>
  </si>
  <si>
    <t xml:space="preserve">https://www.iso.org/standard/10132.html</t>
  </si>
  <si>
    <r>
      <rPr>
        <b val="true"/>
        <sz val="11"/>
        <color rgb="FFFFFFFF"/>
        <rFont val="Arial"/>
        <family val="0"/>
        <charset val="1"/>
      </rPr>
      <t xml:space="preserve">■ Tier 2 — </t>
    </r>
    <r>
      <rPr>
        <b val="true"/>
        <sz val="11"/>
        <color rgb="FFFFFFFF"/>
        <rFont val="DejaVu Sans"/>
        <family val="2"/>
      </rPr>
      <t xml:space="preserve">간접 적용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사내 보유 권장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</si>
  <si>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ISO 230-1</t>
  </si>
  <si>
    <t xml:space="preserve">Test code for machine tools — Part 1: Geometric accuracy of machines operating under no-load or quasi-static conditions</t>
  </si>
  <si>
    <t xml:space="preserve">머신 기하 정확도</t>
  </si>
  <si>
    <r>
      <rPr>
        <sz val="10"/>
        <rFont val="Arial"/>
        <family val="0"/>
        <charset val="1"/>
      </rPr>
      <t xml:space="preserve">ANCA </t>
    </r>
    <r>
      <rPr>
        <sz val="10"/>
        <rFont val="DejaVu Sans"/>
        <family val="2"/>
      </rPr>
      <t xml:space="preserve">정확도 검증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간접</t>
    </r>
    <r>
      <rPr>
        <sz val="10"/>
        <rFont val="Arial"/>
        <family val="0"/>
        <charset val="1"/>
      </rPr>
      <t xml:space="preserve">)</t>
    </r>
  </si>
  <si>
    <t xml:space="preserve">https://www.iso.org/standard/46449.html</t>
  </si>
  <si>
    <t xml:space="preserve">ISO 230-2</t>
  </si>
  <si>
    <t xml:space="preserve">Test code for machine tools — Part 2: Determination of accuracy and repeatability of positioning of numerically controlled axes</t>
  </si>
  <si>
    <r>
      <rPr>
        <sz val="10"/>
        <rFont val="Arial"/>
        <family val="0"/>
        <charset val="1"/>
      </rPr>
      <t xml:space="preserve">NC </t>
    </r>
    <r>
      <rPr>
        <sz val="10"/>
        <rFont val="DejaVu Sans"/>
        <family val="2"/>
      </rPr>
      <t xml:space="preserve">위치 정확도</t>
    </r>
  </si>
  <si>
    <r>
      <rPr>
        <sz val="10"/>
        <rFont val="Arial"/>
        <family val="0"/>
        <charset val="1"/>
      </rPr>
      <t xml:space="preserve">07 </t>
    </r>
    <r>
      <rPr>
        <sz val="10"/>
        <rFont val="DejaVu Sans"/>
        <family val="2"/>
      </rPr>
      <t xml:space="preserve">드릴</t>
    </r>
    <r>
      <rPr>
        <sz val="10"/>
        <rFont val="Arial"/>
        <family val="0"/>
        <charset val="1"/>
      </rPr>
      <t xml:space="preserve">X </t>
    </r>
    <r>
      <rPr>
        <sz val="10"/>
        <rFont val="DejaVu Sans"/>
        <family val="2"/>
      </rPr>
      <t xml:space="preserve">거리 검증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간접</t>
    </r>
    <r>
      <rPr>
        <sz val="10"/>
        <rFont val="Arial"/>
        <family val="0"/>
        <charset val="1"/>
      </rPr>
      <t xml:space="preserve">)</t>
    </r>
  </si>
  <si>
    <t xml:space="preserve">https://www.iso.org/standard/55295.html</t>
  </si>
  <si>
    <t xml:space="preserve">ISO 230-7</t>
  </si>
  <si>
    <t xml:space="preserve">Test code for machine tools — Part 7: Geometric accuracy of axes of rotation</t>
  </si>
  <si>
    <t xml:space="preserve">회전축 정확도</t>
  </si>
  <si>
    <t xml:space="preserve">스핀들 런아웃 검증</t>
  </si>
  <si>
    <t xml:space="preserve">https://www.iso.org/standard/56624.html</t>
  </si>
  <si>
    <t xml:space="preserve">ISO 4288</t>
  </si>
  <si>
    <t xml:space="preserve">GPS — Surface texture: Profile method — Rules and procedures for the assessment of surface texture</t>
  </si>
  <si>
    <t xml:space="preserve">조도 측정 규칙</t>
  </si>
  <si>
    <r>
      <rPr>
        <sz val="10"/>
        <rFont val="Arial"/>
        <family val="0"/>
        <charset val="1"/>
      </rPr>
      <t xml:space="preserve">Ra </t>
    </r>
    <r>
      <rPr>
        <sz val="10"/>
        <rFont val="DejaVu Sans"/>
        <family val="2"/>
      </rPr>
      <t xml:space="preserve">측정 절차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간접</t>
    </r>
    <r>
      <rPr>
        <sz val="10"/>
        <rFont val="Arial"/>
        <family val="0"/>
        <charset val="1"/>
      </rPr>
      <t xml:space="preserve">)</t>
    </r>
  </si>
  <si>
    <t xml:space="preserve">https://www.iso.org/standard/10134.html</t>
  </si>
  <si>
    <t xml:space="preserve">ISO 286-1</t>
  </si>
  <si>
    <t xml:space="preserve">GPS — ISO code system for tolerances on linear sizes — Part 1: Basis of tolerances, deviations and fits</t>
  </si>
  <si>
    <t xml:space="preserve">선형 공차 코드</t>
  </si>
  <si>
    <t xml:space="preserve">도면 공차 해석</t>
  </si>
  <si>
    <t xml:space="preserve">https://www.iso.org/standard/45975.html</t>
  </si>
  <si>
    <t xml:space="preserve">ISO 14253-1</t>
  </si>
  <si>
    <t xml:space="preserve">GPS — Inspection by measurement of workpieces and measuring equipment — Part 1: Decision rules for verifying conformity or nonconformity</t>
  </si>
  <si>
    <t xml:space="preserve">측정 검사 규칙</t>
  </si>
  <si>
    <r>
      <rPr>
        <sz val="10"/>
        <rFont val="Arial"/>
        <family val="0"/>
        <charset val="1"/>
      </rPr>
      <t xml:space="preserve">09 §5 </t>
    </r>
    <r>
      <rPr>
        <sz val="10"/>
        <rFont val="DejaVu Sans"/>
        <family val="2"/>
      </rPr>
      <t xml:space="preserve">정밀도 판정 절차</t>
    </r>
  </si>
  <si>
    <t xml:space="preserve">https://www.iso.org/standard/70137.html</t>
  </si>
  <si>
    <t xml:space="preserve">ISO 9001</t>
  </si>
  <si>
    <t xml:space="preserve">Quality management systems — Requirements</t>
  </si>
  <si>
    <t xml:space="preserve">품질 시스템</t>
  </si>
  <si>
    <r>
      <rPr>
        <sz val="10"/>
        <rFont val="DejaVu Sans"/>
        <family val="2"/>
      </rPr>
      <t xml:space="preserve">변경 이력 </t>
    </r>
    <r>
      <rPr>
        <sz val="10"/>
        <rFont val="DejaVu Sans"/>
        <family val="2"/>
        <charset val="1"/>
      </rPr>
      <t xml:space="preserve">/ </t>
    </r>
    <r>
      <rPr>
        <sz val="10"/>
        <rFont val="DejaVu Sans"/>
        <family val="2"/>
      </rPr>
      <t xml:space="preserve">추적성 일반</t>
    </r>
  </si>
  <si>
    <t xml:space="preserve">https://www.iso.org/standard/62085.html</t>
  </si>
  <si>
    <r>
      <rPr>
        <b val="true"/>
        <sz val="11"/>
        <color rgb="FFFFFFFF"/>
        <rFont val="Arial"/>
        <family val="0"/>
        <charset val="1"/>
      </rPr>
      <t xml:space="preserve">■ Tier 3 — </t>
    </r>
    <r>
      <rPr>
        <b val="true"/>
        <sz val="11"/>
        <color rgb="FFFFFFFF"/>
        <rFont val="DejaVu Sans"/>
        <family val="2"/>
      </rPr>
      <t xml:space="preserve">참고용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카탈로그만 보유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</si>
  <si>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ISO 13942</t>
  </si>
  <si>
    <t xml:space="preserve">Bonded abrasive products — Limit deviations and run-out tolerances</t>
  </si>
  <si>
    <t xml:space="preserve">휠 한계편차</t>
  </si>
  <si>
    <r>
      <rPr>
        <sz val="10"/>
        <rFont val="DejaVu Sans"/>
        <family val="2"/>
      </rPr>
      <t xml:space="preserve">휠 입고 검사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참고</t>
    </r>
    <r>
      <rPr>
        <sz val="10"/>
        <rFont val="DejaVu Sans"/>
        <family val="2"/>
        <charset val="1"/>
      </rPr>
      <t xml:space="preserve">)</t>
    </r>
  </si>
  <si>
    <r>
      <rPr>
        <i val="true"/>
        <sz val="9"/>
        <color rgb="FF555555"/>
        <rFont val="Arial"/>
        <family val="0"/>
        <charset val="1"/>
      </rPr>
      <t xml:space="preserve">ISO </t>
    </r>
    <r>
      <rPr>
        <i val="true"/>
        <sz val="9"/>
        <color rgb="FF555555"/>
        <rFont val="DejaVu Sans"/>
        <family val="2"/>
      </rPr>
      <t xml:space="preserve">검색</t>
    </r>
  </si>
  <si>
    <t xml:space="preserve">ISO 6106</t>
  </si>
  <si>
    <t xml:space="preserve">Abrasive products — Checking the grit size of superabrasives</t>
  </si>
  <si>
    <t xml:space="preserve">초연마 그릿 검사</t>
  </si>
  <si>
    <r>
      <rPr>
        <sz val="10"/>
        <rFont val="DejaVu Sans"/>
        <family val="2"/>
      </rPr>
      <t xml:space="preserve">휠 </t>
    </r>
    <r>
      <rPr>
        <sz val="10"/>
        <rFont val="DejaVu Sans"/>
        <family val="2"/>
        <charset val="1"/>
      </rPr>
      <t xml:space="preserve">#320/#400 </t>
    </r>
    <r>
      <rPr>
        <sz val="10"/>
        <rFont val="DejaVu Sans"/>
        <family val="2"/>
      </rPr>
      <t xml:space="preserve">검증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참고</t>
    </r>
    <r>
      <rPr>
        <sz val="10"/>
        <rFont val="DejaVu Sans"/>
        <family val="2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</si>
  <si>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ISO 603 (</t>
    </r>
    <r>
      <rPr>
        <b val="true"/>
        <sz val="10"/>
        <rFont val="DejaVu Sans"/>
        <family val="2"/>
      </rPr>
      <t xml:space="preserve">시리즈</t>
    </r>
    <r>
      <rPr>
        <b val="true"/>
        <sz val="10"/>
        <rFont val="Arial"/>
        <family val="0"/>
        <charset val="1"/>
      </rPr>
      <t xml:space="preserve">)</t>
    </r>
  </si>
  <si>
    <t xml:space="preserve">—</t>
  </si>
  <si>
    <r>
      <rPr>
        <sz val="10"/>
        <rFont val="Arial"/>
        <family val="0"/>
        <charset val="1"/>
      </rPr>
      <t xml:space="preserve">Bonded abrasive products — Dimensions (</t>
    </r>
    <r>
      <rPr>
        <sz val="10"/>
        <rFont val="DejaVu Sans"/>
        <family val="2"/>
      </rPr>
      <t xml:space="preserve">각 파트</t>
    </r>
    <r>
      <rPr>
        <sz val="10"/>
        <rFont val="Arial"/>
        <family val="0"/>
        <charset val="1"/>
      </rPr>
      <t xml:space="preserve">)</t>
    </r>
  </si>
  <si>
    <t xml:space="preserve">휠 표준 치수</t>
  </si>
  <si>
    <r>
      <rPr>
        <sz val="10"/>
        <rFont val="DejaVu Sans"/>
        <family val="2"/>
      </rPr>
      <t xml:space="preserve">휠 신규 도입 시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참고</t>
    </r>
    <r>
      <rPr>
        <sz val="10"/>
        <rFont val="DejaVu Sans"/>
        <family val="2"/>
        <charset val="1"/>
      </rPr>
      <t xml:space="preserve">)</t>
    </r>
  </si>
  <si>
    <t xml:space="preserve">ISO 6743-7</t>
  </si>
  <si>
    <t xml:space="preserve">Lubricants, industrial oils and related products (Class L) — Classification — Part 7: Family M (metalworking)</t>
  </si>
  <si>
    <t xml:space="preserve">윤활제 분류</t>
  </si>
  <si>
    <r>
      <rPr>
        <sz val="10"/>
        <rFont val="DejaVu Sans"/>
        <family val="2"/>
      </rPr>
      <t xml:space="preserve">쿨런트 </t>
    </r>
    <r>
      <rPr>
        <sz val="10"/>
        <rFont val="DejaVu Sans"/>
        <family val="2"/>
        <charset val="1"/>
      </rPr>
      <t xml:space="preserve">spec </t>
    </r>
    <r>
      <rPr>
        <sz val="10"/>
        <rFont val="DejaVu Sans"/>
        <family val="2"/>
      </rPr>
      <t xml:space="preserve">표기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참고</t>
    </r>
    <r>
      <rPr>
        <sz val="10"/>
        <rFont val="DejaVu Sans"/>
        <family val="2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</si>
  <si>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■ 워크북 위치별 </t>
    </r>
    <r>
      <rPr>
        <b val="true"/>
        <sz val="11"/>
        <color rgb="FFFFFFFF"/>
        <rFont val="DejaVu Sans"/>
        <family val="2"/>
        <charset val="1"/>
      </rPr>
      <t xml:space="preserve">ISO </t>
    </r>
    <r>
      <rPr>
        <b val="true"/>
        <sz val="11"/>
        <color rgb="FFFFFFFF"/>
        <rFont val="DejaVu Sans"/>
        <family val="2"/>
      </rPr>
      <t xml:space="preserve">표준 </t>
    </r>
    <r>
      <rPr>
        <b val="true"/>
        <sz val="11"/>
        <color rgb="FFFFFFFF"/>
        <rFont val="DejaVu Sans"/>
        <family val="2"/>
        <charset val="1"/>
      </rPr>
      <t xml:space="preserve">cross-reference</t>
    </r>
  </si>
  <si>
    <t xml:space="preserve">워크북 위치</t>
  </si>
  <si>
    <r>
      <rPr>
        <b val="true"/>
        <sz val="10"/>
        <rFont val="DejaVu Sans"/>
        <family val="2"/>
      </rPr>
      <t xml:space="preserve">직접 </t>
    </r>
    <r>
      <rPr>
        <b val="true"/>
        <sz val="10"/>
        <rFont val="DejaVu Sans"/>
        <family val="2"/>
        <charset val="1"/>
      </rPr>
      <t xml:space="preserve">anchor</t>
    </r>
    <r>
      <rPr>
        <b val="true"/>
        <sz val="10"/>
        <rFont val="DejaVu Sans"/>
        <family val="2"/>
      </rPr>
      <t xml:space="preserve">된 </t>
    </r>
    <r>
      <rPr>
        <b val="true"/>
        <sz val="10"/>
        <rFont val="DejaVu Sans"/>
        <family val="2"/>
        <charset val="1"/>
      </rPr>
      <t xml:space="preserve">ISO </t>
    </r>
    <r>
      <rPr>
        <b val="true"/>
        <sz val="10"/>
        <rFont val="DejaVu Sans"/>
        <family val="2"/>
      </rPr>
      <t xml:space="preserve">표준</t>
    </r>
  </si>
  <si>
    <r>
      <rPr>
        <sz val="10"/>
        <rFont val="Arial"/>
        <family val="0"/>
        <charset val="1"/>
      </rPr>
      <t xml:space="preserve">01 </t>
    </r>
    <r>
      <rPr>
        <sz val="10"/>
        <rFont val="DejaVu Sans"/>
        <family val="2"/>
      </rPr>
      <t xml:space="preserve">휠속도 — 휠 정격 </t>
    </r>
    <r>
      <rPr>
        <sz val="10"/>
        <rFont val="Arial"/>
        <family val="0"/>
        <charset val="1"/>
      </rPr>
      <t xml:space="preserve">Vmax </t>
    </r>
    <r>
      <rPr>
        <sz val="10"/>
        <rFont val="DejaVu Sans"/>
        <family val="2"/>
      </rPr>
      <t xml:space="preserve">표시 영역</t>
    </r>
  </si>
  <si>
    <t xml:space="preserve">ISO 12413:2019</t>
  </si>
  <si>
    <t xml:space="preserve">Tier 1</t>
  </si>
  <si>
    <r>
      <rPr>
        <sz val="10"/>
        <rFont val="Arial"/>
        <family val="0"/>
        <charset val="1"/>
      </rPr>
      <t xml:space="preserve">03 </t>
    </r>
    <r>
      <rPr>
        <sz val="10"/>
        <rFont val="DejaVu Sans"/>
        <family val="2"/>
      </rPr>
      <t xml:space="preserve">절삭강도 — </t>
    </r>
    <r>
      <rPr>
        <sz val="10"/>
        <rFont val="Arial"/>
        <family val="0"/>
        <charset val="1"/>
      </rPr>
      <t xml:space="preserve">Ra </t>
    </r>
    <r>
      <rPr>
        <sz val="10"/>
        <rFont val="DejaVu Sans"/>
        <family val="2"/>
      </rPr>
      <t xml:space="preserve">정의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측정</t>
    </r>
  </si>
  <si>
    <t xml:space="preserve">ISO 4287:1997 / ISO 4288:1996</t>
  </si>
  <si>
    <t xml:space="preserve">Tier 1 / Tier 2</t>
  </si>
  <si>
    <r>
      <rPr>
        <sz val="10"/>
        <rFont val="Arial"/>
        <family val="0"/>
        <charset val="1"/>
      </rPr>
      <t xml:space="preserve">07 </t>
    </r>
    <r>
      <rPr>
        <sz val="10"/>
        <rFont val="DejaVu Sans"/>
        <family val="2"/>
      </rPr>
      <t xml:space="preserve">드릴</t>
    </r>
    <r>
      <rPr>
        <sz val="10"/>
        <rFont val="Arial"/>
        <family val="0"/>
        <charset val="1"/>
      </rPr>
      <t xml:space="preserve">X</t>
    </r>
    <r>
      <rPr>
        <sz val="10"/>
        <rFont val="DejaVu Sans"/>
        <family val="2"/>
      </rPr>
      <t xml:space="preserve">거리 — </t>
    </r>
    <r>
      <rPr>
        <sz val="10"/>
        <rFont val="Arial"/>
        <family val="0"/>
        <charset val="1"/>
      </rPr>
      <t xml:space="preserve">NC </t>
    </r>
    <r>
      <rPr>
        <sz val="10"/>
        <rFont val="DejaVu Sans"/>
        <family val="2"/>
      </rPr>
      <t xml:space="preserve">축 위치 정확도</t>
    </r>
  </si>
  <si>
    <t xml:space="preserve">ISO 230-2:2014</t>
  </si>
  <si>
    <t xml:space="preserve">Tier 2</t>
  </si>
  <si>
    <r>
      <rPr>
        <sz val="10"/>
        <rFont val="Arial"/>
        <family val="0"/>
        <charset val="1"/>
      </rPr>
      <t xml:space="preserve">09 §3 α </t>
    </r>
    <r>
      <rPr>
        <sz val="10"/>
        <rFont val="DejaVu Sans"/>
        <family val="2"/>
      </rPr>
      <t xml:space="preserve">표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기본 조직 강 </t>
    </r>
    <r>
      <rPr>
        <sz val="10"/>
        <rFont val="Arial"/>
        <family val="0"/>
        <charset val="1"/>
      </rPr>
      <t xml:space="preserve">11.5)</t>
    </r>
  </si>
  <si>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직접 </t>
    </r>
    <r>
      <rPr>
        <sz val="10"/>
        <rFont val="Arial"/>
        <family val="0"/>
        <charset val="1"/>
      </rPr>
      <t xml:space="preserve">ISO </t>
    </r>
    <r>
      <rPr>
        <sz val="10"/>
        <rFont val="DejaVu Sans"/>
        <family val="2"/>
      </rPr>
      <t xml:space="preserve">없음 — </t>
    </r>
    <r>
      <rPr>
        <sz val="10"/>
        <rFont val="Arial"/>
        <family val="0"/>
        <charset val="1"/>
      </rPr>
      <t xml:space="preserve">ASTM/DIN </t>
    </r>
    <r>
      <rPr>
        <sz val="10"/>
        <rFont val="DejaVu Sans"/>
        <family val="2"/>
      </rPr>
      <t xml:space="preserve">출처</t>
    </r>
    <r>
      <rPr>
        <sz val="10"/>
        <rFont val="Arial"/>
        <family val="0"/>
        <charset val="1"/>
      </rPr>
      <t xml:space="preserve">)</t>
    </r>
  </si>
  <si>
    <t xml:space="preserve">ISO 14253-1:2017</t>
  </si>
  <si>
    <r>
      <rPr>
        <sz val="10"/>
        <rFont val="Arial"/>
        <family val="0"/>
        <charset val="1"/>
      </rPr>
      <t xml:space="preserve">09 §6 </t>
    </r>
    <r>
      <rPr>
        <sz val="10"/>
        <rFont val="DejaVu Sans"/>
        <family val="2"/>
      </rPr>
      <t xml:space="preserve">권장 쿨런트 — </t>
    </r>
    <r>
      <rPr>
        <sz val="10"/>
        <rFont val="Arial"/>
        <family val="0"/>
        <charset val="1"/>
      </rPr>
      <t xml:space="preserve">20 °C </t>
    </r>
    <r>
      <rPr>
        <sz val="10"/>
        <rFont val="DejaVu Sans"/>
        <family val="2"/>
      </rPr>
      <t xml:space="preserve">기준</t>
    </r>
  </si>
  <si>
    <t xml:space="preserve">ISO 1:2016</t>
  </si>
  <si>
    <r>
      <rPr>
        <sz val="10"/>
        <rFont val="Arial"/>
        <family val="0"/>
        <charset val="1"/>
      </rPr>
      <t xml:space="preserve">09 § </t>
    </r>
    <r>
      <rPr>
        <sz val="10"/>
        <rFont val="DejaVu Sans"/>
        <family val="2"/>
      </rPr>
      <t xml:space="preserve">전체 — 열변형 평가 방법론</t>
    </r>
  </si>
  <si>
    <t xml:space="preserve">ISO 230-3:2020</t>
  </si>
  <si>
    <t xml:space="preserve">ISO 525:2020 / ISO 6104:2005</t>
  </si>
  <si>
    <t xml:space="preserve">ISO 16089:2015</t>
  </si>
  <si>
    <r>
      <rPr>
        <sz val="10"/>
        <rFont val="DejaVu Sans"/>
        <family val="2"/>
      </rPr>
      <t xml:space="preserve">휠 입고 검사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균형</t>
    </r>
    <r>
      <rPr>
        <sz val="10"/>
        <rFont val="DejaVu Sans"/>
        <family val="2"/>
        <charset val="1"/>
      </rPr>
      <t xml:space="preserve">)</t>
    </r>
  </si>
  <si>
    <t xml:space="preserve">ISO 6103:2014</t>
  </si>
  <si>
    <r>
      <rPr>
        <sz val="10"/>
        <rFont val="DejaVu Sans"/>
        <family val="2"/>
      </rPr>
      <t xml:space="preserve">변경 이력 </t>
    </r>
    <r>
      <rPr>
        <sz val="10"/>
        <rFont val="DejaVu Sans"/>
        <family val="2"/>
        <charset val="1"/>
      </rPr>
      <t xml:space="preserve">/ </t>
    </r>
    <r>
      <rPr>
        <sz val="10"/>
        <rFont val="DejaVu Sans"/>
        <family val="2"/>
      </rPr>
      <t xml:space="preserve">거버넌스</t>
    </r>
  </si>
  <si>
    <t xml:space="preserve">ISO 9001:2015</t>
  </si>
  <si>
    <r>
      <rPr>
        <i val="true"/>
        <sz val="9"/>
        <color rgb="FF555555"/>
        <rFont val="DejaVu Sans"/>
        <family val="2"/>
      </rPr>
      <t xml:space="preserve">※ 본 시트의 정확한 적용 범위</t>
    </r>
    <r>
      <rPr>
        <i val="true"/>
        <sz val="9"/>
        <color rgb="FF555555"/>
        <rFont val="DejaVu Sans"/>
        <family val="2"/>
        <charset val="1"/>
      </rPr>
      <t xml:space="preserve">·</t>
    </r>
    <r>
      <rPr>
        <i val="true"/>
        <sz val="9"/>
        <color rgb="FF555555"/>
        <rFont val="DejaVu Sans"/>
        <family val="2"/>
      </rPr>
      <t xml:space="preserve">조항은 정식 </t>
    </r>
    <r>
      <rPr>
        <i val="true"/>
        <sz val="9"/>
        <color rgb="FF555555"/>
        <rFont val="DejaVu Sans"/>
        <family val="2"/>
        <charset val="1"/>
      </rPr>
      <t xml:space="preserve">ISO </t>
    </r>
    <r>
      <rPr>
        <i val="true"/>
        <sz val="9"/>
        <color rgb="FF555555"/>
        <rFont val="DejaVu Sans"/>
        <family val="2"/>
      </rPr>
      <t xml:space="preserve">표준 본문</t>
    </r>
    <r>
      <rPr>
        <i val="true"/>
        <sz val="9"/>
        <color rgb="FF555555"/>
        <rFont val="DejaVu Sans"/>
        <family val="2"/>
        <charset val="1"/>
      </rPr>
      <t xml:space="preserve">(KSA </t>
    </r>
    <r>
      <rPr>
        <i val="true"/>
        <sz val="9"/>
        <color rgb="FF555555"/>
        <rFont val="DejaVu Sans"/>
        <family val="2"/>
      </rPr>
      <t xml:space="preserve">또는 </t>
    </r>
    <r>
      <rPr>
        <i val="true"/>
        <sz val="9"/>
        <color rgb="FF555555"/>
        <rFont val="DejaVu Sans"/>
        <family val="2"/>
        <charset val="1"/>
      </rPr>
      <t xml:space="preserve">ISO Store</t>
    </r>
    <r>
      <rPr>
        <i val="true"/>
        <sz val="9"/>
        <color rgb="FF555555"/>
        <rFont val="DejaVu Sans"/>
        <family val="2"/>
      </rPr>
      <t xml:space="preserve">에서 구매</t>
    </r>
    <r>
      <rPr>
        <i val="true"/>
        <sz val="9"/>
        <color rgb="FF555555"/>
        <rFont val="DejaVu Sans"/>
        <family val="2"/>
        <charset val="1"/>
      </rPr>
      <t xml:space="preserve">) </t>
    </r>
    <r>
      <rPr>
        <i val="true"/>
        <sz val="9"/>
        <color rgb="FF555555"/>
        <rFont val="DejaVu Sans"/>
        <family val="2"/>
      </rPr>
      <t xml:space="preserve">확인 필수</t>
    </r>
    <r>
      <rPr>
        <i val="true"/>
        <sz val="9"/>
        <color rgb="FF555555"/>
        <rFont val="DejaVu Sans"/>
        <family val="2"/>
        <charset val="1"/>
      </rPr>
      <t xml:space="preserve">.</t>
    </r>
  </si>
  <si>
    <r>
      <rPr>
        <i val="true"/>
        <sz val="9"/>
        <color rgb="FF555555"/>
        <rFont val="DejaVu Sans"/>
        <family val="2"/>
      </rPr>
      <t xml:space="preserve">※ 풀 카탈로그</t>
    </r>
    <r>
      <rPr>
        <i val="true"/>
        <sz val="9"/>
        <color rgb="FF555555"/>
        <rFont val="DejaVu Sans"/>
        <family val="2"/>
        <charset val="1"/>
      </rPr>
      <t xml:space="preserve">(</t>
    </r>
    <r>
      <rPr>
        <i val="true"/>
        <sz val="9"/>
        <color rgb="FF555555"/>
        <rFont val="DejaVu Sans"/>
        <family val="2"/>
      </rPr>
      <t xml:space="preserve">스코프 요약 </t>
    </r>
    <r>
      <rPr>
        <i val="true"/>
        <sz val="9"/>
        <color rgb="FF555555"/>
        <rFont val="DejaVu Sans"/>
        <family val="2"/>
        <charset val="1"/>
      </rPr>
      <t xml:space="preserve">/ </t>
    </r>
    <r>
      <rPr>
        <i val="true"/>
        <sz val="9"/>
        <color rgb="FF555555"/>
        <rFont val="DejaVu Sans"/>
        <family val="2"/>
      </rPr>
      <t xml:space="preserve">구매 경로 </t>
    </r>
    <r>
      <rPr>
        <i val="true"/>
        <sz val="9"/>
        <color rgb="FF555555"/>
        <rFont val="DejaVu Sans"/>
        <family val="2"/>
        <charset val="1"/>
      </rPr>
      <t xml:space="preserve">/ </t>
    </r>
    <r>
      <rPr>
        <i val="true"/>
        <sz val="9"/>
        <color rgb="FF555555"/>
        <rFont val="DejaVu Sans"/>
        <family val="2"/>
      </rPr>
      <t xml:space="preserve">갱신 추적</t>
    </r>
    <r>
      <rPr>
        <i val="true"/>
        <sz val="9"/>
        <color rgb="FF555555"/>
        <rFont val="DejaVu Sans"/>
        <family val="2"/>
        <charset val="1"/>
      </rPr>
      <t xml:space="preserve">)</t>
    </r>
    <r>
      <rPr>
        <i val="true"/>
        <sz val="9"/>
        <color rgb="FF555555"/>
        <rFont val="DejaVu Sans"/>
        <family val="2"/>
      </rPr>
      <t xml:space="preserve">는 </t>
    </r>
    <r>
      <rPr>
        <i val="true"/>
        <sz val="9"/>
        <color rgb="FF555555"/>
        <rFont val="DejaVu Sans"/>
        <family val="2"/>
        <charset val="1"/>
      </rPr>
      <t xml:space="preserve">ISO_</t>
    </r>
    <r>
      <rPr>
        <i val="true"/>
        <sz val="9"/>
        <color rgb="FF555555"/>
        <rFont val="DejaVu Sans"/>
        <family val="2"/>
      </rPr>
      <t xml:space="preserve">표준</t>
    </r>
    <r>
      <rPr>
        <i val="true"/>
        <sz val="9"/>
        <color rgb="FF555555"/>
        <rFont val="DejaVu Sans"/>
        <family val="2"/>
        <charset val="1"/>
      </rPr>
      <t xml:space="preserve">_</t>
    </r>
    <r>
      <rPr>
        <i val="true"/>
        <sz val="9"/>
        <color rgb="FF555555"/>
        <rFont val="DejaVu Sans"/>
        <family val="2"/>
      </rPr>
      <t xml:space="preserve">참조집</t>
    </r>
    <r>
      <rPr>
        <i val="true"/>
        <sz val="9"/>
        <color rgb="FF555555"/>
        <rFont val="DejaVu Sans"/>
        <family val="2"/>
        <charset val="1"/>
      </rPr>
      <t xml:space="preserve">.md </t>
    </r>
    <r>
      <rPr>
        <i val="true"/>
        <sz val="9"/>
        <color rgb="FF555555"/>
        <rFont val="DejaVu Sans"/>
        <family val="2"/>
      </rPr>
      <t xml:space="preserve">참조</t>
    </r>
    <r>
      <rPr>
        <i val="true"/>
        <sz val="9"/>
        <color rgb="FF555555"/>
        <rFont val="DejaVu Sans"/>
        <family val="2"/>
        <charset val="1"/>
      </rPr>
      <t xml:space="preserve">.</t>
    </r>
  </si>
  <si>
    <r>
      <rPr>
        <b val="true"/>
        <sz val="14"/>
        <color rgb="FFFFFFFF"/>
        <rFont val="DejaVu Sans"/>
        <family val="2"/>
      </rPr>
      <t xml:space="preserve">휠 속도 ↔ </t>
    </r>
    <r>
      <rPr>
        <b val="true"/>
        <sz val="14"/>
        <color rgb="FFFFFFFF"/>
        <rFont val="DejaVu Sans"/>
        <family val="2"/>
        <charset val="1"/>
      </rPr>
      <t xml:space="preserve">RPM ↔ </t>
    </r>
    <r>
      <rPr>
        <b val="true"/>
        <sz val="14"/>
        <color rgb="FFFFFFFF"/>
        <rFont val="DejaVu Sans"/>
        <family val="2"/>
      </rPr>
      <t xml:space="preserve">휠 직경 계산기</t>
    </r>
  </si>
  <si>
    <r>
      <rPr>
        <i val="true"/>
        <sz val="9"/>
        <color rgb="FF555555"/>
        <rFont val="DejaVu Sans"/>
        <family val="2"/>
      </rPr>
      <t xml:space="preserve">공식</t>
    </r>
    <r>
      <rPr>
        <i val="true"/>
        <sz val="9"/>
        <color rgb="FF555555"/>
        <rFont val="DejaVu Sans"/>
        <family val="2"/>
        <charset val="1"/>
      </rPr>
      <t xml:space="preserve">: V[m/s] = π × D[mm] × N[RPM] / 60,000</t>
    </r>
  </si>
  <si>
    <r>
      <rPr>
        <b val="true"/>
        <sz val="11"/>
        <color rgb="FFFFFFFF"/>
        <rFont val="DejaVu Sans"/>
        <family val="2"/>
      </rPr>
      <t xml:space="preserve">■ 옵션 </t>
    </r>
    <r>
      <rPr>
        <b val="true"/>
        <sz val="11"/>
        <color rgb="FFFFFFFF"/>
        <rFont val="DejaVu Sans"/>
        <family val="2"/>
        <charset val="1"/>
      </rPr>
      <t xml:space="preserve">1 — </t>
    </r>
    <r>
      <rPr>
        <b val="true"/>
        <sz val="11"/>
        <color rgb="FFFFFFFF"/>
        <rFont val="DejaVu Sans"/>
        <family val="2"/>
      </rPr>
      <t xml:space="preserve">휠 직경과 </t>
    </r>
    <r>
      <rPr>
        <b val="true"/>
        <sz val="11"/>
        <color rgb="FFFFFFFF"/>
        <rFont val="DejaVu Sans"/>
        <family val="2"/>
        <charset val="1"/>
      </rPr>
      <t xml:space="preserve">RPM</t>
    </r>
    <r>
      <rPr>
        <b val="true"/>
        <sz val="11"/>
        <color rgb="FFFFFFFF"/>
        <rFont val="DejaVu Sans"/>
        <family val="2"/>
      </rPr>
      <t xml:space="preserve">을 알 때 원주속도 </t>
    </r>
    <r>
      <rPr>
        <b val="true"/>
        <sz val="11"/>
        <color rgb="FFFFFFFF"/>
        <rFont val="DejaVu Sans"/>
        <family val="2"/>
        <charset val="1"/>
      </rPr>
      <t xml:space="preserve">V </t>
    </r>
    <r>
      <rPr>
        <b val="true"/>
        <sz val="11"/>
        <color rgb="FFFFFFFF"/>
        <rFont val="DejaVu Sans"/>
        <family val="2"/>
      </rPr>
      <t xml:space="preserve">계산</t>
    </r>
  </si>
  <si>
    <r>
      <rPr>
        <b val="true"/>
        <sz val="10"/>
        <rFont val="DejaVu Sans"/>
        <family val="2"/>
      </rPr>
      <t xml:space="preserve">휠 직경 </t>
    </r>
    <r>
      <rPr>
        <b val="true"/>
        <sz val="10"/>
        <rFont val="DejaVu Sans"/>
        <family val="2"/>
        <charset val="1"/>
      </rPr>
      <t xml:space="preserve">D (mm)</t>
    </r>
  </si>
  <si>
    <r>
      <rPr>
        <b val="true"/>
        <sz val="10"/>
        <rFont val="DejaVu Sans"/>
        <family val="2"/>
      </rPr>
      <t xml:space="preserve">휠 </t>
    </r>
    <r>
      <rPr>
        <b val="true"/>
        <sz val="10"/>
        <rFont val="DejaVu Sans"/>
        <family val="2"/>
        <charset val="1"/>
      </rPr>
      <t xml:space="preserve">RPM</t>
    </r>
  </si>
  <si>
    <r>
      <rPr>
        <b val="true"/>
        <sz val="10"/>
        <rFont val="DejaVu Sans"/>
        <family val="2"/>
      </rPr>
      <t xml:space="preserve">→ 원주속도 </t>
    </r>
    <r>
      <rPr>
        <b val="true"/>
        <sz val="10"/>
        <rFont val="DejaVu Sans"/>
        <family val="2"/>
        <charset val="1"/>
      </rPr>
      <t xml:space="preserve">V (m/s)</t>
    </r>
  </si>
  <si>
    <r>
      <rPr>
        <b val="true"/>
        <sz val="11"/>
        <color rgb="FFFFFFFF"/>
        <rFont val="DejaVu Sans"/>
        <family val="2"/>
      </rPr>
      <t xml:space="preserve">■ 옵션 </t>
    </r>
    <r>
      <rPr>
        <b val="true"/>
        <sz val="11"/>
        <color rgb="FFFFFFFF"/>
        <rFont val="DejaVu Sans"/>
        <family val="2"/>
        <charset val="1"/>
      </rPr>
      <t xml:space="preserve">2 — </t>
    </r>
    <r>
      <rPr>
        <b val="true"/>
        <sz val="11"/>
        <color rgb="FFFFFFFF"/>
        <rFont val="DejaVu Sans"/>
        <family val="2"/>
      </rPr>
      <t xml:space="preserve">휠 직경과 원주속도 </t>
    </r>
    <r>
      <rPr>
        <b val="true"/>
        <sz val="11"/>
        <color rgb="FFFFFFFF"/>
        <rFont val="DejaVu Sans"/>
        <family val="2"/>
        <charset val="1"/>
      </rPr>
      <t xml:space="preserve">V</t>
    </r>
    <r>
      <rPr>
        <b val="true"/>
        <sz val="11"/>
        <color rgb="FFFFFFFF"/>
        <rFont val="DejaVu Sans"/>
        <family val="2"/>
      </rPr>
      <t xml:space="preserve">를 알 때 </t>
    </r>
    <r>
      <rPr>
        <b val="true"/>
        <sz val="11"/>
        <color rgb="FFFFFFFF"/>
        <rFont val="DejaVu Sans"/>
        <family val="2"/>
        <charset val="1"/>
      </rPr>
      <t xml:space="preserve">RPM </t>
    </r>
    <r>
      <rPr>
        <b val="true"/>
        <sz val="11"/>
        <color rgb="FFFFFFFF"/>
        <rFont val="DejaVu Sans"/>
        <family val="2"/>
      </rPr>
      <t xml:space="preserve">계산</t>
    </r>
  </si>
  <si>
    <r>
      <rPr>
        <b val="true"/>
        <sz val="10"/>
        <rFont val="DejaVu Sans"/>
        <family val="2"/>
      </rPr>
      <t xml:space="preserve">원주속도 </t>
    </r>
    <r>
      <rPr>
        <b val="true"/>
        <sz val="10"/>
        <rFont val="DejaVu Sans"/>
        <family val="2"/>
        <charset val="1"/>
      </rPr>
      <t xml:space="preserve">V (m/s)</t>
    </r>
  </si>
  <si>
    <r>
      <rPr>
        <b val="true"/>
        <sz val="10"/>
        <rFont val="DejaVu Sans"/>
        <family val="2"/>
      </rPr>
      <t xml:space="preserve">→ 권장 </t>
    </r>
    <r>
      <rPr>
        <b val="true"/>
        <sz val="10"/>
        <rFont val="DejaVu Sans"/>
        <family val="2"/>
        <charset val="1"/>
      </rPr>
      <t xml:space="preserve">RPM</t>
    </r>
  </si>
  <si>
    <r>
      <rPr>
        <b val="true"/>
        <sz val="11"/>
        <color rgb="FFFFFFFF"/>
        <rFont val="DejaVu Sans"/>
        <family val="2"/>
      </rPr>
      <t xml:space="preserve">■ 옵션 </t>
    </r>
    <r>
      <rPr>
        <b val="true"/>
        <sz val="11"/>
        <color rgb="FFFFFFFF"/>
        <rFont val="DejaVu Sans"/>
        <family val="2"/>
        <charset val="1"/>
      </rPr>
      <t xml:space="preserve">3 — RPM</t>
    </r>
    <r>
      <rPr>
        <b val="true"/>
        <sz val="11"/>
        <color rgb="FFFFFFFF"/>
        <rFont val="DejaVu Sans"/>
        <family val="2"/>
      </rPr>
      <t xml:space="preserve">과 원주속도 </t>
    </r>
    <r>
      <rPr>
        <b val="true"/>
        <sz val="11"/>
        <color rgb="FFFFFFFF"/>
        <rFont val="DejaVu Sans"/>
        <family val="2"/>
        <charset val="1"/>
      </rPr>
      <t xml:space="preserve">V</t>
    </r>
    <r>
      <rPr>
        <b val="true"/>
        <sz val="11"/>
        <color rgb="FFFFFFFF"/>
        <rFont val="DejaVu Sans"/>
        <family val="2"/>
      </rPr>
      <t xml:space="preserve">를 알 때 휠 직경 </t>
    </r>
    <r>
      <rPr>
        <b val="true"/>
        <sz val="11"/>
        <color rgb="FFFFFFFF"/>
        <rFont val="DejaVu Sans"/>
        <family val="2"/>
        <charset val="1"/>
      </rPr>
      <t xml:space="preserve">D </t>
    </r>
    <r>
      <rPr>
        <b val="true"/>
        <sz val="11"/>
        <color rgb="FFFFFFFF"/>
        <rFont val="DejaVu Sans"/>
        <family val="2"/>
      </rPr>
      <t xml:space="preserve">계산</t>
    </r>
  </si>
  <si>
    <r>
      <rPr>
        <b val="true"/>
        <sz val="10"/>
        <rFont val="DejaVu Sans"/>
        <family val="2"/>
      </rPr>
      <t xml:space="preserve">→ 추정 휠 직경 </t>
    </r>
    <r>
      <rPr>
        <b val="true"/>
        <sz val="10"/>
        <rFont val="DejaVu Sans"/>
        <family val="2"/>
        <charset val="1"/>
      </rPr>
      <t xml:space="preserve">D (mm)</t>
    </r>
  </si>
  <si>
    <r>
      <rPr>
        <b val="true"/>
        <sz val="11"/>
        <color rgb="FFFFFFFF"/>
        <rFont val="Arial"/>
        <family val="0"/>
        <charset val="1"/>
      </rPr>
      <t xml:space="preserve">■ Resin bond diamond × </t>
    </r>
    <r>
      <rPr>
        <b val="true"/>
        <sz val="11"/>
        <color rgb="FFFFFFFF"/>
        <rFont val="DejaVu Sans"/>
        <family val="2"/>
      </rPr>
      <t xml:space="preserve">초경 가공 권장 원주속도</t>
    </r>
  </si>
  <si>
    <r>
      <rPr>
        <b val="true"/>
        <sz val="11"/>
        <color rgb="FFFFFFFF"/>
        <rFont val="Arial"/>
        <family val="0"/>
        <charset val="1"/>
      </rPr>
      <t xml:space="preserve">Vc </t>
    </r>
    <r>
      <rPr>
        <b val="true"/>
        <sz val="11"/>
        <color rgb="FFFFFFFF"/>
        <rFont val="DejaVu Sans"/>
        <family val="2"/>
      </rPr>
      <t xml:space="preserve">영역</t>
    </r>
  </si>
  <si>
    <r>
      <rPr>
        <b val="true"/>
        <sz val="11"/>
        <color rgb="FFFFFFFF"/>
        <rFont val="DejaVu Sans"/>
        <family val="2"/>
      </rPr>
      <t xml:space="preserve">값 </t>
    </r>
    <r>
      <rPr>
        <b val="true"/>
        <sz val="11"/>
        <color rgb="FFFFFFFF"/>
        <rFont val="DejaVu Sans"/>
        <family val="2"/>
        <charset val="1"/>
      </rPr>
      <t xml:space="preserve">(m/s)</t>
    </r>
  </si>
  <si>
    <t xml:space="preserve">특성</t>
  </si>
  <si>
    <t xml:space="preserve">절대 금지</t>
  </si>
  <si>
    <t xml:space="preserve">&lt; 20</t>
  </si>
  <si>
    <r>
      <rPr>
        <sz val="10"/>
        <rFont val="Arial"/>
        <family val="0"/>
        <charset val="1"/>
      </rPr>
      <t xml:space="preserve">rubbing/plowing </t>
    </r>
    <r>
      <rPr>
        <sz val="10"/>
        <rFont val="DejaVu Sans"/>
        <family val="2"/>
      </rPr>
      <t xml:space="preserve">비중 ↑ → </t>
    </r>
    <r>
      <rPr>
        <sz val="10"/>
        <rFont val="Arial"/>
        <family val="0"/>
        <charset val="1"/>
      </rPr>
      <t xml:space="preserve">glazing → </t>
    </r>
    <r>
      <rPr>
        <sz val="10"/>
        <rFont val="DejaVu Sans"/>
        <family val="2"/>
      </rPr>
      <t xml:space="preserve">버닝</t>
    </r>
  </si>
  <si>
    <t xml:space="preserve">위험 경계</t>
  </si>
  <si>
    <t xml:space="preserve">20 – 25</t>
  </si>
  <si>
    <r>
      <rPr>
        <sz val="10"/>
        <rFont val="DejaVu Sans"/>
        <family val="2"/>
      </rPr>
      <t xml:space="preserve">단시간만 가능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모니터링 필수</t>
    </r>
  </si>
  <si>
    <t xml:space="preserve">권장 최저</t>
  </si>
  <si>
    <t xml:space="preserve">25</t>
  </si>
  <si>
    <t xml:space="preserve">현장 검증 안정 시작점</t>
  </si>
  <si>
    <r>
      <rPr>
        <sz val="10"/>
        <rFont val="DejaVu Sans"/>
        <family val="2"/>
      </rPr>
      <t xml:space="preserve">권장 </t>
    </r>
    <r>
      <rPr>
        <sz val="10"/>
        <rFont val="DejaVu Sans"/>
        <family val="2"/>
        <charset val="1"/>
      </rPr>
      <t xml:space="preserve">sweet spot</t>
    </r>
  </si>
  <si>
    <t xml:space="preserve">30</t>
  </si>
  <si>
    <r>
      <rPr>
        <sz val="10"/>
        <rFont val="Arial"/>
        <family val="0"/>
        <charset val="1"/>
      </rPr>
      <t xml:space="preserve">Marinescu et al. (2016) </t>
    </r>
    <r>
      <rPr>
        <sz val="10"/>
        <rFont val="DejaVu Sans"/>
        <family val="2"/>
      </rPr>
      <t xml:space="preserve">추천 중심</t>
    </r>
  </si>
  <si>
    <t xml:space="preserve">권장 상한</t>
  </si>
  <si>
    <t xml:space="preserve">35</t>
  </si>
  <si>
    <r>
      <rPr>
        <sz val="10"/>
        <rFont val="DejaVu Sans"/>
        <family val="2"/>
      </rPr>
      <t xml:space="preserve">고생산 영역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휠 마모 가속</t>
    </r>
  </si>
  <si>
    <r>
      <rPr>
        <sz val="10"/>
        <rFont val="Arial"/>
        <family val="0"/>
        <charset val="1"/>
      </rPr>
      <t xml:space="preserve">Resin </t>
    </r>
    <r>
      <rPr>
        <sz val="10"/>
        <rFont val="DejaVu Sans"/>
        <family val="2"/>
      </rPr>
      <t xml:space="preserve">한계</t>
    </r>
  </si>
  <si>
    <t xml:space="preserve">&gt; 40</t>
  </si>
  <si>
    <r>
      <rPr>
        <sz val="10"/>
        <rFont val="DejaVu Sans"/>
        <family val="2"/>
      </rPr>
      <t xml:space="preserve">휠 정격</t>
    </r>
    <r>
      <rPr>
        <sz val="10"/>
        <rFont val="DejaVu Sans"/>
        <family val="2"/>
        <charset val="1"/>
      </rPr>
      <t xml:space="preserve">(Vmax) </t>
    </r>
    <r>
      <rPr>
        <sz val="10"/>
        <rFont val="DejaVu Sans"/>
        <family val="2"/>
      </rPr>
      <t xml:space="preserve">직접 확인 필수</t>
    </r>
  </si>
  <si>
    <r>
      <rPr>
        <b val="true"/>
        <sz val="14"/>
        <color rgb="FFFFFFFF"/>
        <rFont val="DejaVu Sans"/>
        <family val="2"/>
      </rPr>
      <t xml:space="preserve">쿨런트 노즐 압력 </t>
    </r>
    <r>
      <rPr>
        <b val="true"/>
        <sz val="14"/>
        <color rgb="FFFFFFFF"/>
        <rFont val="DejaVu Sans"/>
        <family val="2"/>
        <charset val="1"/>
      </rPr>
      <t xml:space="preserve">/ </t>
    </r>
    <r>
      <rPr>
        <b val="true"/>
        <sz val="14"/>
        <color rgb="FFFFFFFF"/>
        <rFont val="DejaVu Sans"/>
        <family val="2"/>
      </rPr>
      <t xml:space="preserve">유량 </t>
    </r>
    <r>
      <rPr>
        <b val="true"/>
        <sz val="14"/>
        <color rgb="FFFFFFFF"/>
        <rFont val="DejaVu Sans"/>
        <family val="2"/>
        <charset val="1"/>
      </rPr>
      <t xml:space="preserve">/ </t>
    </r>
    <r>
      <rPr>
        <b val="true"/>
        <sz val="14"/>
        <color rgb="FFFFFFFF"/>
        <rFont val="DejaVu Sans"/>
        <family val="2"/>
      </rPr>
      <t xml:space="preserve">펌프 계산기</t>
    </r>
  </si>
  <si>
    <r>
      <rPr>
        <i val="true"/>
        <sz val="9"/>
        <color rgb="FF555555"/>
        <rFont val="DejaVu Sans"/>
        <family val="2"/>
      </rPr>
      <t xml:space="preserve">출처</t>
    </r>
    <r>
      <rPr>
        <i val="true"/>
        <sz val="9"/>
        <color rgb="FF555555"/>
        <rFont val="DejaVu Sans"/>
        <family val="2"/>
        <charset val="1"/>
      </rPr>
      <t xml:space="preserve">: Webster, J. (2008) 'Optimum coolant nozzle delivery in grinding' / The Grinding Doc</t>
    </r>
  </si>
  <si>
    <t xml:space="preserve">■ 입력 — 휠 원주속도와 노즐 사양</t>
  </si>
  <si>
    <r>
      <rPr>
        <b val="true"/>
        <sz val="10"/>
        <rFont val="DejaVu Sans"/>
        <family val="2"/>
      </rPr>
      <t xml:space="preserve">휠 원주속도 </t>
    </r>
    <r>
      <rPr>
        <b val="true"/>
        <sz val="10"/>
        <rFont val="DejaVu Sans"/>
        <family val="2"/>
        <charset val="1"/>
      </rPr>
      <t xml:space="preserve">V (m/s)</t>
    </r>
  </si>
  <si>
    <r>
      <rPr>
        <b val="true"/>
        <sz val="10"/>
        <rFont val="DejaVu Sans"/>
        <family val="2"/>
      </rPr>
      <t xml:space="preserve">원형 노즐 직경 </t>
    </r>
    <r>
      <rPr>
        <b val="true"/>
        <sz val="10"/>
        <rFont val="DejaVu Sans"/>
        <family val="2"/>
        <charset val="1"/>
      </rPr>
      <t xml:space="preserve">(mm)</t>
    </r>
  </si>
  <si>
    <t xml:space="preserve">노즐 개수</t>
  </si>
  <si>
    <r>
      <rPr>
        <b val="true"/>
        <sz val="11"/>
        <color rgb="FFFFFFFF"/>
        <rFont val="DejaVu Sans"/>
        <family val="2"/>
      </rPr>
      <t xml:space="preserve">■ 출력 — 권장 노즐 압력 </t>
    </r>
    <r>
      <rPr>
        <b val="true"/>
        <sz val="11"/>
        <color rgb="FFFFFFFF"/>
        <rFont val="DejaVu Sans"/>
        <family val="2"/>
        <charset val="1"/>
      </rPr>
      <t xml:space="preserve">(Webster </t>
    </r>
    <r>
      <rPr>
        <b val="true"/>
        <sz val="11"/>
        <color rgb="FFFFFFFF"/>
        <rFont val="DejaVu Sans"/>
        <family val="2"/>
      </rPr>
      <t xml:space="preserve">기준</t>
    </r>
    <r>
      <rPr>
        <b val="true"/>
        <sz val="11"/>
        <color rgb="FFFFFFFF"/>
        <rFont val="DejaVu Sans"/>
        <family val="2"/>
        <charset val="1"/>
      </rPr>
      <t xml:space="preserve">)</t>
    </r>
  </si>
  <si>
    <r>
      <rPr>
        <b val="true"/>
        <sz val="10"/>
        <rFont val="DejaVu Sans"/>
        <family val="2"/>
      </rPr>
      <t xml:space="preserve">수계 쿨런트 권장 압력 </t>
    </r>
    <r>
      <rPr>
        <b val="true"/>
        <sz val="10"/>
        <rFont val="DejaVu Sans"/>
        <family val="2"/>
        <charset val="1"/>
      </rPr>
      <t xml:space="preserve">(bar)</t>
    </r>
  </si>
  <si>
    <r>
      <rPr>
        <b val="true"/>
        <sz val="10"/>
        <rFont val="DejaVu Sans"/>
        <family val="2"/>
      </rPr>
      <t xml:space="preserve">수계 쿨런트 권장 압력 </t>
    </r>
    <r>
      <rPr>
        <b val="true"/>
        <sz val="10"/>
        <rFont val="DejaVu Sans"/>
        <family val="2"/>
        <charset val="1"/>
      </rPr>
      <t xml:space="preserve">(psi)</t>
    </r>
  </si>
  <si>
    <r>
      <rPr>
        <b val="true"/>
        <sz val="10"/>
        <rFont val="DejaVu Sans"/>
        <family val="2"/>
      </rPr>
      <t xml:space="preserve">유계 쿨런트 권장 압력 </t>
    </r>
    <r>
      <rPr>
        <b val="true"/>
        <sz val="10"/>
        <rFont val="DejaVu Sans"/>
        <family val="2"/>
        <charset val="1"/>
      </rPr>
      <t xml:space="preserve">(bar)</t>
    </r>
  </si>
  <si>
    <r>
      <rPr>
        <b val="true"/>
        <sz val="10"/>
        <rFont val="DejaVu Sans"/>
        <family val="2"/>
      </rPr>
      <t xml:space="preserve">유계 쿨런트 권장 압력 </t>
    </r>
    <r>
      <rPr>
        <b val="true"/>
        <sz val="10"/>
        <rFont val="DejaVu Sans"/>
        <family val="2"/>
        <charset val="1"/>
      </rPr>
      <t xml:space="preserve">(psi)</t>
    </r>
  </si>
  <si>
    <r>
      <rPr>
        <b val="true"/>
        <sz val="11"/>
        <color rgb="FFFFFFFF"/>
        <rFont val="DejaVu Sans"/>
        <family val="2"/>
      </rPr>
      <t xml:space="preserve">■ 출력 — 노즐 면적 </t>
    </r>
    <r>
      <rPr>
        <b val="true"/>
        <sz val="11"/>
        <color rgb="FFFFFFFF"/>
        <rFont val="DejaVu Sans"/>
        <family val="2"/>
        <charset val="1"/>
      </rPr>
      <t xml:space="preserve">/ </t>
    </r>
    <r>
      <rPr>
        <b val="true"/>
        <sz val="11"/>
        <color rgb="FFFFFFFF"/>
        <rFont val="DejaVu Sans"/>
        <family val="2"/>
      </rPr>
      <t xml:space="preserve">유량 </t>
    </r>
    <r>
      <rPr>
        <b val="true"/>
        <sz val="11"/>
        <color rgb="FFFFFFFF"/>
        <rFont val="DejaVu Sans"/>
        <family val="2"/>
        <charset val="1"/>
      </rPr>
      <t xml:space="preserve">/ </t>
    </r>
    <r>
      <rPr>
        <b val="true"/>
        <sz val="11"/>
        <color rgb="FFFFFFFF"/>
        <rFont val="DejaVu Sans"/>
        <family val="2"/>
      </rPr>
      <t xml:space="preserve">펌프</t>
    </r>
  </si>
  <si>
    <r>
      <rPr>
        <b val="true"/>
        <sz val="10"/>
        <rFont val="DejaVu Sans"/>
        <family val="2"/>
      </rPr>
      <t xml:space="preserve">노즐 </t>
    </r>
    <r>
      <rPr>
        <b val="true"/>
        <sz val="10"/>
        <rFont val="DejaVu Sans"/>
        <family val="2"/>
        <charset val="1"/>
      </rPr>
      <t xml:space="preserve">1</t>
    </r>
    <r>
      <rPr>
        <b val="true"/>
        <sz val="10"/>
        <rFont val="DejaVu Sans"/>
        <family val="2"/>
      </rPr>
      <t xml:space="preserve">개당 단면적 </t>
    </r>
    <r>
      <rPr>
        <b val="true"/>
        <sz val="10"/>
        <rFont val="DejaVu Sans"/>
        <family val="2"/>
        <charset val="1"/>
      </rPr>
      <t xml:space="preserve">(mm²)</t>
    </r>
  </si>
  <si>
    <r>
      <rPr>
        <b val="true"/>
        <sz val="10"/>
        <rFont val="DejaVu Sans"/>
        <family val="2"/>
      </rPr>
      <t xml:space="preserve">총 노즐 면적 </t>
    </r>
    <r>
      <rPr>
        <b val="true"/>
        <sz val="10"/>
        <rFont val="DejaVu Sans"/>
        <family val="2"/>
        <charset val="1"/>
      </rPr>
      <t xml:space="preserve">(mm²)</t>
    </r>
  </si>
  <si>
    <r>
      <rPr>
        <b val="true"/>
        <sz val="10"/>
        <rFont val="DejaVu Sans"/>
        <family val="2"/>
      </rPr>
      <t xml:space="preserve">총 유량 </t>
    </r>
    <r>
      <rPr>
        <b val="true"/>
        <sz val="10"/>
        <rFont val="DejaVu Sans"/>
        <family val="2"/>
        <charset val="1"/>
      </rPr>
      <t xml:space="preserve">(L/min)</t>
    </r>
  </si>
  <si>
    <r>
      <rPr>
        <b val="true"/>
        <sz val="10"/>
        <rFont val="DejaVu Sans"/>
        <family val="2"/>
      </rPr>
      <t xml:space="preserve">필요 펌프 동력 </t>
    </r>
    <r>
      <rPr>
        <b val="true"/>
        <sz val="10"/>
        <rFont val="DejaVu Sans"/>
        <family val="2"/>
        <charset val="1"/>
      </rPr>
      <t xml:space="preserve">(kW, </t>
    </r>
    <r>
      <rPr>
        <b val="true"/>
        <sz val="10"/>
        <rFont val="DejaVu Sans"/>
        <family val="2"/>
      </rPr>
      <t xml:space="preserve">추정</t>
    </r>
    <r>
      <rPr>
        <b val="true"/>
        <sz val="10"/>
        <rFont val="DejaVu Sans"/>
        <family val="2"/>
        <charset val="1"/>
      </rPr>
      <t xml:space="preserve">)</t>
    </r>
  </si>
  <si>
    <t xml:space="preserve">■ 참고</t>
  </si>
  <si>
    <r>
      <rPr>
        <i val="true"/>
        <sz val="9"/>
        <color rgb="FF555555"/>
        <rFont val="Arial"/>
        <family val="0"/>
        <charset val="1"/>
      </rPr>
      <t xml:space="preserve">Webster nozzle </t>
    </r>
    <r>
      <rPr>
        <i val="true"/>
        <sz val="9"/>
        <color rgb="FF555555"/>
        <rFont val="DejaVu Sans"/>
        <family val="2"/>
      </rPr>
      <t xml:space="preserve">표준 직경</t>
    </r>
    <r>
      <rPr>
        <i val="true"/>
        <sz val="9"/>
        <color rgb="FF555555"/>
        <rFont val="Arial"/>
        <family val="0"/>
        <charset val="1"/>
      </rPr>
      <t xml:space="preserve">: 3.125 mm (= 1/8 </t>
    </r>
    <r>
      <rPr>
        <i val="true"/>
        <sz val="9"/>
        <color rgb="FF555555"/>
        <rFont val="DejaVu Sans"/>
        <family val="2"/>
      </rPr>
      <t xml:space="preserve">인치</t>
    </r>
    <r>
      <rPr>
        <i val="true"/>
        <sz val="9"/>
        <color rgb="FF555555"/>
        <rFont val="Arial"/>
        <family val="0"/>
        <charset val="1"/>
      </rPr>
      <t xml:space="preserve">)</t>
    </r>
  </si>
  <si>
    <r>
      <rPr>
        <i val="true"/>
        <sz val="9"/>
        <color rgb="FF555555"/>
        <rFont val="DejaVu Sans"/>
        <family val="2"/>
      </rPr>
      <t xml:space="preserve">수계 압력 공식</t>
    </r>
    <r>
      <rPr>
        <i val="true"/>
        <sz val="9"/>
        <color rgb="FF555555"/>
        <rFont val="DejaVu Sans"/>
        <family val="2"/>
        <charset val="1"/>
      </rPr>
      <t xml:space="preserve">: P[bar] ≈ V²/200 — </t>
    </r>
    <r>
      <rPr>
        <i val="true"/>
        <sz val="9"/>
        <color rgb="FF555555"/>
        <rFont val="DejaVu Sans"/>
        <family val="2"/>
      </rPr>
      <t xml:space="preserve">노즐에서 휠 원주속도와 같은 </t>
    </r>
    <r>
      <rPr>
        <i val="true"/>
        <sz val="9"/>
        <color rgb="FF555555"/>
        <rFont val="DejaVu Sans"/>
        <family val="2"/>
        <charset val="1"/>
      </rPr>
      <t xml:space="preserve">jet velocity</t>
    </r>
    <r>
      <rPr>
        <i val="true"/>
        <sz val="9"/>
        <color rgb="FF555555"/>
        <rFont val="DejaVu Sans"/>
        <family val="2"/>
      </rPr>
      <t xml:space="preserve">를 만드는 압력</t>
    </r>
  </si>
  <si>
    <r>
      <rPr>
        <i val="true"/>
        <sz val="9"/>
        <color rgb="FF555555"/>
        <rFont val="DejaVu Sans"/>
        <family val="2"/>
      </rPr>
      <t xml:space="preserve">유계는 점성↑ 으로 약 </t>
    </r>
    <r>
      <rPr>
        <i val="true"/>
        <sz val="9"/>
        <color rgb="FF555555"/>
        <rFont val="DejaVu Sans"/>
        <family val="2"/>
        <charset val="1"/>
      </rPr>
      <t xml:space="preserve">90% </t>
    </r>
    <r>
      <rPr>
        <i val="true"/>
        <sz val="9"/>
        <color rgb="FF555555"/>
        <rFont val="DejaVu Sans"/>
        <family val="2"/>
      </rPr>
      <t xml:space="preserve">적용</t>
    </r>
    <r>
      <rPr>
        <i val="true"/>
        <sz val="9"/>
        <color rgb="FF555555"/>
        <rFont val="DejaVu Sans"/>
        <family val="2"/>
        <charset val="1"/>
      </rPr>
      <t xml:space="preserve">. </t>
    </r>
    <r>
      <rPr>
        <i val="true"/>
        <sz val="9"/>
        <color rgb="FF555555"/>
        <rFont val="DejaVu Sans"/>
        <family val="2"/>
      </rPr>
      <t xml:space="preserve">실측 시 </t>
    </r>
    <r>
      <rPr>
        <i val="true"/>
        <sz val="9"/>
        <color rgb="FF555555"/>
        <rFont val="DejaVu Sans"/>
        <family val="2"/>
        <charset val="1"/>
      </rPr>
      <t xml:space="preserve">±20% </t>
    </r>
    <r>
      <rPr>
        <i val="true"/>
        <sz val="9"/>
        <color rgb="FF555555"/>
        <rFont val="DejaVu Sans"/>
        <family val="2"/>
      </rPr>
      <t xml:space="preserve">편차 가능</t>
    </r>
    <r>
      <rPr>
        <i val="true"/>
        <sz val="9"/>
        <color rgb="FF555555"/>
        <rFont val="DejaVu Sans"/>
        <family val="2"/>
        <charset val="1"/>
      </rPr>
      <t xml:space="preserve">.</t>
    </r>
  </si>
  <si>
    <r>
      <rPr>
        <b val="true"/>
        <sz val="14"/>
        <color rgb="FFFFFFFF"/>
        <rFont val="DejaVu Sans"/>
        <family val="2"/>
      </rPr>
      <t xml:space="preserve">절삭 강도 </t>
    </r>
    <r>
      <rPr>
        <b val="true"/>
        <sz val="14"/>
        <color rgb="FFFFFFFF"/>
        <rFont val="DejaVu Sans"/>
        <family val="2"/>
        <charset val="1"/>
      </rPr>
      <t xml:space="preserve">/ MRR / </t>
    </r>
    <r>
      <rPr>
        <b val="true"/>
        <sz val="14"/>
        <color rgb="FFFFFFFF"/>
        <rFont val="DejaVu Sans"/>
        <family val="2"/>
      </rPr>
      <t xml:space="preserve">등가 칩 두께</t>
    </r>
    <r>
      <rPr>
        <b val="true"/>
        <sz val="14"/>
        <color rgb="FFFFFFFF"/>
        <rFont val="DejaVu Sans"/>
        <family val="2"/>
        <charset val="1"/>
      </rPr>
      <t xml:space="preserve">(h_eq) </t>
    </r>
    <r>
      <rPr>
        <b val="true"/>
        <sz val="14"/>
        <color rgb="FFFFFFFF"/>
        <rFont val="DejaVu Sans"/>
        <family val="2"/>
      </rPr>
      <t xml:space="preserve">계산기</t>
    </r>
  </si>
  <si>
    <r>
      <rPr>
        <i val="true"/>
        <sz val="9"/>
        <color rgb="FF555555"/>
        <rFont val="DejaVu Sans"/>
        <family val="2"/>
      </rPr>
      <t xml:space="preserve">출처</t>
    </r>
    <r>
      <rPr>
        <i val="true"/>
        <sz val="9"/>
        <color rgb="FF555555"/>
        <rFont val="DejaVu Sans"/>
        <family val="2"/>
        <charset val="1"/>
      </rPr>
      <t xml:space="preserve">: Malkin &amp; Guo (2008) Grinding Technology / The Grinding Doc Aggressiveness </t>
    </r>
    <r>
      <rPr>
        <i val="true"/>
        <sz val="9"/>
        <color rgb="FF555555"/>
        <rFont val="DejaVu Sans"/>
        <family val="2"/>
      </rPr>
      <t xml:space="preserve">지수</t>
    </r>
  </si>
  <si>
    <t xml:space="preserve">■ 입력</t>
  </si>
  <si>
    <r>
      <rPr>
        <b val="true"/>
        <sz val="10"/>
        <rFont val="DejaVu Sans"/>
        <family val="2"/>
      </rPr>
      <t xml:space="preserve">절삭 깊이 </t>
    </r>
    <r>
      <rPr>
        <b val="true"/>
        <sz val="10"/>
        <rFont val="DejaVu Sans"/>
        <family val="2"/>
        <charset val="1"/>
      </rPr>
      <t xml:space="preserve">DOC (mm)</t>
    </r>
  </si>
  <si>
    <r>
      <rPr>
        <b val="true"/>
        <sz val="10"/>
        <rFont val="DejaVu Sans"/>
        <family val="2"/>
      </rPr>
      <t xml:space="preserve">테이블 속도 </t>
    </r>
    <r>
      <rPr>
        <b val="true"/>
        <sz val="10"/>
        <rFont val="DejaVu Sans"/>
        <family val="2"/>
        <charset val="1"/>
      </rPr>
      <t xml:space="preserve">vw (mm/s)</t>
    </r>
  </si>
  <si>
    <t xml:space="preserve">■ 출력</t>
  </si>
  <si>
    <t xml:space="preserve">MRR (mm³/mm/s)</t>
  </si>
  <si>
    <t xml:space="preserve">MRR = DOC × vw</t>
  </si>
  <si>
    <r>
      <rPr>
        <b val="true"/>
        <sz val="10"/>
        <rFont val="Arial"/>
        <family val="0"/>
        <charset val="1"/>
      </rPr>
      <t xml:space="preserve">h_eq </t>
    </r>
    <r>
      <rPr>
        <b val="true"/>
        <sz val="10"/>
        <rFont val="DejaVu Sans"/>
        <family val="2"/>
      </rPr>
      <t xml:space="preserve">등가 칩 두께 </t>
    </r>
    <r>
      <rPr>
        <b val="true"/>
        <sz val="10"/>
        <rFont val="Arial"/>
        <family val="0"/>
        <charset val="1"/>
      </rPr>
      <t xml:space="preserve">(μm)</t>
    </r>
  </si>
  <si>
    <r>
      <rPr>
        <i val="true"/>
        <sz val="9"/>
        <color rgb="FF555555"/>
        <rFont val="Arial"/>
        <family val="0"/>
        <charset val="1"/>
      </rPr>
      <t xml:space="preserve">h_eq = DOC × vw / V (Malkin </t>
    </r>
    <r>
      <rPr>
        <i val="true"/>
        <sz val="9"/>
        <color rgb="FF555555"/>
        <rFont val="DejaVu Sans"/>
        <family val="2"/>
      </rPr>
      <t xml:space="preserve">정의</t>
    </r>
    <r>
      <rPr>
        <i val="true"/>
        <sz val="9"/>
        <color rgb="FF555555"/>
        <rFont val="Arial"/>
        <family val="0"/>
        <charset val="1"/>
      </rPr>
      <t xml:space="preserve">)</t>
    </r>
  </si>
  <si>
    <r>
      <rPr>
        <b val="true"/>
        <sz val="10"/>
        <rFont val="DejaVu Sans"/>
        <family val="2"/>
      </rPr>
      <t xml:space="preserve">속도비 </t>
    </r>
    <r>
      <rPr>
        <b val="true"/>
        <sz val="10"/>
        <rFont val="DejaVu Sans"/>
        <family val="2"/>
        <charset val="1"/>
      </rPr>
      <t xml:space="preserve">V/vw</t>
    </r>
  </si>
  <si>
    <r>
      <rPr>
        <i val="true"/>
        <sz val="9"/>
        <color rgb="FF555555"/>
        <rFont val="Arial"/>
        <family val="0"/>
        <charset val="1"/>
      </rPr>
      <t xml:space="preserve">V/vw — </t>
    </r>
    <r>
      <rPr>
        <i val="true"/>
        <sz val="9"/>
        <color rgb="FF555555"/>
        <rFont val="DejaVu Sans"/>
        <family val="2"/>
      </rPr>
      <t xml:space="preserve">일반적으로 </t>
    </r>
    <r>
      <rPr>
        <i val="true"/>
        <sz val="9"/>
        <color rgb="FF555555"/>
        <rFont val="Arial"/>
        <family val="0"/>
        <charset val="1"/>
      </rPr>
      <t xml:space="preserve">100~500 </t>
    </r>
    <r>
      <rPr>
        <i val="true"/>
        <sz val="9"/>
        <color rgb="FF555555"/>
        <rFont val="DejaVu Sans"/>
        <family val="2"/>
      </rPr>
      <t xml:space="preserve">권장</t>
    </r>
  </si>
  <si>
    <r>
      <rPr>
        <b val="true"/>
        <sz val="10"/>
        <rFont val="Arial"/>
        <family val="0"/>
        <charset val="1"/>
      </rPr>
      <t xml:space="preserve">Aggressiveness </t>
    </r>
    <r>
      <rPr>
        <b val="true"/>
        <sz val="10"/>
        <rFont val="DejaVu Sans"/>
        <family val="2"/>
      </rPr>
      <t xml:space="preserve">지수</t>
    </r>
  </si>
  <si>
    <t xml:space="preserve">10⁶ × (vw/V) × √(DOC/D_wheel)</t>
  </si>
  <si>
    <r>
      <rPr>
        <b val="true"/>
        <sz val="11"/>
        <color rgb="FFFFFFFF"/>
        <rFont val="Arial"/>
        <family val="0"/>
        <charset val="1"/>
      </rPr>
      <t xml:space="preserve">■ Aggressiveness </t>
    </r>
    <r>
      <rPr>
        <b val="true"/>
        <sz val="11"/>
        <color rgb="FFFFFFFF"/>
        <rFont val="DejaVu Sans"/>
        <family val="2"/>
      </rPr>
      <t xml:space="preserve">해석 </t>
    </r>
    <r>
      <rPr>
        <b val="true"/>
        <sz val="11"/>
        <color rgb="FFFFFFFF"/>
        <rFont val="Arial"/>
        <family val="0"/>
        <charset val="1"/>
      </rPr>
      <t xml:space="preserve">(Badger </t>
    </r>
    <r>
      <rPr>
        <b val="true"/>
        <sz val="11"/>
        <color rgb="FFFFFFFF"/>
        <rFont val="DejaVu Sans"/>
        <family val="2"/>
      </rPr>
      <t xml:space="preserve">가이드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</si>
  <si>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&lt; 5</t>
  </si>
  <si>
    <r>
      <rPr>
        <sz val="10"/>
        <rFont val="DejaVu Sans"/>
        <family val="2"/>
      </rPr>
      <t xml:space="preserve">정밀 가공 — </t>
    </r>
    <r>
      <rPr>
        <sz val="10"/>
        <rFont val="DejaVu Sans"/>
        <family val="2"/>
        <charset val="1"/>
      </rPr>
      <t xml:space="preserve">finish-grinding </t>
    </r>
    <r>
      <rPr>
        <sz val="10"/>
        <rFont val="DejaVu Sans"/>
        <family val="2"/>
      </rPr>
      <t xml:space="preserve">영역</t>
    </r>
  </si>
  <si>
    <t xml:space="preserve">5 – 15</t>
  </si>
  <si>
    <r>
      <rPr>
        <sz val="10"/>
        <rFont val="DejaVu Sans"/>
        <family val="2"/>
      </rPr>
      <t xml:space="preserve">약한</t>
    </r>
    <r>
      <rPr>
        <sz val="10"/>
        <rFont val="DejaVu Sans"/>
        <family val="2"/>
        <charset val="1"/>
      </rPr>
      <t xml:space="preserve">~</t>
    </r>
    <r>
      <rPr>
        <sz val="10"/>
        <rFont val="DejaVu Sans"/>
        <family val="2"/>
      </rPr>
      <t xml:space="preserve">중간 — </t>
    </r>
    <r>
      <rPr>
        <sz val="10"/>
        <rFont val="DejaVu Sans"/>
        <family val="2"/>
        <charset val="1"/>
      </rPr>
      <t xml:space="preserve">semi-aggressive</t>
    </r>
  </si>
  <si>
    <t xml:space="preserve">15 – 20</t>
  </si>
  <si>
    <r>
      <rPr>
        <sz val="10"/>
        <rFont val="DejaVu Sans"/>
        <family val="2"/>
      </rPr>
      <t xml:space="preserve">거친 가공 — </t>
    </r>
    <r>
      <rPr>
        <sz val="10"/>
        <rFont val="DejaVu Sans"/>
        <family val="2"/>
        <charset val="1"/>
      </rPr>
      <t xml:space="preserve">roughing, resin/creep-feed</t>
    </r>
    <r>
      <rPr>
        <sz val="10"/>
        <rFont val="DejaVu Sans"/>
        <family val="2"/>
      </rPr>
      <t xml:space="preserve">에 적합</t>
    </r>
  </si>
  <si>
    <t xml:space="preserve">20 – 50</t>
  </si>
  <si>
    <t xml:space="preserve">매우 거친 가공 — 세라믹 휠 외 권장 안 함</t>
  </si>
  <si>
    <t xml:space="preserve">&gt; 50</t>
  </si>
  <si>
    <t xml:space="preserve">과도한 가공 — 휠 급속 마모</t>
  </si>
  <si>
    <r>
      <rPr>
        <b val="true"/>
        <sz val="14"/>
        <color rgb="FFFFFFFF"/>
        <rFont val="DejaVu Sans"/>
        <family val="2"/>
      </rPr>
      <t xml:space="preserve">로터리 드레서 계산기 </t>
    </r>
    <r>
      <rPr>
        <b val="true"/>
        <sz val="14"/>
        <color rgb="FFFFFFFF"/>
        <rFont val="DejaVu Sans"/>
        <family val="2"/>
        <charset val="1"/>
      </rPr>
      <t xml:space="preserve">(</t>
    </r>
    <r>
      <rPr>
        <b val="true"/>
        <sz val="14"/>
        <color rgb="FFFFFFFF"/>
        <rFont val="DejaVu Sans"/>
        <family val="2"/>
      </rPr>
      <t xml:space="preserve">속도비 </t>
    </r>
    <r>
      <rPr>
        <b val="true"/>
        <sz val="14"/>
        <color rgb="FFFFFFFF"/>
        <rFont val="DejaVu Sans"/>
        <family val="2"/>
        <charset val="1"/>
      </rPr>
      <t xml:space="preserve">/ </t>
    </r>
    <r>
      <rPr>
        <b val="true"/>
        <sz val="14"/>
        <color rgb="FFFFFFFF"/>
        <rFont val="DejaVu Sans"/>
        <family val="2"/>
      </rPr>
      <t xml:space="preserve">이송 </t>
    </r>
    <r>
      <rPr>
        <b val="true"/>
        <sz val="14"/>
        <color rgb="FFFFFFFF"/>
        <rFont val="DejaVu Sans"/>
        <family val="2"/>
        <charset val="1"/>
      </rPr>
      <t xml:space="preserve">/ </t>
    </r>
    <r>
      <rPr>
        <b val="true"/>
        <sz val="14"/>
        <color rgb="FFFFFFFF"/>
        <rFont val="DejaVu Sans"/>
        <family val="2"/>
      </rPr>
      <t xml:space="preserve">체류시간</t>
    </r>
    <r>
      <rPr>
        <b val="true"/>
        <sz val="14"/>
        <color rgb="FFFFFFFF"/>
        <rFont val="DejaVu Sans"/>
        <family val="2"/>
        <charset val="1"/>
      </rPr>
      <t xml:space="preserve">)</t>
    </r>
  </si>
  <si>
    <r>
      <rPr>
        <i val="true"/>
        <sz val="9"/>
        <color rgb="FF555555"/>
        <rFont val="DejaVu Sans"/>
        <family val="2"/>
      </rPr>
      <t xml:space="preserve">출처</t>
    </r>
    <r>
      <rPr>
        <i val="true"/>
        <sz val="9"/>
        <color rgb="FF555555"/>
        <rFont val="DejaVu Sans"/>
        <family val="2"/>
        <charset val="1"/>
      </rPr>
      <t xml:space="preserve">: The Grinding Doc / Klocke F. (2009) Manufacturing Processes 2: Grinding</t>
    </r>
  </si>
  <si>
    <r>
      <rPr>
        <b val="true"/>
        <sz val="11"/>
        <color rgb="FFFFFFFF"/>
        <rFont val="Arial"/>
        <family val="0"/>
        <charset val="1"/>
      </rPr>
      <t xml:space="preserve">■ A. </t>
    </r>
    <r>
      <rPr>
        <b val="true"/>
        <sz val="11"/>
        <color rgb="FFFFFFFF"/>
        <rFont val="DejaVu Sans"/>
        <family val="2"/>
      </rPr>
      <t xml:space="preserve">속도비 </t>
    </r>
    <r>
      <rPr>
        <b val="true"/>
        <sz val="11"/>
        <color rgb="FFFFFFFF"/>
        <rFont val="Arial"/>
        <family val="0"/>
        <charset val="1"/>
      </rPr>
      <t xml:space="preserve">(Speed Ratio)</t>
    </r>
  </si>
  <si>
    <r>
      <rPr>
        <b val="true"/>
        <sz val="10"/>
        <rFont val="DejaVu Sans"/>
        <family val="2"/>
      </rPr>
      <t xml:space="preserve">휠 직경 </t>
    </r>
    <r>
      <rPr>
        <b val="true"/>
        <sz val="10"/>
        <rFont val="DejaVu Sans"/>
        <family val="2"/>
        <charset val="1"/>
      </rPr>
      <t xml:space="preserve">(mm)</t>
    </r>
  </si>
  <si>
    <r>
      <rPr>
        <b val="true"/>
        <sz val="10"/>
        <rFont val="DejaVu Sans"/>
        <family val="2"/>
      </rPr>
      <t xml:space="preserve">→ 휠 원주속도 </t>
    </r>
    <r>
      <rPr>
        <b val="true"/>
        <sz val="10"/>
        <rFont val="DejaVu Sans"/>
        <family val="2"/>
        <charset val="1"/>
      </rPr>
      <t xml:space="preserve">(m/s)</t>
    </r>
  </si>
  <si>
    <r>
      <rPr>
        <b val="true"/>
        <sz val="10"/>
        <rFont val="DejaVu Sans"/>
        <family val="2"/>
      </rPr>
      <t xml:space="preserve">드레서 </t>
    </r>
    <r>
      <rPr>
        <b val="true"/>
        <sz val="10"/>
        <rFont val="DejaVu Sans"/>
        <family val="2"/>
        <charset val="1"/>
      </rPr>
      <t xml:space="preserve">RPM</t>
    </r>
  </si>
  <si>
    <r>
      <rPr>
        <b val="true"/>
        <sz val="10"/>
        <rFont val="DejaVu Sans"/>
        <family val="2"/>
      </rPr>
      <t xml:space="preserve">드레서 직경 </t>
    </r>
    <r>
      <rPr>
        <b val="true"/>
        <sz val="10"/>
        <rFont val="DejaVu Sans"/>
        <family val="2"/>
        <charset val="1"/>
      </rPr>
      <t xml:space="preserve">(mm)</t>
    </r>
  </si>
  <si>
    <r>
      <rPr>
        <b val="true"/>
        <sz val="10"/>
        <rFont val="DejaVu Sans"/>
        <family val="2"/>
      </rPr>
      <t xml:space="preserve">→ 드레서 원주속도 </t>
    </r>
    <r>
      <rPr>
        <b val="true"/>
        <sz val="10"/>
        <rFont val="DejaVu Sans"/>
        <family val="2"/>
        <charset val="1"/>
      </rPr>
      <t xml:space="preserve">(m/s)</t>
    </r>
  </si>
  <si>
    <r>
      <rPr>
        <b val="true"/>
        <sz val="10"/>
        <rFont val="DejaVu Sans"/>
        <family val="2"/>
      </rPr>
      <t xml:space="preserve">방향 </t>
    </r>
    <r>
      <rPr>
        <b val="true"/>
        <sz val="10"/>
        <rFont val="DejaVu Sans"/>
        <family val="2"/>
        <charset val="1"/>
      </rPr>
      <t xml:space="preserve">(1=</t>
    </r>
    <r>
      <rPr>
        <b val="true"/>
        <sz val="10"/>
        <rFont val="DejaVu Sans"/>
        <family val="2"/>
      </rPr>
      <t xml:space="preserve">동방향 </t>
    </r>
    <r>
      <rPr>
        <b val="true"/>
        <sz val="10"/>
        <rFont val="DejaVu Sans"/>
        <family val="2"/>
        <charset val="1"/>
      </rPr>
      <t xml:space="preserve">+, -1=</t>
    </r>
    <r>
      <rPr>
        <b val="true"/>
        <sz val="10"/>
        <rFont val="DejaVu Sans"/>
        <family val="2"/>
      </rPr>
      <t xml:space="preserve">역방향 </t>
    </r>
    <r>
      <rPr>
        <b val="true"/>
        <sz val="10"/>
        <rFont val="DejaVu Sans"/>
        <family val="2"/>
        <charset val="1"/>
      </rPr>
      <t xml:space="preserve">-)</t>
    </r>
  </si>
  <si>
    <r>
      <rPr>
        <b val="true"/>
        <sz val="10"/>
        <rFont val="DejaVu Sans"/>
        <family val="2"/>
      </rPr>
      <t xml:space="preserve">→ 속도비 </t>
    </r>
    <r>
      <rPr>
        <b val="true"/>
        <sz val="10"/>
        <rFont val="DejaVu Sans"/>
        <family val="2"/>
        <charset val="1"/>
      </rPr>
      <t xml:space="preserve">q</t>
    </r>
  </si>
  <si>
    <r>
      <rPr>
        <i val="true"/>
        <sz val="9"/>
        <color rgb="FF555555"/>
        <rFont val="DejaVu Sans"/>
        <family val="2"/>
      </rPr>
      <t xml:space="preserve">권장</t>
    </r>
    <r>
      <rPr>
        <i val="true"/>
        <sz val="9"/>
        <color rgb="FF555555"/>
        <rFont val="DejaVu Sans"/>
        <family val="2"/>
        <charset val="1"/>
      </rPr>
      <t xml:space="preserve">: +0.4~+0.8 (open), +0.2 (timid), </t>
    </r>
    <r>
      <rPr>
        <i val="true"/>
        <sz val="9"/>
        <color rgb="FF555555"/>
        <rFont val="DejaVu Sans"/>
        <family val="2"/>
      </rPr>
      <t xml:space="preserve">동방향 일반</t>
    </r>
  </si>
  <si>
    <r>
      <rPr>
        <b val="true"/>
        <sz val="11"/>
        <color rgb="FFFFFFFF"/>
        <rFont val="Arial"/>
        <family val="0"/>
        <charset val="1"/>
      </rPr>
      <t xml:space="preserve">■ B. </t>
    </r>
    <r>
      <rPr>
        <b val="true"/>
        <sz val="11"/>
        <color rgb="FFFFFFFF"/>
        <rFont val="DejaVu Sans"/>
        <family val="2"/>
      </rPr>
      <t xml:space="preserve">드레서 이송 </t>
    </r>
    <r>
      <rPr>
        <b val="true"/>
        <sz val="11"/>
        <color rgb="FFFFFFFF"/>
        <rFont val="Arial"/>
        <family val="0"/>
        <charset val="1"/>
      </rPr>
      <t xml:space="preserve">(Plunge Feedrate)</t>
    </r>
  </si>
  <si>
    <r>
      <rPr>
        <b val="true"/>
        <sz val="10"/>
        <rFont val="DejaVu Sans"/>
        <family val="2"/>
      </rPr>
      <t xml:space="preserve">플런지 속도 </t>
    </r>
    <r>
      <rPr>
        <b val="true"/>
        <sz val="10"/>
        <rFont val="DejaVu Sans"/>
        <family val="2"/>
        <charset val="1"/>
      </rPr>
      <t xml:space="preserve">(mm/s)</t>
    </r>
  </si>
  <si>
    <r>
      <rPr>
        <b val="true"/>
        <sz val="10"/>
        <rFont val="DejaVu Sans"/>
        <family val="2"/>
      </rPr>
      <t xml:space="preserve">→ 회전당 이송 </t>
    </r>
    <r>
      <rPr>
        <b val="true"/>
        <sz val="10"/>
        <rFont val="DejaVu Sans"/>
        <family val="2"/>
        <charset val="1"/>
      </rPr>
      <t xml:space="preserve">fr (mm/rev)</t>
    </r>
  </si>
  <si>
    <r>
      <rPr>
        <b val="true"/>
        <sz val="11"/>
        <color rgb="FFFFFFFF"/>
        <rFont val="Arial"/>
        <family val="0"/>
        <charset val="1"/>
      </rPr>
      <t xml:space="preserve">■ B-</t>
    </r>
    <r>
      <rPr>
        <b val="true"/>
        <sz val="11"/>
        <color rgb="FFFFFFFF"/>
        <rFont val="DejaVu Sans"/>
        <family val="2"/>
      </rPr>
      <t xml:space="preserve">참고</t>
    </r>
    <r>
      <rPr>
        <b val="true"/>
        <sz val="11"/>
        <color rgb="FFFFFFFF"/>
        <rFont val="Arial"/>
        <family val="0"/>
        <charset val="1"/>
      </rPr>
      <t xml:space="preserve">: </t>
    </r>
    <r>
      <rPr>
        <b val="true"/>
        <sz val="11"/>
        <color rgb="FFFFFFFF"/>
        <rFont val="DejaVu Sans"/>
        <family val="2"/>
      </rPr>
      <t xml:space="preserve">회전당 이송 가이드 </t>
    </r>
    <r>
      <rPr>
        <b val="true"/>
        <sz val="11"/>
        <color rgb="FFFFFFFF"/>
        <rFont val="Arial"/>
        <family val="0"/>
        <charset val="1"/>
      </rPr>
      <t xml:space="preserve">(mm/rev)</t>
    </r>
  </si>
  <si>
    <t xml:space="preserve">0.1 – 0.2</t>
  </si>
  <si>
    <r>
      <rPr>
        <sz val="10"/>
        <rFont val="DejaVu Sans"/>
        <family val="2"/>
      </rPr>
      <t xml:space="preserve">매우 </t>
    </r>
    <r>
      <rPr>
        <sz val="10"/>
        <rFont val="DejaVu Sans"/>
        <family val="2"/>
        <charset val="1"/>
      </rPr>
      <t xml:space="preserve">timid — </t>
    </r>
    <r>
      <rPr>
        <sz val="10"/>
        <rFont val="DejaVu Sans"/>
        <family val="2"/>
      </rPr>
      <t xml:space="preserve">무디고 </t>
    </r>
    <r>
      <rPr>
        <sz val="10"/>
        <rFont val="DejaVu Sans"/>
        <family val="2"/>
        <charset val="1"/>
      </rPr>
      <t xml:space="preserve">closed </t>
    </r>
    <r>
      <rPr>
        <sz val="10"/>
        <rFont val="DejaVu Sans"/>
        <family val="2"/>
      </rPr>
      <t xml:space="preserve">한 휠 형성</t>
    </r>
  </si>
  <si>
    <t xml:space="preserve">0.2 – 0.4</t>
  </si>
  <si>
    <t xml:space="preserve">timid</t>
  </si>
  <si>
    <t xml:space="preserve">0.4 – 0.8</t>
  </si>
  <si>
    <r>
      <rPr>
        <sz val="10"/>
        <rFont val="Arial"/>
        <family val="0"/>
        <charset val="1"/>
      </rPr>
      <t xml:space="preserve">normal — </t>
    </r>
    <r>
      <rPr>
        <sz val="10"/>
        <rFont val="DejaVu Sans"/>
        <family val="2"/>
      </rPr>
      <t xml:space="preserve">표준 운전</t>
    </r>
  </si>
  <si>
    <t xml:space="preserve">0.8 – 1.2</t>
  </si>
  <si>
    <r>
      <rPr>
        <sz val="10"/>
        <rFont val="Arial"/>
        <family val="0"/>
        <charset val="1"/>
      </rPr>
      <t xml:space="preserve">aggressive — sharp / open </t>
    </r>
    <r>
      <rPr>
        <sz val="10"/>
        <rFont val="DejaVu Sans"/>
        <family val="2"/>
      </rPr>
      <t xml:space="preserve">휠 형성</t>
    </r>
  </si>
  <si>
    <t xml:space="preserve">&gt; 1.2</t>
  </si>
  <si>
    <r>
      <rPr>
        <sz val="10"/>
        <rFont val="DejaVu Sans"/>
        <family val="2"/>
      </rPr>
      <t xml:space="preserve">추가 이득 없음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포화</t>
    </r>
    <r>
      <rPr>
        <sz val="10"/>
        <rFont val="DejaVu Sans"/>
        <family val="2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</si>
  <si>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■ C. </t>
    </r>
    <r>
      <rPr>
        <b val="true"/>
        <sz val="11"/>
        <color rgb="FFFFFFFF"/>
        <rFont val="DejaVu Sans"/>
        <family val="2"/>
      </rPr>
      <t xml:space="preserve">드레서 체류시간 </t>
    </r>
    <r>
      <rPr>
        <b val="true"/>
        <sz val="11"/>
        <color rgb="FFFFFFFF"/>
        <rFont val="Arial"/>
        <family val="0"/>
        <charset val="1"/>
      </rPr>
      <t xml:space="preserve">(Dwell Time)</t>
    </r>
  </si>
  <si>
    <r>
      <rPr>
        <b val="true"/>
        <sz val="10"/>
        <rFont val="DejaVu Sans"/>
        <family val="2"/>
      </rPr>
      <t xml:space="preserve">체류시간 </t>
    </r>
    <r>
      <rPr>
        <b val="true"/>
        <sz val="10"/>
        <rFont val="DejaVu Sans"/>
        <family val="2"/>
        <charset val="1"/>
      </rPr>
      <t xml:space="preserve">(</t>
    </r>
    <r>
      <rPr>
        <b val="true"/>
        <sz val="10"/>
        <rFont val="DejaVu Sans"/>
        <family val="2"/>
      </rPr>
      <t xml:space="preserve">초</t>
    </r>
    <r>
      <rPr>
        <b val="true"/>
        <sz val="10"/>
        <rFont val="DejaVu Sans"/>
        <family val="2"/>
        <charset val="1"/>
      </rPr>
      <t xml:space="preserve">)</t>
    </r>
  </si>
  <si>
    <t xml:space="preserve">→ 체류 회전수</t>
  </si>
  <si>
    <r>
      <rPr>
        <i val="true"/>
        <sz val="9"/>
        <color rgb="FF555555"/>
        <rFont val="DejaVu Sans"/>
        <family val="2"/>
      </rPr>
      <t xml:space="preserve">권장</t>
    </r>
    <r>
      <rPr>
        <i val="true"/>
        <sz val="9"/>
        <color rgb="FF555555"/>
        <rFont val="DejaVu Sans"/>
        <family val="2"/>
        <charset val="1"/>
      </rPr>
      <t xml:space="preserve">: </t>
    </r>
    <r>
      <rPr>
        <i val="true"/>
        <sz val="9"/>
        <color rgb="FF555555"/>
        <rFont val="DejaVu Sans"/>
        <family val="2"/>
      </rPr>
      <t xml:space="preserve">동방향 </t>
    </r>
    <r>
      <rPr>
        <i val="true"/>
        <sz val="9"/>
        <color rgb="FF555555"/>
        <rFont val="DejaVu Sans"/>
        <family val="2"/>
        <charset val="1"/>
      </rPr>
      <t xml:space="preserve">20~40</t>
    </r>
    <r>
      <rPr>
        <i val="true"/>
        <sz val="9"/>
        <color rgb="FF555555"/>
        <rFont val="DejaVu Sans"/>
        <family val="2"/>
      </rPr>
      <t xml:space="preserve">회전</t>
    </r>
    <r>
      <rPr>
        <i val="true"/>
        <sz val="9"/>
        <color rgb="FF555555"/>
        <rFont val="DejaVu Sans"/>
        <family val="2"/>
        <charset val="1"/>
      </rPr>
      <t xml:space="preserve">, </t>
    </r>
    <r>
      <rPr>
        <i val="true"/>
        <sz val="9"/>
        <color rgb="FF555555"/>
        <rFont val="DejaVu Sans"/>
        <family val="2"/>
      </rPr>
      <t xml:space="preserve">역방향 </t>
    </r>
    <r>
      <rPr>
        <i val="true"/>
        <sz val="9"/>
        <color rgb="FF555555"/>
        <rFont val="DejaVu Sans"/>
        <family val="2"/>
        <charset val="1"/>
      </rPr>
      <t xml:space="preserve">10~20</t>
    </r>
    <r>
      <rPr>
        <i val="true"/>
        <sz val="9"/>
        <color rgb="FF555555"/>
        <rFont val="DejaVu Sans"/>
        <family val="2"/>
      </rPr>
      <t xml:space="preserve">회전</t>
    </r>
  </si>
  <si>
    <r>
      <rPr>
        <b val="true"/>
        <sz val="14"/>
        <color rgb="FFFFFFFF"/>
        <rFont val="DejaVu Sans"/>
        <family val="2"/>
      </rPr>
      <t xml:space="preserve">단점</t>
    </r>
    <r>
      <rPr>
        <b val="true"/>
        <sz val="14"/>
        <color rgb="FFFFFFFF"/>
        <rFont val="DejaVu Sans"/>
        <family val="2"/>
        <charset val="1"/>
      </rPr>
      <t xml:space="preserve">(Single-point) / </t>
    </r>
    <r>
      <rPr>
        <b val="true"/>
        <sz val="14"/>
        <color rgb="FFFFFFFF"/>
        <rFont val="DejaVu Sans"/>
        <family val="2"/>
      </rPr>
      <t xml:space="preserve">클러스터</t>
    </r>
    <r>
      <rPr>
        <b val="true"/>
        <sz val="14"/>
        <color rgb="FFFFFFFF"/>
        <rFont val="DejaVu Sans"/>
        <family val="2"/>
        <charset val="1"/>
      </rPr>
      <t xml:space="preserve">(Cluster) </t>
    </r>
    <r>
      <rPr>
        <b val="true"/>
        <sz val="14"/>
        <color rgb="FFFFFFFF"/>
        <rFont val="DejaVu Sans"/>
        <family val="2"/>
      </rPr>
      <t xml:space="preserve">다이아몬드 드레싱 계산기</t>
    </r>
  </si>
  <si>
    <r>
      <rPr>
        <i val="true"/>
        <sz val="9"/>
        <color rgb="FF555555"/>
        <rFont val="DejaVu Sans"/>
        <family val="2"/>
      </rPr>
      <t xml:space="preserve">출처</t>
    </r>
    <r>
      <rPr>
        <i val="true"/>
        <sz val="9"/>
        <color rgb="FF555555"/>
        <rFont val="DejaVu Sans"/>
        <family val="2"/>
        <charset val="1"/>
      </rPr>
      <t xml:space="preserve">: The Grinding Doc / Marinescu et al. (2016) ch.5 dressing parameters</t>
    </r>
  </si>
  <si>
    <r>
      <rPr>
        <b val="true"/>
        <sz val="10"/>
        <rFont val="DejaVu Sans"/>
        <family val="2"/>
      </rPr>
      <t xml:space="preserve">드레서 </t>
    </r>
    <r>
      <rPr>
        <b val="true"/>
        <sz val="10"/>
        <rFont val="DejaVu Sans"/>
        <family val="2"/>
        <charset val="1"/>
      </rPr>
      <t xml:space="preserve">traverse </t>
    </r>
    <r>
      <rPr>
        <b val="true"/>
        <sz val="10"/>
        <rFont val="DejaVu Sans"/>
        <family val="2"/>
      </rPr>
      <t xml:space="preserve">속도 </t>
    </r>
    <r>
      <rPr>
        <b val="true"/>
        <sz val="10"/>
        <rFont val="DejaVu Sans"/>
        <family val="2"/>
        <charset val="1"/>
      </rPr>
      <t xml:space="preserve">(mm/min)</t>
    </r>
  </si>
  <si>
    <r>
      <rPr>
        <b val="true"/>
        <sz val="10"/>
        <rFont val="DejaVu Sans"/>
        <family val="2"/>
      </rPr>
      <t xml:space="preserve">또는</t>
    </r>
    <r>
      <rPr>
        <b val="true"/>
        <sz val="10"/>
        <rFont val="DejaVu Sans"/>
        <family val="2"/>
        <charset val="1"/>
      </rPr>
      <t xml:space="preserve">: </t>
    </r>
    <r>
      <rPr>
        <b val="true"/>
        <sz val="10"/>
        <rFont val="DejaVu Sans"/>
        <family val="2"/>
      </rPr>
      <t xml:space="preserve">휠 폭 </t>
    </r>
    <r>
      <rPr>
        <b val="true"/>
        <sz val="10"/>
        <rFont val="DejaVu Sans"/>
        <family val="2"/>
        <charset val="1"/>
      </rPr>
      <t xml:space="preserve">(mm)</t>
    </r>
  </si>
  <si>
    <t xml:space="preserve">        패스 수</t>
  </si>
  <si>
    <t xml:space="preserve">Dressing Lead (mm/rev)</t>
  </si>
  <si>
    <r>
      <rPr>
        <i val="true"/>
        <sz val="9"/>
        <color rgb="FF555555"/>
        <rFont val="DejaVu Sans"/>
        <family val="2"/>
        <charset val="1"/>
      </rPr>
      <t xml:space="preserve">(traverse </t>
    </r>
    <r>
      <rPr>
        <i val="true"/>
        <sz val="9"/>
        <color rgb="FF555555"/>
        <rFont val="DejaVu Sans"/>
        <family val="2"/>
      </rPr>
      <t xml:space="preserve">속도</t>
    </r>
    <r>
      <rPr>
        <i val="true"/>
        <sz val="9"/>
        <color rgb="FF555555"/>
        <rFont val="DejaVu Sans"/>
        <family val="2"/>
        <charset val="1"/>
      </rPr>
      <t xml:space="preserve">) / (</t>
    </r>
    <r>
      <rPr>
        <i val="true"/>
        <sz val="9"/>
        <color rgb="FF555555"/>
        <rFont val="DejaVu Sans"/>
        <family val="2"/>
      </rPr>
      <t xml:space="preserve">휠 </t>
    </r>
    <r>
      <rPr>
        <i val="true"/>
        <sz val="9"/>
        <color rgb="FF555555"/>
        <rFont val="DejaVu Sans"/>
        <family val="2"/>
        <charset val="1"/>
      </rPr>
      <t xml:space="preserve">RPM)</t>
    </r>
  </si>
  <si>
    <r>
      <rPr>
        <b val="true"/>
        <sz val="11"/>
        <color rgb="FFFFFFFF"/>
        <rFont val="DejaVu Sans"/>
        <family val="2"/>
      </rPr>
      <t xml:space="preserve">■ 단점 다이아몬드</t>
    </r>
    <r>
      <rPr>
        <b val="true"/>
        <sz val="11"/>
        <color rgb="FFFFFFFF"/>
        <rFont val="DejaVu Sans"/>
        <family val="2"/>
        <charset val="1"/>
      </rPr>
      <t xml:space="preserve">(Single-point) </t>
    </r>
    <r>
      <rPr>
        <b val="true"/>
        <sz val="11"/>
        <color rgb="FFFFFFFF"/>
        <rFont val="DejaVu Sans"/>
        <family val="2"/>
      </rPr>
      <t xml:space="preserve">가이드</t>
    </r>
  </si>
  <si>
    <t xml:space="preserve">0.05 – 0.1 mm/rev</t>
  </si>
  <si>
    <r>
      <rPr>
        <sz val="10"/>
        <rFont val="Arial"/>
        <family val="0"/>
        <charset val="1"/>
      </rPr>
      <t xml:space="preserve">closed (</t>
    </r>
    <r>
      <rPr>
        <sz val="10"/>
        <rFont val="DejaVu Sans"/>
        <family val="2"/>
      </rPr>
      <t xml:space="preserve">무딘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휠 — 정밀 가공용</t>
    </r>
  </si>
  <si>
    <t xml:space="preserve">0.1 – 0.2 mm/rev</t>
  </si>
  <si>
    <r>
      <rPr>
        <sz val="10"/>
        <rFont val="Arial"/>
        <family val="0"/>
        <charset val="1"/>
      </rPr>
      <t xml:space="preserve">standard — </t>
    </r>
    <r>
      <rPr>
        <sz val="10"/>
        <rFont val="DejaVu Sans"/>
        <family val="2"/>
      </rPr>
      <t xml:space="preserve">표준 운전</t>
    </r>
  </si>
  <si>
    <t xml:space="preserve">0.2 – 0.4 mm/rev</t>
  </si>
  <si>
    <r>
      <rPr>
        <sz val="10"/>
        <rFont val="Arial"/>
        <family val="0"/>
        <charset val="1"/>
      </rPr>
      <t xml:space="preserve">open (sharp) </t>
    </r>
    <r>
      <rPr>
        <sz val="10"/>
        <rFont val="DejaVu Sans"/>
        <family val="2"/>
      </rPr>
      <t xml:space="preserve">휠 — 거친 가공용</t>
    </r>
  </si>
  <si>
    <r>
      <rPr>
        <b val="true"/>
        <sz val="11"/>
        <color rgb="FFFFFFFF"/>
        <rFont val="DejaVu Sans"/>
        <family val="2"/>
      </rPr>
      <t xml:space="preserve">■ 클러스터 다이아몬드</t>
    </r>
    <r>
      <rPr>
        <b val="true"/>
        <sz val="11"/>
        <color rgb="FFFFFFFF"/>
        <rFont val="DejaVu Sans"/>
        <family val="2"/>
        <charset val="1"/>
      </rPr>
      <t xml:space="preserve">(Cluster) </t>
    </r>
    <r>
      <rPr>
        <b val="true"/>
        <sz val="11"/>
        <color rgb="FFFFFFFF"/>
        <rFont val="DejaVu Sans"/>
        <family val="2"/>
      </rPr>
      <t xml:space="preserve">가이드</t>
    </r>
  </si>
  <si>
    <r>
      <rPr>
        <sz val="10"/>
        <rFont val="Arial"/>
        <family val="0"/>
        <charset val="1"/>
      </rPr>
      <t xml:space="preserve">closed (</t>
    </r>
    <r>
      <rPr>
        <sz val="10"/>
        <rFont val="DejaVu Sans"/>
        <family val="2"/>
      </rPr>
      <t xml:space="preserve">무딘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휠</t>
    </r>
  </si>
  <si>
    <t xml:space="preserve">0.4 – 0.8 mm/rev</t>
  </si>
  <si>
    <t xml:space="preserve">0.8 – 2.0 mm/rev</t>
  </si>
  <si>
    <r>
      <rPr>
        <sz val="10"/>
        <rFont val="Arial"/>
        <family val="0"/>
        <charset val="1"/>
      </rPr>
      <t xml:space="preserve">open (sharp) </t>
    </r>
    <r>
      <rPr>
        <sz val="10"/>
        <rFont val="DejaVu Sans"/>
        <family val="2"/>
      </rPr>
      <t xml:space="preserve">휠</t>
    </r>
  </si>
  <si>
    <t xml:space="preserve">단위 환산표</t>
  </si>
  <si>
    <r>
      <rPr>
        <b val="true"/>
        <sz val="11"/>
        <color rgb="FFFFFFFF"/>
        <rFont val="DejaVu Sans"/>
        <family val="2"/>
      </rPr>
      <t xml:space="preserve">■ 표면속도 </t>
    </r>
    <r>
      <rPr>
        <b val="true"/>
        <sz val="11"/>
        <color rgb="FFFFFFFF"/>
        <rFont val="DejaVu Sans"/>
        <family val="2"/>
        <charset val="1"/>
      </rPr>
      <t xml:space="preserve">m/s ↔ sfpm</t>
    </r>
  </si>
  <si>
    <t xml:space="preserve">m/s</t>
  </si>
  <si>
    <t xml:space="preserve">→ sfpm</t>
  </si>
  <si>
    <t xml:space="preserve">sfpm</t>
  </si>
  <si>
    <t xml:space="preserve">→ m/s</t>
  </si>
  <si>
    <r>
      <rPr>
        <b val="true"/>
        <sz val="11"/>
        <color rgb="FFFFFFFF"/>
        <rFont val="DejaVu Sans"/>
        <family val="2"/>
      </rPr>
      <t xml:space="preserve">■ 경도 </t>
    </r>
    <r>
      <rPr>
        <b val="true"/>
        <sz val="11"/>
        <color rgb="FFFFFFFF"/>
        <rFont val="DejaVu Sans"/>
        <family val="2"/>
        <charset val="1"/>
      </rPr>
      <t xml:space="preserve">Rc ↔ Vickers HV</t>
    </r>
  </si>
  <si>
    <t xml:space="preserve">HRC</t>
  </si>
  <si>
    <t xml:space="preserve">→ HV</t>
  </si>
  <si>
    <t xml:space="preserve">HV</t>
  </si>
  <si>
    <t xml:space="preserve">→ HRC</t>
  </si>
  <si>
    <r>
      <rPr>
        <b val="true"/>
        <sz val="11"/>
        <color rgb="FFFFFFFF"/>
        <rFont val="DejaVu Sans"/>
        <family val="2"/>
      </rPr>
      <t xml:space="preserve">■ 온도 </t>
    </r>
    <r>
      <rPr>
        <b val="true"/>
        <sz val="11"/>
        <color rgb="FFFFFFFF"/>
        <rFont val="DejaVu Sans"/>
        <family val="2"/>
        <charset val="1"/>
      </rPr>
      <t xml:space="preserve">°F ↔ °C</t>
    </r>
  </si>
  <si>
    <t xml:space="preserve">°C</t>
  </si>
  <si>
    <t xml:space="preserve">→ °F</t>
  </si>
  <si>
    <t xml:space="preserve">°F</t>
  </si>
  <si>
    <t xml:space="preserve">→ °C</t>
  </si>
  <si>
    <r>
      <rPr>
        <b val="true"/>
        <sz val="11"/>
        <color rgb="FFFFFFFF"/>
        <rFont val="DejaVu Sans"/>
        <family val="2"/>
      </rPr>
      <t xml:space="preserve">■ 점도 </t>
    </r>
    <r>
      <rPr>
        <b val="true"/>
        <sz val="11"/>
        <color rgb="FFFFFFFF"/>
        <rFont val="DejaVu Sans"/>
        <family val="2"/>
        <charset val="1"/>
      </rPr>
      <t xml:space="preserve">centistokes ↔ SUS</t>
    </r>
  </si>
  <si>
    <t xml:space="preserve">cSt</t>
  </si>
  <si>
    <t xml:space="preserve">→ SUS</t>
  </si>
  <si>
    <t xml:space="preserve">SUS</t>
  </si>
  <si>
    <t xml:space="preserve">→ cSt</t>
  </si>
  <si>
    <r>
      <rPr>
        <b val="true"/>
        <sz val="11"/>
        <color rgb="FFFFFFFF"/>
        <rFont val="DejaVu Sans"/>
        <family val="2"/>
      </rPr>
      <t xml:space="preserve">■ 길이 </t>
    </r>
    <r>
      <rPr>
        <b val="true"/>
        <sz val="11"/>
        <color rgb="FFFFFFFF"/>
        <rFont val="DejaVu Sans"/>
        <family val="2"/>
        <charset val="1"/>
      </rPr>
      <t xml:space="preserve">mm ↔ inch</t>
    </r>
  </si>
  <si>
    <t xml:space="preserve">mm</t>
  </si>
  <si>
    <t xml:space="preserve">→ inch</t>
  </si>
  <si>
    <t xml:space="preserve">inch</t>
  </si>
  <si>
    <t xml:space="preserve">→ mm</t>
  </si>
  <si>
    <r>
      <rPr>
        <b val="true"/>
        <sz val="14"/>
        <color rgb="FFFFFFFF"/>
        <rFont val="DejaVu Sans"/>
        <family val="2"/>
      </rPr>
      <t xml:space="preserve">드릴 </t>
    </r>
    <r>
      <rPr>
        <b val="true"/>
        <sz val="14"/>
        <color rgb="FFFFFFFF"/>
        <rFont val="DejaVu Sans"/>
        <family val="2"/>
        <charset val="1"/>
      </rPr>
      <t xml:space="preserve">X </t>
    </r>
    <r>
      <rPr>
        <b val="true"/>
        <sz val="14"/>
        <color rgb="FFFFFFFF"/>
        <rFont val="DejaVu Sans"/>
        <family val="2"/>
      </rPr>
      <t xml:space="preserve">거리 계산기</t>
    </r>
  </si>
  <si>
    <r>
      <rPr>
        <i val="true"/>
        <sz val="9"/>
        <color rgb="FF555555"/>
        <rFont val="DejaVu Sans"/>
        <family val="2"/>
      </rPr>
      <t xml:space="preserve">공식</t>
    </r>
    <r>
      <rPr>
        <i val="true"/>
        <sz val="9"/>
        <color rgb="FF555555"/>
        <rFont val="DejaVu Sans"/>
        <family val="2"/>
        <charset val="1"/>
      </rPr>
      <t xml:space="preserve">: X = (D/2) / tan(point angle / 2)  — </t>
    </r>
    <r>
      <rPr>
        <i val="true"/>
        <sz val="9"/>
        <color rgb="FF555555"/>
        <rFont val="DejaVu Sans"/>
        <family val="2"/>
      </rPr>
      <t xml:space="preserve">드릴 포인트 축방향 높이</t>
    </r>
  </si>
  <si>
    <r>
      <rPr>
        <b val="true"/>
        <sz val="10"/>
        <rFont val="DejaVu Sans"/>
        <family val="2"/>
      </rPr>
      <t xml:space="preserve">드릴 직경 </t>
    </r>
    <r>
      <rPr>
        <b val="true"/>
        <sz val="10"/>
        <rFont val="DejaVu Sans"/>
        <family val="2"/>
        <charset val="1"/>
      </rPr>
      <t xml:space="preserve">D (mm)</t>
    </r>
  </si>
  <si>
    <r>
      <rPr>
        <b val="true"/>
        <sz val="10"/>
        <rFont val="DejaVu Sans"/>
        <family val="2"/>
      </rPr>
      <t xml:space="preserve">포인트각 </t>
    </r>
    <r>
      <rPr>
        <b val="true"/>
        <sz val="10"/>
        <rFont val="DejaVu Sans"/>
        <family val="2"/>
        <charset val="1"/>
      </rPr>
      <t xml:space="preserve">θ (°)</t>
    </r>
  </si>
  <si>
    <r>
      <rPr>
        <b val="true"/>
        <sz val="10"/>
        <rFont val="DejaVu Sans"/>
        <family val="2"/>
      </rPr>
      <t xml:space="preserve">반경 </t>
    </r>
    <r>
      <rPr>
        <b val="true"/>
        <sz val="10"/>
        <rFont val="DejaVu Sans"/>
        <family val="2"/>
        <charset val="1"/>
      </rPr>
      <t xml:space="preserve">r = D/2 (mm)</t>
    </r>
  </si>
  <si>
    <r>
      <rPr>
        <b val="true"/>
        <sz val="10"/>
        <rFont val="DejaVu Sans"/>
        <family val="2"/>
      </rPr>
      <t xml:space="preserve">반각 </t>
    </r>
    <r>
      <rPr>
        <b val="true"/>
        <sz val="10"/>
        <rFont val="DejaVu Sans"/>
        <family val="2"/>
        <charset val="1"/>
      </rPr>
      <t xml:space="preserve">θ/2 (°)</t>
    </r>
  </si>
  <si>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DejaVu Sans"/>
        <family val="2"/>
      </rPr>
      <t xml:space="preserve">거리 </t>
    </r>
    <r>
      <rPr>
        <b val="true"/>
        <sz val="10"/>
        <rFont val="Arial"/>
        <family val="0"/>
        <charset val="1"/>
      </rPr>
      <t xml:space="preserve">(mm)</t>
    </r>
  </si>
  <si>
    <r>
      <rPr>
        <i val="true"/>
        <sz val="9"/>
        <color rgb="FF555555"/>
        <rFont val="DejaVu Sans"/>
        <family val="2"/>
        <charset val="1"/>
      </rPr>
      <t xml:space="preserve">r / tan(</t>
    </r>
    <r>
      <rPr>
        <i val="true"/>
        <sz val="9"/>
        <color rgb="FF555555"/>
        <rFont val="DejaVu Sans"/>
        <family val="2"/>
      </rPr>
      <t xml:space="preserve">반각</t>
    </r>
    <r>
      <rPr>
        <i val="true"/>
        <sz val="9"/>
        <color rgb="FF555555"/>
        <rFont val="DejaVu Sans"/>
        <family val="2"/>
        <charset val="1"/>
      </rPr>
      <t xml:space="preserve">, </t>
    </r>
    <r>
      <rPr>
        <i val="true"/>
        <sz val="9"/>
        <color rgb="FF555555"/>
        <rFont val="DejaVu Sans"/>
        <family val="2"/>
      </rPr>
      <t xml:space="preserve">라디안 변환</t>
    </r>
    <r>
      <rPr>
        <i val="true"/>
        <sz val="9"/>
        <color rgb="FF555555"/>
        <rFont val="DejaVu Sans"/>
        <family val="2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</si>
  <si>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■ 표준 포인트각별 </t>
    </r>
    <r>
      <rPr>
        <b val="true"/>
        <sz val="11"/>
        <color rgb="FFFFFFFF"/>
        <rFont val="DejaVu Sans"/>
        <family val="2"/>
        <charset val="1"/>
      </rPr>
      <t xml:space="preserve">X </t>
    </r>
    <r>
      <rPr>
        <b val="true"/>
        <sz val="11"/>
        <color rgb="FFFFFFFF"/>
        <rFont val="DejaVu Sans"/>
        <family val="2"/>
      </rPr>
      <t xml:space="preserve">거리 참고 </t>
    </r>
    <r>
      <rPr>
        <b val="true"/>
        <sz val="11"/>
        <color rgb="FFFFFFFF"/>
        <rFont val="DejaVu Sans"/>
        <family val="2"/>
        <charset val="1"/>
      </rPr>
      <t xml:space="preserve">(D=10 mm </t>
    </r>
    <r>
      <rPr>
        <b val="true"/>
        <sz val="11"/>
        <color rgb="FFFFFFFF"/>
        <rFont val="DejaVu Sans"/>
        <family val="2"/>
      </rPr>
      <t xml:space="preserve">기준</t>
    </r>
    <r>
      <rPr>
        <b val="true"/>
        <sz val="11"/>
        <color rgb="FFFFFFFF"/>
        <rFont val="DejaVu Sans"/>
        <family val="2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</si>
  <si>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포인트각 </t>
    </r>
    <r>
      <rPr>
        <b val="true"/>
        <sz val="11"/>
        <color rgb="FFFFFFFF"/>
        <rFont val="DejaVu Sans"/>
        <family val="2"/>
        <charset val="1"/>
      </rPr>
      <t xml:space="preserve">(°)</t>
    </r>
  </si>
  <si>
    <t xml:space="preserve">용도</t>
  </si>
  <si>
    <r>
      <rPr>
        <b val="true"/>
        <sz val="11"/>
        <color rgb="FFFFFFFF"/>
        <rFont val="Arial"/>
        <family val="0"/>
        <charset val="1"/>
      </rPr>
      <t xml:space="preserve">X </t>
    </r>
    <r>
      <rPr>
        <b val="true"/>
        <sz val="11"/>
        <color rgb="FFFFFFFF"/>
        <rFont val="DejaVu Sans"/>
        <family val="2"/>
      </rPr>
      <t xml:space="preserve">거리 </t>
    </r>
    <r>
      <rPr>
        <b val="true"/>
        <sz val="11"/>
        <color rgb="FFFFFFFF"/>
        <rFont val="Arial"/>
        <family val="0"/>
        <charset val="1"/>
      </rPr>
      <t xml:space="preserve">(mm) @ D=10</t>
    </r>
  </si>
  <si>
    <r>
      <rPr>
        <sz val="10"/>
        <rFont val="DejaVu Sans"/>
        <family val="2"/>
      </rPr>
      <t xml:space="preserve">표준 </t>
    </r>
    <r>
      <rPr>
        <sz val="10"/>
        <rFont val="DejaVu Sans"/>
        <family val="2"/>
        <charset val="1"/>
      </rPr>
      <t xml:space="preserve">HSS </t>
    </r>
    <r>
      <rPr>
        <sz val="10"/>
        <rFont val="DejaVu Sans"/>
        <family val="2"/>
      </rPr>
      <t xml:space="preserve">드릴</t>
    </r>
  </si>
  <si>
    <t xml:space="preserve">범용 강재 가공</t>
  </si>
  <si>
    <t xml:space="preserve">split-point HSS</t>
  </si>
  <si>
    <r>
      <rPr>
        <sz val="10"/>
        <rFont val="DejaVu Sans"/>
        <family val="2"/>
      </rPr>
      <t xml:space="preserve">스테인리스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경질 재료</t>
    </r>
  </si>
  <si>
    <r>
      <rPr>
        <sz val="10"/>
        <rFont val="Arial"/>
        <family val="0"/>
        <charset val="1"/>
      </rPr>
      <t xml:space="preserve">carbide </t>
    </r>
    <r>
      <rPr>
        <sz val="10"/>
        <rFont val="DejaVu Sans"/>
        <family val="2"/>
      </rPr>
      <t xml:space="preserve">일반</t>
    </r>
  </si>
  <si>
    <t xml:space="preserve">초경 표준</t>
  </si>
  <si>
    <r>
      <rPr>
        <sz val="10"/>
        <rFont val="Arial"/>
        <family val="0"/>
        <charset val="1"/>
      </rPr>
      <t xml:space="preserve">carbide </t>
    </r>
    <r>
      <rPr>
        <sz val="10"/>
        <rFont val="DejaVu Sans"/>
        <family val="2"/>
      </rPr>
      <t xml:space="preserve">고경도용</t>
    </r>
  </si>
  <si>
    <r>
      <rPr>
        <sz val="10"/>
        <rFont val="DejaVu Sans"/>
        <family val="2"/>
      </rPr>
      <t xml:space="preserve">고경도 강 </t>
    </r>
    <r>
      <rPr>
        <sz val="10"/>
        <rFont val="DejaVu Sans"/>
        <family val="2"/>
        <charset val="1"/>
      </rPr>
      <t xml:space="preserve">/ </t>
    </r>
    <r>
      <rPr>
        <sz val="10"/>
        <rFont val="DejaVu Sans"/>
        <family val="2"/>
      </rPr>
      <t xml:space="preserve">내열합금</t>
    </r>
  </si>
  <si>
    <t xml:space="preserve">thin web carbide</t>
  </si>
  <si>
    <r>
      <rPr>
        <sz val="10"/>
        <rFont val="DejaVu Sans"/>
        <family val="2"/>
      </rPr>
      <t xml:space="preserve">고경도 </t>
    </r>
    <r>
      <rPr>
        <sz val="10"/>
        <rFont val="DejaVu Sans"/>
        <family val="2"/>
        <charset val="1"/>
      </rPr>
      <t xml:space="preserve">/ </t>
    </r>
    <r>
      <rPr>
        <sz val="10"/>
        <rFont val="DejaVu Sans"/>
        <family val="2"/>
      </rPr>
      <t xml:space="preserve">깊은 구멍</t>
    </r>
  </si>
  <si>
    <t xml:space="preserve">near-flat</t>
  </si>
  <si>
    <r>
      <rPr>
        <sz val="10"/>
        <rFont val="DejaVu Sans"/>
        <family val="2"/>
      </rPr>
      <t xml:space="preserve">마이크로 드릴 </t>
    </r>
    <r>
      <rPr>
        <sz val="10"/>
        <rFont val="DejaVu Sans"/>
        <family val="2"/>
        <charset val="1"/>
      </rPr>
      <t xml:space="preserve">/ </t>
    </r>
    <r>
      <rPr>
        <sz val="10"/>
        <rFont val="DejaVu Sans"/>
        <family val="2"/>
      </rPr>
      <t xml:space="preserve">평면 가공</t>
    </r>
  </si>
  <si>
    <r>
      <rPr>
        <i val="true"/>
        <sz val="9"/>
        <color rgb="FF555555"/>
        <rFont val="Arial"/>
        <family val="0"/>
        <charset val="1"/>
      </rPr>
      <t xml:space="preserve">※ X </t>
    </r>
    <r>
      <rPr>
        <i val="true"/>
        <sz val="9"/>
        <color rgb="FF555555"/>
        <rFont val="DejaVu Sans"/>
        <family val="2"/>
      </rPr>
      <t xml:space="preserve">거리는 드릴 끝 평면 기준에서 포인트 정점까지의 축방향 높이</t>
    </r>
    <r>
      <rPr>
        <i val="true"/>
        <sz val="9"/>
        <color rgb="FF555555"/>
        <rFont val="Arial"/>
        <family val="0"/>
        <charset val="1"/>
      </rPr>
      <t xml:space="preserve">.</t>
    </r>
  </si>
  <si>
    <r>
      <rPr>
        <i val="true"/>
        <sz val="9"/>
        <color rgb="FF555555"/>
        <rFont val="DejaVu Sans"/>
        <family val="2"/>
      </rPr>
      <t xml:space="preserve">  포인트각이 </t>
    </r>
    <r>
      <rPr>
        <i val="true"/>
        <sz val="9"/>
        <color rgb="FF555555"/>
        <rFont val="DejaVu Sans"/>
        <family val="2"/>
        <charset val="1"/>
      </rPr>
      <t xml:space="preserve">180°</t>
    </r>
    <r>
      <rPr>
        <i val="true"/>
        <sz val="9"/>
        <color rgb="FF555555"/>
        <rFont val="DejaVu Sans"/>
        <family val="2"/>
      </rPr>
      <t xml:space="preserve">에 가까울수록 </t>
    </r>
    <r>
      <rPr>
        <i val="true"/>
        <sz val="9"/>
        <color rgb="FF555555"/>
        <rFont val="DejaVu Sans"/>
        <family val="2"/>
        <charset val="1"/>
      </rPr>
      <t xml:space="preserve">X→0 (</t>
    </r>
    <r>
      <rPr>
        <i val="true"/>
        <sz val="9"/>
        <color rgb="FF555555"/>
        <rFont val="DejaVu Sans"/>
        <family val="2"/>
      </rPr>
      <t xml:space="preserve">평면 공구</t>
    </r>
    <r>
      <rPr>
        <i val="true"/>
        <sz val="9"/>
        <color rgb="FF555555"/>
        <rFont val="DejaVu Sans"/>
        <family val="2"/>
        <charset val="1"/>
      </rPr>
      <t xml:space="preserve">). </t>
    </r>
    <r>
      <rPr>
        <i val="true"/>
        <sz val="9"/>
        <color rgb="FF555555"/>
        <rFont val="DejaVu Sans"/>
        <family val="2"/>
      </rPr>
      <t xml:space="preserve">표준 </t>
    </r>
    <r>
      <rPr>
        <i val="true"/>
        <sz val="9"/>
        <color rgb="FF555555"/>
        <rFont val="DejaVu Sans"/>
        <family val="2"/>
        <charset val="1"/>
      </rPr>
      <t xml:space="preserve">118°</t>
    </r>
    <r>
      <rPr>
        <i val="true"/>
        <sz val="9"/>
        <color rgb="FF555555"/>
        <rFont val="DejaVu Sans"/>
        <family val="2"/>
      </rPr>
      <t xml:space="preserve">에서는 </t>
    </r>
    <r>
      <rPr>
        <i val="true"/>
        <sz val="9"/>
        <color rgb="FF555555"/>
        <rFont val="DejaVu Sans"/>
        <family val="2"/>
        <charset val="1"/>
      </rPr>
      <t xml:space="preserve">X ≈ D/2 × 0.6.</t>
    </r>
  </si>
  <si>
    <r>
      <rPr>
        <i val="true"/>
        <sz val="9"/>
        <color rgb="FF555555"/>
        <rFont val="Arial"/>
        <family val="0"/>
        <charset val="1"/>
      </rPr>
      <t xml:space="preserve">※ ANCA tool grinder X</t>
    </r>
    <r>
      <rPr>
        <i val="true"/>
        <sz val="9"/>
        <color rgb="FF555555"/>
        <rFont val="DejaVu Sans"/>
        <family val="2"/>
      </rPr>
      <t xml:space="preserve">축 보정값 </t>
    </r>
    <r>
      <rPr>
        <i val="true"/>
        <sz val="9"/>
        <color rgb="FF555555"/>
        <rFont val="Arial"/>
        <family val="0"/>
        <charset val="1"/>
      </rPr>
      <t xml:space="preserve">/ </t>
    </r>
    <r>
      <rPr>
        <i val="true"/>
        <sz val="9"/>
        <color rgb="FF555555"/>
        <rFont val="DejaVu Sans"/>
        <family val="2"/>
      </rPr>
      <t xml:space="preserve">드릴 그라인딩 셋업 시 사용</t>
    </r>
    <r>
      <rPr>
        <i val="true"/>
        <sz val="9"/>
        <color rgb="FF555555"/>
        <rFont val="Arial"/>
        <family val="0"/>
        <charset val="1"/>
      </rPr>
      <t xml:space="preserve">.</t>
    </r>
  </si>
  <si>
    <r>
      <rPr>
        <b val="true"/>
        <sz val="14"/>
        <color rgb="FFFFFFFF"/>
        <rFont val="DejaVu Sans"/>
        <family val="2"/>
      </rPr>
      <t xml:space="preserve">그라인딩 닥터 툴박스 </t>
    </r>
    <r>
      <rPr>
        <b val="true"/>
        <sz val="14"/>
        <color rgb="FFFFFFFF"/>
        <rFont val="DejaVu Sans"/>
        <family val="2"/>
        <charset val="1"/>
      </rPr>
      <t xml:space="preserve">v8.2 — </t>
    </r>
    <r>
      <rPr>
        <b val="true"/>
        <sz val="14"/>
        <color rgb="FFFFFFFF"/>
        <rFont val="DejaVu Sans"/>
        <family val="2"/>
      </rPr>
      <t xml:space="preserve">한글 번역판</t>
    </r>
  </si>
  <si>
    <r>
      <rPr>
        <i val="true"/>
        <sz val="9"/>
        <color rgb="FF555555"/>
        <rFont val="DejaVu Sans"/>
        <family val="2"/>
      </rPr>
      <t xml:space="preserve">원작</t>
    </r>
    <r>
      <rPr>
        <i val="true"/>
        <sz val="9"/>
        <color rgb="FF555555"/>
        <rFont val="DejaVu Sans"/>
        <family val="2"/>
        <charset val="1"/>
      </rPr>
      <t xml:space="preserve">: Dr. Jeffrey A. Badger (TheGrindingDoc.com) / </t>
    </r>
    <r>
      <rPr>
        <i val="true"/>
        <sz val="9"/>
        <color rgb="FF555555"/>
        <rFont val="DejaVu Sans"/>
        <family val="2"/>
      </rPr>
      <t xml:space="preserve">한글 번역만 적용</t>
    </r>
    <r>
      <rPr>
        <i val="true"/>
        <sz val="9"/>
        <color rgb="FF555555"/>
        <rFont val="DejaVu Sans"/>
        <family val="2"/>
        <charset val="1"/>
      </rPr>
      <t xml:space="preserve">, </t>
    </r>
    <r>
      <rPr>
        <i val="true"/>
        <sz val="9"/>
        <color rgb="FF555555"/>
        <rFont val="DejaVu Sans"/>
        <family val="2"/>
      </rPr>
      <t xml:space="preserve">원본 레이아웃 보존</t>
    </r>
  </si>
  <si>
    <t xml:space="preserve">■ 휠 원주속도 계산</t>
  </si>
  <si>
    <t xml:space="preserve">■ 단위 환산</t>
  </si>
  <si>
    <r>
      <rPr>
        <i val="true"/>
        <sz val="9"/>
        <color rgb="FF555555"/>
        <rFont val="DejaVu Sans"/>
        <family val="2"/>
      </rPr>
      <t xml:space="preserve">공식</t>
    </r>
    <r>
      <rPr>
        <i val="true"/>
        <sz val="9"/>
        <color rgb="FF555555"/>
        <rFont val="DejaVu Sans"/>
        <family val="2"/>
        <charset val="1"/>
      </rPr>
      <t xml:space="preserve">: </t>
    </r>
    <r>
      <rPr>
        <i val="true"/>
        <sz val="9"/>
        <color rgb="FF555555"/>
        <rFont val="DejaVu Sans"/>
        <family val="2"/>
      </rPr>
      <t xml:space="preserve">원주속도 </t>
    </r>
    <r>
      <rPr>
        <i val="true"/>
        <sz val="9"/>
        <color rgb="FF555555"/>
        <rFont val="DejaVu Sans"/>
        <family val="2"/>
        <charset val="1"/>
      </rPr>
      <t xml:space="preserve">= π × </t>
    </r>
    <r>
      <rPr>
        <i val="true"/>
        <sz val="9"/>
        <color rgb="FF555555"/>
        <rFont val="DejaVu Sans"/>
        <family val="2"/>
      </rPr>
      <t xml:space="preserve">휠직경 </t>
    </r>
    <r>
      <rPr>
        <i val="true"/>
        <sz val="9"/>
        <color rgb="FF555555"/>
        <rFont val="DejaVu Sans"/>
        <family val="2"/>
        <charset val="1"/>
      </rPr>
      <t xml:space="preserve">× </t>
    </r>
    <r>
      <rPr>
        <i val="true"/>
        <sz val="9"/>
        <color rgb="FF555555"/>
        <rFont val="DejaVu Sans"/>
        <family val="2"/>
      </rPr>
      <t xml:space="preserve">휠 </t>
    </r>
    <r>
      <rPr>
        <i val="true"/>
        <sz val="9"/>
        <color rgb="FF555555"/>
        <rFont val="DejaVu Sans"/>
        <family val="2"/>
        <charset val="1"/>
      </rPr>
      <t xml:space="preserve">RPM / 60,000   (</t>
    </r>
    <r>
      <rPr>
        <i val="true"/>
        <sz val="9"/>
        <color rgb="FF555555"/>
        <rFont val="DejaVu Sans"/>
        <family val="2"/>
      </rPr>
      <t xml:space="preserve">단위</t>
    </r>
    <r>
      <rPr>
        <i val="true"/>
        <sz val="9"/>
        <color rgb="FF555555"/>
        <rFont val="DejaVu Sans"/>
        <family val="2"/>
        <charset val="1"/>
      </rPr>
      <t xml:space="preserve">: m/s, mm, RPM)</t>
    </r>
  </si>
  <si>
    <r>
      <rPr>
        <b val="true"/>
        <sz val="10"/>
        <rFont val="DejaVu Sans"/>
        <family val="2"/>
      </rPr>
      <t xml:space="preserve">표면속도</t>
    </r>
    <r>
      <rPr>
        <b val="true"/>
        <sz val="10"/>
        <rFont val="DejaVu Sans"/>
        <family val="2"/>
        <charset val="1"/>
      </rPr>
      <t xml:space="preserve">: m/s ↔ sfpm</t>
    </r>
  </si>
  <si>
    <r>
      <rPr>
        <b val="true"/>
        <sz val="10"/>
        <rFont val="DejaVu Sans"/>
        <family val="2"/>
      </rPr>
      <t xml:space="preserve">옵션 </t>
    </r>
    <r>
      <rPr>
        <b val="true"/>
        <sz val="10"/>
        <rFont val="DejaVu Sans"/>
        <family val="2"/>
        <charset val="1"/>
      </rPr>
      <t xml:space="preserve">1: </t>
    </r>
    <r>
      <rPr>
        <b val="true"/>
        <sz val="10"/>
        <rFont val="DejaVu Sans"/>
        <family val="2"/>
      </rPr>
      <t xml:space="preserve">휠 </t>
    </r>
    <r>
      <rPr>
        <b val="true"/>
        <sz val="10"/>
        <rFont val="DejaVu Sans"/>
        <family val="2"/>
        <charset val="1"/>
      </rPr>
      <t xml:space="preserve">RPM</t>
    </r>
    <r>
      <rPr>
        <b val="true"/>
        <sz val="10"/>
        <rFont val="DejaVu Sans"/>
        <family val="2"/>
      </rPr>
      <t xml:space="preserve">과 휠 직경을 알 때 → 원주속도 계산</t>
    </r>
  </si>
  <si>
    <t xml:space="preserve">m/s =</t>
  </si>
  <si>
    <t xml:space="preserve">휠 직경이</t>
  </si>
  <si>
    <r>
      <rPr>
        <sz val="10"/>
        <rFont val="Arial"/>
        <family val="0"/>
        <charset val="1"/>
      </rPr>
      <t xml:space="preserve">mm </t>
    </r>
    <r>
      <rPr>
        <sz val="10"/>
        <rFont val="DejaVu Sans"/>
        <family val="2"/>
      </rPr>
      <t xml:space="preserve">이고 </t>
    </r>
    <r>
      <rPr>
        <sz val="10"/>
        <rFont val="Arial"/>
        <family val="0"/>
        <charset val="1"/>
      </rPr>
      <t xml:space="preserve">RPM</t>
    </r>
    <r>
      <rPr>
        <sz val="10"/>
        <rFont val="DejaVu Sans"/>
        <family val="2"/>
      </rPr>
      <t xml:space="preserve">이</t>
    </r>
  </si>
  <si>
    <r>
      <rPr>
        <sz val="10"/>
        <rFont val="DejaVu Sans"/>
        <family val="2"/>
      </rPr>
      <t xml:space="preserve">이면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원주속도는</t>
    </r>
  </si>
  <si>
    <t xml:space="preserve">sfpm =</t>
  </si>
  <si>
    <t xml:space="preserve">또는</t>
  </si>
  <si>
    <r>
      <rPr>
        <sz val="10"/>
        <rFont val="Arial"/>
        <family val="0"/>
        <charset val="1"/>
      </rPr>
      <t xml:space="preserve">        (</t>
    </r>
    <r>
      <rPr>
        <sz val="10"/>
        <rFont val="DejaVu Sans"/>
        <family val="2"/>
      </rPr>
      <t xml:space="preserve">또는 인치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</si>
  <si>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휠직경</t>
    </r>
    <r>
      <rPr>
        <sz val="10"/>
        <rFont val="Arial"/>
        <family val="0"/>
        <charset val="1"/>
      </rPr>
      <t xml:space="preserve">, inch </t>
    </r>
    <r>
      <rPr>
        <sz val="10"/>
        <rFont val="DejaVu Sans"/>
        <family val="2"/>
      </rPr>
      <t xml:space="preserve">입력 시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</si>
  <si>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DejaVu Sans"/>
        <family val="2"/>
      </rPr>
      <t xml:space="preserve">경도</t>
    </r>
    <r>
      <rPr>
        <b val="true"/>
        <sz val="10"/>
        <rFont val="DejaVu Sans"/>
        <family val="2"/>
        <charset val="1"/>
      </rPr>
      <t xml:space="preserve">: HRC ↔ Vickers HV</t>
    </r>
  </si>
  <si>
    <t xml:space="preserve">HRC =</t>
  </si>
  <si>
    <r>
      <rPr>
        <b val="true"/>
        <sz val="10"/>
        <rFont val="DejaVu Sans"/>
        <family val="2"/>
      </rPr>
      <t xml:space="preserve">옵션 </t>
    </r>
    <r>
      <rPr>
        <b val="true"/>
        <sz val="10"/>
        <rFont val="DejaVu Sans"/>
        <family val="2"/>
        <charset val="1"/>
      </rPr>
      <t xml:space="preserve">2: </t>
    </r>
    <r>
      <rPr>
        <b val="true"/>
        <sz val="10"/>
        <rFont val="DejaVu Sans"/>
        <family val="2"/>
      </rPr>
      <t xml:space="preserve">휠 직경과 원주속도를 알 때 → </t>
    </r>
    <r>
      <rPr>
        <b val="true"/>
        <sz val="10"/>
        <rFont val="DejaVu Sans"/>
        <family val="2"/>
        <charset val="1"/>
      </rPr>
      <t xml:space="preserve">RPM </t>
    </r>
    <r>
      <rPr>
        <b val="true"/>
        <sz val="10"/>
        <rFont val="DejaVu Sans"/>
        <family val="2"/>
      </rPr>
      <t xml:space="preserve">계산</t>
    </r>
  </si>
  <si>
    <t xml:space="preserve">HV =</t>
  </si>
  <si>
    <r>
      <rPr>
        <sz val="10"/>
        <rFont val="Arial"/>
        <family val="0"/>
        <charset val="1"/>
      </rPr>
      <t xml:space="preserve">mm </t>
    </r>
    <r>
      <rPr>
        <sz val="10"/>
        <rFont val="DejaVu Sans"/>
        <family val="2"/>
      </rPr>
      <t xml:space="preserve">이고 원주속도가</t>
    </r>
  </si>
  <si>
    <r>
      <rPr>
        <sz val="10"/>
        <rFont val="DejaVu Sans"/>
        <family val="2"/>
      </rPr>
      <t xml:space="preserve">이면</t>
    </r>
    <r>
      <rPr>
        <sz val="10"/>
        <rFont val="DejaVu Sans"/>
        <family val="2"/>
        <charset val="1"/>
      </rPr>
      <t xml:space="preserve">, RPM</t>
    </r>
    <r>
      <rPr>
        <sz val="10"/>
        <rFont val="DejaVu Sans"/>
        <family val="2"/>
      </rPr>
      <t xml:space="preserve">은</t>
    </r>
  </si>
  <si>
    <t xml:space="preserve">RPM</t>
  </si>
  <si>
    <r>
      <rPr>
        <sz val="10"/>
        <rFont val="DejaVu Sans"/>
        <family val="2"/>
      </rPr>
      <t xml:space="preserve">또는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인치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</si>
  <si>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또는 </t>
    </r>
    <r>
      <rPr>
        <sz val="10"/>
        <rFont val="DejaVu Sans"/>
        <family val="2"/>
        <charset val="1"/>
      </rPr>
      <t xml:space="preserve">(sfpm)</t>
    </r>
  </si>
  <si>
    <r>
      <rPr>
        <b val="true"/>
        <sz val="10"/>
        <rFont val="DejaVu Sans"/>
        <family val="2"/>
      </rPr>
      <t xml:space="preserve">온도</t>
    </r>
    <r>
      <rPr>
        <b val="true"/>
        <sz val="10"/>
        <rFont val="DejaVu Sans"/>
        <family val="2"/>
        <charset val="1"/>
      </rPr>
      <t xml:space="preserve">: °C ↔ °F</t>
    </r>
  </si>
  <si>
    <t xml:space="preserve">°C =</t>
  </si>
  <si>
    <r>
      <rPr>
        <b val="true"/>
        <sz val="10"/>
        <rFont val="DejaVu Sans"/>
        <family val="2"/>
      </rPr>
      <t xml:space="preserve">옵션 </t>
    </r>
    <r>
      <rPr>
        <b val="true"/>
        <sz val="10"/>
        <rFont val="DejaVu Sans"/>
        <family val="2"/>
        <charset val="1"/>
      </rPr>
      <t xml:space="preserve">3: </t>
    </r>
    <r>
      <rPr>
        <b val="true"/>
        <sz val="10"/>
        <rFont val="DejaVu Sans"/>
        <family val="2"/>
      </rPr>
      <t xml:space="preserve">휠 </t>
    </r>
    <r>
      <rPr>
        <b val="true"/>
        <sz val="10"/>
        <rFont val="DejaVu Sans"/>
        <family val="2"/>
        <charset val="1"/>
      </rPr>
      <t xml:space="preserve">RPM</t>
    </r>
    <r>
      <rPr>
        <b val="true"/>
        <sz val="10"/>
        <rFont val="DejaVu Sans"/>
        <family val="2"/>
      </rPr>
      <t xml:space="preserve">과 원주속도를 알 때 → 휠 직경 계산</t>
    </r>
  </si>
  <si>
    <t xml:space="preserve">°F =</t>
  </si>
  <si>
    <t xml:space="preserve">휠이</t>
  </si>
  <si>
    <r>
      <rPr>
        <sz val="10"/>
        <rFont val="Arial"/>
        <family val="0"/>
        <charset val="1"/>
      </rPr>
      <t xml:space="preserve">RPM </t>
    </r>
    <r>
      <rPr>
        <sz val="10"/>
        <rFont val="DejaVu Sans"/>
        <family val="2"/>
      </rPr>
      <t xml:space="preserve">이고 원주속도가</t>
    </r>
  </si>
  <si>
    <r>
      <rPr>
        <sz val="10"/>
        <rFont val="DejaVu Sans"/>
        <family val="2"/>
      </rPr>
      <t xml:space="preserve">이면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휠 직경은</t>
    </r>
  </si>
  <si>
    <r>
      <rPr>
        <b val="true"/>
        <sz val="10"/>
        <rFont val="DejaVu Sans"/>
        <family val="2"/>
      </rPr>
      <t xml:space="preserve">점도</t>
    </r>
    <r>
      <rPr>
        <b val="true"/>
        <sz val="10"/>
        <rFont val="DejaVu Sans"/>
        <family val="2"/>
        <charset val="1"/>
      </rPr>
      <t xml:space="preserve">: cSt ↔ SUS</t>
    </r>
  </si>
  <si>
    <t xml:space="preserve">cSt =</t>
  </si>
  <si>
    <t xml:space="preserve">SUS =</t>
  </si>
  <si>
    <r>
      <rPr>
        <b val="true"/>
        <sz val="11"/>
        <color rgb="FFFFFFFF"/>
        <rFont val="DejaVu Sans"/>
        <family val="2"/>
      </rPr>
      <t xml:space="preserve">■ 노즐 크기</t>
    </r>
    <r>
      <rPr>
        <b val="true"/>
        <sz val="11"/>
        <color rgb="FFFFFFFF"/>
        <rFont val="DejaVu Sans"/>
        <family val="2"/>
        <charset val="1"/>
      </rPr>
      <t xml:space="preserve">, </t>
    </r>
    <r>
      <rPr>
        <b val="true"/>
        <sz val="11"/>
        <color rgb="FFFFFFFF"/>
        <rFont val="DejaVu Sans"/>
        <family val="2"/>
      </rPr>
      <t xml:space="preserve">쿨런트 압력</t>
    </r>
    <r>
      <rPr>
        <b val="true"/>
        <sz val="11"/>
        <color rgb="FFFFFFFF"/>
        <rFont val="DejaVu Sans"/>
        <family val="2"/>
        <charset val="1"/>
      </rPr>
      <t xml:space="preserve">, </t>
    </r>
    <r>
      <rPr>
        <b val="true"/>
        <sz val="11"/>
        <color rgb="FFFFFFFF"/>
        <rFont val="DejaVu Sans"/>
        <family val="2"/>
      </rPr>
      <t xml:space="preserve">유량</t>
    </r>
    <r>
      <rPr>
        <b val="true"/>
        <sz val="11"/>
        <color rgb="FFFFFFFF"/>
        <rFont val="DejaVu Sans"/>
        <family val="2"/>
        <charset val="1"/>
      </rPr>
      <t xml:space="preserve">, </t>
    </r>
    <r>
      <rPr>
        <b val="true"/>
        <sz val="11"/>
        <color rgb="FFFFFFFF"/>
        <rFont val="DejaVu Sans"/>
        <family val="2"/>
      </rPr>
      <t xml:space="preserve">펌프 동력</t>
    </r>
  </si>
  <si>
    <t xml:space="preserve">휠 원주속도가</t>
  </si>
  <si>
    <r>
      <rPr>
        <sz val="10"/>
        <rFont val="Arial"/>
        <family val="0"/>
        <charset val="1"/>
      </rPr>
      <t xml:space="preserve">m/s </t>
    </r>
    <r>
      <rPr>
        <sz val="10"/>
        <rFont val="DejaVu Sans"/>
        <family val="2"/>
      </rPr>
      <t xml:space="preserve">일 때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필요 출구 압력은</t>
    </r>
  </si>
  <si>
    <r>
      <rPr>
        <sz val="10"/>
        <rFont val="Arial"/>
        <family val="0"/>
        <charset val="1"/>
      </rPr>
      <t xml:space="preserve">bar </t>
    </r>
    <r>
      <rPr>
        <sz val="10"/>
        <rFont val="DejaVu Sans"/>
        <family val="2"/>
      </rPr>
      <t xml:space="preserve">또는</t>
    </r>
  </si>
  <si>
    <t xml:space="preserve">psi</t>
  </si>
  <si>
    <r>
      <rPr>
        <b val="true"/>
        <sz val="10"/>
        <rFont val="DejaVu Sans"/>
        <family val="2"/>
      </rPr>
      <t xml:space="preserve">길이</t>
    </r>
    <r>
      <rPr>
        <b val="true"/>
        <sz val="10"/>
        <rFont val="DejaVu Sans"/>
        <family val="2"/>
        <charset val="1"/>
      </rPr>
      <t xml:space="preserve">: mm ↔ inch</t>
    </r>
  </si>
  <si>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수계 쿨런트 기준</t>
    </r>
    <r>
      <rPr>
        <sz val="10"/>
        <rFont val="Arial"/>
        <family val="0"/>
        <charset val="1"/>
      </rPr>
      <t xml:space="preserve">)</t>
    </r>
  </si>
  <si>
    <t xml:space="preserve">mm =</t>
  </si>
  <si>
    <r>
      <rPr>
        <sz val="10"/>
        <rFont val="DejaVu Sans"/>
        <family val="2"/>
      </rPr>
      <t xml:space="preserve">유계 쿨런트 기준</t>
    </r>
    <r>
      <rPr>
        <sz val="10"/>
        <rFont val="DejaVu Sans"/>
        <family val="2"/>
        <charset val="1"/>
      </rPr>
      <t xml:space="preserve">:</t>
    </r>
  </si>
  <si>
    <t xml:space="preserve">inch =</t>
  </si>
  <si>
    <t xml:space="preserve">원형 노즐 직경</t>
  </si>
  <si>
    <r>
      <rPr>
        <sz val="10"/>
        <rFont val="DejaVu Sans"/>
        <family val="2"/>
      </rPr>
      <t xml:space="preserve">노즐 개수</t>
    </r>
    <r>
      <rPr>
        <sz val="10"/>
        <rFont val="DejaVu Sans"/>
        <family val="2"/>
        <charset val="1"/>
      </rPr>
      <t xml:space="preserve">:</t>
    </r>
  </si>
  <si>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개당 단면적 </t>
    </r>
    <r>
      <rPr>
        <sz val="10"/>
        <rFont val="Arial"/>
        <family val="0"/>
        <charset val="1"/>
      </rPr>
      <t xml:space="preserve">=</t>
    </r>
  </si>
  <si>
    <t xml:space="preserve">mm²</t>
  </si>
  <si>
    <r>
      <rPr>
        <sz val="10"/>
        <rFont val="DejaVu Sans"/>
        <family val="2"/>
      </rPr>
      <t xml:space="preserve">총 단면적 </t>
    </r>
    <r>
      <rPr>
        <sz val="10"/>
        <rFont val="DejaVu Sans"/>
        <family val="2"/>
        <charset val="1"/>
      </rPr>
      <t xml:space="preserve">=</t>
    </r>
  </si>
  <si>
    <r>
      <rPr>
        <sz val="10"/>
        <rFont val="DejaVu Sans"/>
        <family val="2"/>
      </rPr>
      <t xml:space="preserve">유량 </t>
    </r>
    <r>
      <rPr>
        <sz val="10"/>
        <rFont val="DejaVu Sans"/>
        <family val="2"/>
        <charset val="1"/>
      </rPr>
      <t xml:space="preserve">=</t>
    </r>
  </si>
  <si>
    <t xml:space="preserve">L/min</t>
  </si>
  <si>
    <t xml:space="preserve">gpm</t>
  </si>
  <si>
    <r>
      <rPr>
        <sz val="10"/>
        <rFont val="DejaVu Sans"/>
        <family val="2"/>
      </rPr>
      <t xml:space="preserve">필요 펌프 동력 </t>
    </r>
    <r>
      <rPr>
        <sz val="10"/>
        <rFont val="DejaVu Sans"/>
        <family val="2"/>
        <charset val="1"/>
      </rPr>
      <t xml:space="preserve">=</t>
    </r>
  </si>
  <si>
    <t xml:space="preserve">kW</t>
  </si>
  <si>
    <t xml:space="preserve">hp</t>
  </si>
  <si>
    <r>
      <rPr>
        <i val="true"/>
        <sz val="9"/>
        <color rgb="FF555555"/>
        <rFont val="Arial"/>
        <family val="0"/>
        <charset val="1"/>
      </rPr>
      <t xml:space="preserve">※ Webster </t>
    </r>
    <r>
      <rPr>
        <i val="true"/>
        <sz val="9"/>
        <color rgb="FF555555"/>
        <rFont val="DejaVu Sans"/>
        <family val="2"/>
      </rPr>
      <t xml:space="preserve">표준 노즐 직경</t>
    </r>
    <r>
      <rPr>
        <i val="true"/>
        <sz val="9"/>
        <color rgb="FF555555"/>
        <rFont val="Arial"/>
        <family val="0"/>
        <charset val="1"/>
      </rPr>
      <t xml:space="preserve">: 3.125 mm (= 1/8 </t>
    </r>
    <r>
      <rPr>
        <i val="true"/>
        <sz val="9"/>
        <color rgb="FF555555"/>
        <rFont val="DejaVu Sans"/>
        <family val="2"/>
      </rPr>
      <t xml:space="preserve">인치</t>
    </r>
    <r>
      <rPr>
        <i val="true"/>
        <sz val="9"/>
        <color rgb="FF555555"/>
        <rFont val="Arial"/>
        <family val="0"/>
        <charset val="1"/>
      </rPr>
      <t xml:space="preserve">). </t>
    </r>
    <r>
      <rPr>
        <i val="true"/>
        <sz val="9"/>
        <color rgb="FF555555"/>
        <rFont val="DejaVu Sans"/>
        <family val="2"/>
      </rPr>
      <t xml:space="preserve">출처</t>
    </r>
    <r>
      <rPr>
        <i val="true"/>
        <sz val="9"/>
        <color rgb="FF555555"/>
        <rFont val="Arial"/>
        <family val="0"/>
        <charset val="1"/>
      </rPr>
      <t xml:space="preserve">: Webster, J. (2008)</t>
    </r>
  </si>
  <si>
    <r>
      <rPr>
        <b val="true"/>
        <sz val="11"/>
        <color rgb="FFFFFFFF"/>
        <rFont val="DejaVu Sans"/>
        <family val="2"/>
      </rPr>
      <t xml:space="preserve">■ 절삭 강도</t>
    </r>
    <r>
      <rPr>
        <b val="true"/>
        <sz val="11"/>
        <color rgb="FFFFFFFF"/>
        <rFont val="DejaVu Sans"/>
        <family val="2"/>
        <charset val="1"/>
      </rPr>
      <t xml:space="preserve">(Aggressiveness), </t>
    </r>
    <r>
      <rPr>
        <b val="true"/>
        <sz val="11"/>
        <color rgb="FFFFFFFF"/>
        <rFont val="DejaVu Sans"/>
        <family val="2"/>
      </rPr>
      <t xml:space="preserve">재료 제거율</t>
    </r>
    <r>
      <rPr>
        <b val="true"/>
        <sz val="11"/>
        <color rgb="FFFFFFFF"/>
        <rFont val="DejaVu Sans"/>
        <family val="2"/>
        <charset val="1"/>
      </rPr>
      <t xml:space="preserve">(MRR), </t>
    </r>
    <r>
      <rPr>
        <b val="true"/>
        <sz val="11"/>
        <color rgb="FFFFFFFF"/>
        <rFont val="DejaVu Sans"/>
        <family val="2"/>
      </rPr>
      <t xml:space="preserve">등가 칩 두께</t>
    </r>
    <r>
      <rPr>
        <b val="true"/>
        <sz val="11"/>
        <color rgb="FFFFFFFF"/>
        <rFont val="DejaVu Sans"/>
        <family val="2"/>
        <charset val="1"/>
      </rPr>
      <t xml:space="preserve">(h_eq)</t>
    </r>
  </si>
  <si>
    <r>
      <rPr>
        <i val="true"/>
        <sz val="9"/>
        <color rgb="FF555555"/>
        <rFont val="Arial"/>
        <family val="0"/>
        <charset val="1"/>
      </rPr>
      <t xml:space="preserve">MRR = </t>
    </r>
    <r>
      <rPr>
        <i val="true"/>
        <sz val="9"/>
        <color rgb="FF555555"/>
        <rFont val="DejaVu Sans"/>
        <family val="2"/>
      </rPr>
      <t xml:space="preserve">절삭깊이 </t>
    </r>
    <r>
      <rPr>
        <i val="true"/>
        <sz val="9"/>
        <color rgb="FF555555"/>
        <rFont val="Arial"/>
        <family val="0"/>
        <charset val="1"/>
      </rPr>
      <t xml:space="preserve">× </t>
    </r>
    <r>
      <rPr>
        <i val="true"/>
        <sz val="9"/>
        <color rgb="FF555555"/>
        <rFont val="DejaVu Sans"/>
        <family val="2"/>
      </rPr>
      <t xml:space="preserve">테이블속도   </t>
    </r>
    <r>
      <rPr>
        <i val="true"/>
        <sz val="9"/>
        <color rgb="FF555555"/>
        <rFont val="Arial"/>
        <family val="0"/>
        <charset val="1"/>
      </rPr>
      <t xml:space="preserve">|   h_eq = </t>
    </r>
    <r>
      <rPr>
        <i val="true"/>
        <sz val="9"/>
        <color rgb="FF555555"/>
        <rFont val="DejaVu Sans"/>
        <family val="2"/>
      </rPr>
      <t xml:space="preserve">절삭깊이 </t>
    </r>
    <r>
      <rPr>
        <i val="true"/>
        <sz val="9"/>
        <color rgb="FF555555"/>
        <rFont val="Arial"/>
        <family val="0"/>
        <charset val="1"/>
      </rPr>
      <t xml:space="preserve">× </t>
    </r>
    <r>
      <rPr>
        <i val="true"/>
        <sz val="9"/>
        <color rgb="FF555555"/>
        <rFont val="DejaVu Sans"/>
        <family val="2"/>
      </rPr>
      <t xml:space="preserve">테이블속도 </t>
    </r>
    <r>
      <rPr>
        <i val="true"/>
        <sz val="9"/>
        <color rgb="FF555555"/>
        <rFont val="Arial"/>
        <family val="0"/>
        <charset val="1"/>
      </rPr>
      <t xml:space="preserve">/ </t>
    </r>
    <r>
      <rPr>
        <i val="true"/>
        <sz val="9"/>
        <color rgb="FF555555"/>
        <rFont val="DejaVu Sans"/>
        <family val="2"/>
      </rPr>
      <t xml:space="preserve">휠속도   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DejaVu Sans"/>
        <family val="2"/>
      </rPr>
      <t xml:space="preserve">단위 정합 필수</t>
    </r>
    <r>
      <rPr>
        <i val="true"/>
        <sz val="9"/>
        <color rgb="FF555555"/>
        <rFont val="Arial"/>
        <family val="0"/>
        <charset val="1"/>
      </rPr>
      <t xml:space="preserve">)</t>
    </r>
  </si>
  <si>
    <r>
      <rPr>
        <b val="true"/>
        <sz val="10"/>
        <rFont val="DejaVu Sans"/>
        <family val="2"/>
      </rPr>
      <t xml:space="preserve">절삭깊이 </t>
    </r>
    <r>
      <rPr>
        <b val="true"/>
        <sz val="10"/>
        <rFont val="DejaVu Sans"/>
        <family val="2"/>
        <charset val="1"/>
      </rPr>
      <t xml:space="preserve">(mm)</t>
    </r>
  </si>
  <si>
    <r>
      <rPr>
        <b val="true"/>
        <sz val="10"/>
        <rFont val="DejaVu Sans"/>
        <family val="2"/>
      </rPr>
      <t xml:space="preserve">테이블속도 </t>
    </r>
    <r>
      <rPr>
        <b val="true"/>
        <sz val="10"/>
        <rFont val="DejaVu Sans"/>
        <family val="2"/>
        <charset val="1"/>
      </rPr>
      <t xml:space="preserve">(m/s)</t>
    </r>
  </si>
  <si>
    <r>
      <rPr>
        <b val="true"/>
        <sz val="10"/>
        <rFont val="DejaVu Sans"/>
        <family val="2"/>
      </rPr>
      <t xml:space="preserve">휠 속도 </t>
    </r>
    <r>
      <rPr>
        <b val="true"/>
        <sz val="10"/>
        <rFont val="DejaVu Sans"/>
        <family val="2"/>
        <charset val="1"/>
      </rPr>
      <t xml:space="preserve">(m/s)</t>
    </r>
  </si>
  <si>
    <t xml:space="preserve">Aggressiveness =</t>
  </si>
  <si>
    <t xml:space="preserve">h_eq =</t>
  </si>
  <si>
    <t xml:space="preserve">μm</t>
  </si>
  <si>
    <t xml:space="preserve">MRR =</t>
  </si>
  <si>
    <t xml:space="preserve">mm³/mm/s</t>
  </si>
  <si>
    <r>
      <rPr>
        <sz val="10"/>
        <rFont val="DejaVu Sans"/>
        <family val="2"/>
      </rPr>
      <t xml:space="preserve">속도비 </t>
    </r>
    <r>
      <rPr>
        <sz val="10"/>
        <rFont val="DejaVu Sans"/>
        <family val="2"/>
        <charset val="1"/>
      </rPr>
      <t xml:space="preserve">V/vw =</t>
    </r>
  </si>
  <si>
    <r>
      <rPr>
        <b val="true"/>
        <sz val="10"/>
        <rFont val="DejaVu Sans"/>
        <family val="2"/>
      </rPr>
      <t xml:space="preserve">그라인딩 바이킹 의 한 마디</t>
    </r>
    <r>
      <rPr>
        <b val="true"/>
        <sz val="10"/>
        <rFont val="DejaVu Sans"/>
        <family val="2"/>
        <charset val="1"/>
      </rPr>
      <t xml:space="preserve">:</t>
    </r>
  </si>
  <si>
    <t xml:space="preserve">■ 로터리 드레서 속도비</t>
  </si>
  <si>
    <r>
      <rPr>
        <b val="true"/>
        <sz val="10"/>
        <rFont val="Arial"/>
        <family val="0"/>
        <charset val="1"/>
      </rPr>
      <t xml:space="preserve">(A) </t>
    </r>
    <r>
      <rPr>
        <b val="true"/>
        <sz val="10"/>
        <rFont val="DejaVu Sans"/>
        <family val="2"/>
      </rPr>
      <t xml:space="preserve">휠 원주속도</t>
    </r>
  </si>
  <si>
    <r>
      <rPr>
        <b val="true"/>
        <sz val="10"/>
        <rFont val="DejaVu Sans"/>
        <family val="2"/>
      </rPr>
      <t xml:space="preserve">또는 휠 </t>
    </r>
    <r>
      <rPr>
        <b val="true"/>
        <sz val="10"/>
        <rFont val="DejaVu Sans"/>
        <family val="2"/>
        <charset val="1"/>
      </rPr>
      <t xml:space="preserve">RPM</t>
    </r>
  </si>
  <si>
    <r>
      <rPr>
        <b val="true"/>
        <sz val="10"/>
        <rFont val="Arial"/>
        <family val="0"/>
        <charset val="1"/>
      </rPr>
      <t xml:space="preserve">+ </t>
    </r>
    <r>
      <rPr>
        <b val="true"/>
        <sz val="10"/>
        <rFont val="DejaVu Sans"/>
        <family val="2"/>
      </rPr>
      <t xml:space="preserve">휠 직경</t>
    </r>
  </si>
  <si>
    <r>
      <rPr>
        <b val="true"/>
        <sz val="10"/>
        <rFont val="Arial"/>
        <family val="0"/>
        <charset val="1"/>
      </rPr>
      <t xml:space="preserve">(B) </t>
    </r>
    <r>
      <rPr>
        <b val="true"/>
        <sz val="10"/>
        <rFont val="DejaVu Sans"/>
        <family val="2"/>
      </rPr>
      <t xml:space="preserve">드레서 원주속도</t>
    </r>
  </si>
  <si>
    <r>
      <rPr>
        <b val="true"/>
        <sz val="10"/>
        <rFont val="DejaVu Sans"/>
        <family val="2"/>
      </rPr>
      <t xml:space="preserve">또는 드레서 </t>
    </r>
    <r>
      <rPr>
        <b val="true"/>
        <sz val="10"/>
        <rFont val="DejaVu Sans"/>
        <family val="2"/>
        <charset val="1"/>
      </rPr>
      <t xml:space="preserve">RPM</t>
    </r>
  </si>
  <si>
    <r>
      <rPr>
        <b val="true"/>
        <sz val="10"/>
        <rFont val="Arial"/>
        <family val="0"/>
        <charset val="1"/>
      </rPr>
      <t xml:space="preserve">+ </t>
    </r>
    <r>
      <rPr>
        <b val="true"/>
        <sz val="10"/>
        <rFont val="DejaVu Sans"/>
        <family val="2"/>
      </rPr>
      <t xml:space="preserve">드레서 직경</t>
    </r>
  </si>
  <si>
    <t xml:space="preserve">방향</t>
  </si>
  <si>
    <t xml:space="preserve">속도비</t>
  </si>
  <si>
    <r>
      <rPr>
        <sz val="10"/>
        <rFont val="DejaVu Sans"/>
        <family val="2"/>
      </rPr>
      <t xml:space="preserve">동방향</t>
    </r>
    <r>
      <rPr>
        <sz val="10"/>
        <rFont val="DejaVu Sans"/>
        <family val="2"/>
        <charset val="1"/>
      </rPr>
      <t xml:space="preserve">(+)</t>
    </r>
  </si>
  <si>
    <r>
      <rPr>
        <i val="true"/>
        <sz val="9"/>
        <color rgb="FF555555"/>
        <rFont val="DejaVu Sans"/>
        <family val="2"/>
      </rPr>
      <t xml:space="preserve">방향 동방향</t>
    </r>
    <r>
      <rPr>
        <i val="true"/>
        <sz val="9"/>
        <color rgb="FF555555"/>
        <rFont val="DejaVu Sans"/>
        <family val="2"/>
        <charset val="1"/>
      </rPr>
      <t xml:space="preserve">(+)</t>
    </r>
    <r>
      <rPr>
        <i val="true"/>
        <sz val="9"/>
        <color rgb="FF555555"/>
        <rFont val="DejaVu Sans"/>
        <family val="2"/>
      </rPr>
      <t xml:space="preserve">이 일반</t>
    </r>
    <r>
      <rPr>
        <i val="true"/>
        <sz val="9"/>
        <color rgb="FF555555"/>
        <rFont val="DejaVu Sans"/>
        <family val="2"/>
        <charset val="1"/>
      </rPr>
      <t xml:space="preserve">. </t>
    </r>
    <r>
      <rPr>
        <i val="true"/>
        <sz val="9"/>
        <color rgb="FF555555"/>
        <rFont val="DejaVu Sans"/>
        <family val="2"/>
      </rPr>
      <t xml:space="preserve">권장 속도비 </t>
    </r>
    <r>
      <rPr>
        <i val="true"/>
        <sz val="9"/>
        <color rgb="FF555555"/>
        <rFont val="DejaVu Sans"/>
        <family val="2"/>
        <charset val="1"/>
      </rPr>
      <t xml:space="preserve">+0.4~+0.8 (open) / +0.2 (timid). </t>
    </r>
    <r>
      <rPr>
        <i val="true"/>
        <sz val="9"/>
        <color rgb="FF555555"/>
        <rFont val="DejaVu Sans"/>
        <family val="2"/>
      </rPr>
      <t xml:space="preserve">역방향은 음수</t>
    </r>
    <r>
      <rPr>
        <i val="true"/>
        <sz val="9"/>
        <color rgb="FF555555"/>
        <rFont val="DejaVu Sans"/>
        <family val="2"/>
        <charset val="1"/>
      </rPr>
      <t xml:space="preserve">.</t>
    </r>
  </si>
  <si>
    <t xml:space="preserve">■ 로터리 드레서 플런지 이송</t>
  </si>
  <si>
    <r>
      <rPr>
        <b val="true"/>
        <sz val="10"/>
        <rFont val="DejaVu Sans"/>
        <family val="2"/>
      </rPr>
      <t xml:space="preserve">플런지 속도 </t>
    </r>
    <r>
      <rPr>
        <b val="true"/>
        <sz val="10"/>
        <rFont val="DejaVu Sans"/>
        <family val="2"/>
        <charset val="1"/>
      </rPr>
      <t xml:space="preserve">(mm/min)</t>
    </r>
  </si>
  <si>
    <r>
      <rPr>
        <b val="true"/>
        <sz val="10"/>
        <rFont val="DejaVu Sans"/>
        <family val="2"/>
      </rPr>
      <t xml:space="preserve">휠 </t>
    </r>
    <r>
      <rPr>
        <b val="true"/>
        <sz val="10"/>
        <rFont val="DejaVu Sans"/>
        <family val="2"/>
        <charset val="1"/>
      </rPr>
      <t xml:space="preserve">RPM </t>
    </r>
    <r>
      <rPr>
        <b val="true"/>
        <sz val="10"/>
        <rFont val="DejaVu Sans"/>
        <family val="2"/>
      </rPr>
      <t xml:space="preserve">또는 휠속도</t>
    </r>
    <r>
      <rPr>
        <b val="true"/>
        <sz val="10"/>
        <rFont val="DejaVu Sans"/>
        <family val="2"/>
        <charset val="1"/>
      </rPr>
      <t xml:space="preserve">(m/s) + </t>
    </r>
    <r>
      <rPr>
        <b val="true"/>
        <sz val="10"/>
        <rFont val="DejaVu Sans"/>
        <family val="2"/>
      </rPr>
      <t xml:space="preserve">직경</t>
    </r>
    <r>
      <rPr>
        <b val="true"/>
        <sz val="10"/>
        <rFont val="DejaVu Sans"/>
        <family val="2"/>
        <charset val="1"/>
      </rPr>
      <t xml:space="preserve">(mm)</t>
    </r>
  </si>
  <si>
    <t xml:space="preserve">→ 회전당 이송</t>
  </si>
  <si>
    <t xml:space="preserve">회전당 이송 가이드</t>
  </si>
  <si>
    <r>
      <rPr>
        <sz val="10"/>
        <rFont val="Arial"/>
        <family val="0"/>
        <charset val="1"/>
      </rPr>
      <t xml:space="preserve">mm/</t>
    </r>
    <r>
      <rPr>
        <sz val="10"/>
        <rFont val="DejaVu Sans"/>
        <family val="2"/>
      </rPr>
      <t xml:space="preserve">회전</t>
    </r>
  </si>
  <si>
    <r>
      <rPr>
        <sz val="10"/>
        <rFont val="DejaVu Sans"/>
        <family val="2"/>
      </rPr>
      <t xml:space="preserve">매우 </t>
    </r>
    <r>
      <rPr>
        <sz val="10"/>
        <rFont val="DejaVu Sans"/>
        <family val="2"/>
        <charset val="1"/>
      </rPr>
      <t xml:space="preserve">timid (</t>
    </r>
    <r>
      <rPr>
        <sz val="10"/>
        <rFont val="DejaVu Sans"/>
        <family val="2"/>
      </rPr>
      <t xml:space="preserve">무딘</t>
    </r>
    <r>
      <rPr>
        <sz val="10"/>
        <rFont val="DejaVu Sans"/>
        <family val="2"/>
        <charset val="1"/>
      </rPr>
      <t xml:space="preserve">, closed </t>
    </r>
    <r>
      <rPr>
        <sz val="10"/>
        <rFont val="DejaVu Sans"/>
        <family val="2"/>
      </rPr>
      <t xml:space="preserve">휠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</si>
  <si>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normal (</t>
    </r>
    <r>
      <rPr>
        <sz val="10"/>
        <rFont val="DejaVu Sans"/>
        <family val="2"/>
      </rPr>
      <t xml:space="preserve">표준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</si>
  <si>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aggressive (sharp </t>
    </r>
    <r>
      <rPr>
        <sz val="10"/>
        <rFont val="DejaVu Sans"/>
        <family val="2"/>
      </rPr>
      <t xml:space="preserve">휠</t>
    </r>
    <r>
      <rPr>
        <sz val="10"/>
        <rFont val="Arial"/>
        <family val="0"/>
        <charset val="1"/>
      </rPr>
      <t xml:space="preserve">)</t>
    </r>
  </si>
  <si>
    <t xml:space="preserve">추가 이득 없음</t>
  </si>
  <si>
    <t xml:space="preserve">■ 로터리 드레서 체류 시간</t>
  </si>
  <si>
    <r>
      <rPr>
        <b val="true"/>
        <sz val="10"/>
        <rFont val="DejaVu Sans"/>
        <family val="2"/>
      </rPr>
      <t xml:space="preserve">휠 </t>
    </r>
    <r>
      <rPr>
        <b val="true"/>
        <sz val="10"/>
        <rFont val="DejaVu Sans"/>
        <family val="2"/>
        <charset val="1"/>
      </rPr>
      <t xml:space="preserve">RPM </t>
    </r>
    <r>
      <rPr>
        <b val="true"/>
        <sz val="10"/>
        <rFont val="DejaVu Sans"/>
        <family val="2"/>
      </rPr>
      <t xml:space="preserve">또는 </t>
    </r>
    <r>
      <rPr>
        <b val="true"/>
        <sz val="10"/>
        <rFont val="DejaVu Sans"/>
        <family val="2"/>
        <charset val="1"/>
      </rPr>
      <t xml:space="preserve">(</t>
    </r>
    <r>
      <rPr>
        <b val="true"/>
        <sz val="10"/>
        <rFont val="DejaVu Sans"/>
        <family val="2"/>
      </rPr>
      <t xml:space="preserve">휠속도 </t>
    </r>
    <r>
      <rPr>
        <b val="true"/>
        <sz val="10"/>
        <rFont val="DejaVu Sans"/>
        <family val="2"/>
        <charset val="1"/>
      </rPr>
      <t xml:space="preserve">+ </t>
    </r>
    <r>
      <rPr>
        <b val="true"/>
        <sz val="10"/>
        <rFont val="DejaVu Sans"/>
        <family val="2"/>
      </rPr>
      <t xml:space="preserve">직경</t>
    </r>
    <r>
      <rPr>
        <b val="true"/>
        <sz val="10"/>
        <rFont val="DejaVu Sans"/>
        <family val="2"/>
        <charset val="1"/>
      </rPr>
      <t xml:space="preserve">)</t>
    </r>
  </si>
  <si>
    <t xml:space="preserve">체류 회전수 가이드</t>
  </si>
  <si>
    <t xml:space="preserve">회전</t>
  </si>
  <si>
    <r>
      <rPr>
        <i val="true"/>
        <sz val="9"/>
        <color rgb="FF555555"/>
        <rFont val="DejaVu Sans"/>
        <family val="2"/>
      </rPr>
      <t xml:space="preserve">동방향</t>
    </r>
    <r>
      <rPr>
        <i val="true"/>
        <sz val="9"/>
        <color rgb="FF555555"/>
        <rFont val="DejaVu Sans"/>
        <family val="2"/>
        <charset val="1"/>
      </rPr>
      <t xml:space="preserve">: 20~40 </t>
    </r>
    <r>
      <rPr>
        <i val="true"/>
        <sz val="9"/>
        <color rgb="FF555555"/>
        <rFont val="DejaVu Sans"/>
        <family val="2"/>
      </rPr>
      <t xml:space="preserve">회전 권장</t>
    </r>
  </si>
  <si>
    <r>
      <rPr>
        <i val="true"/>
        <sz val="9"/>
        <color rgb="FF555555"/>
        <rFont val="DejaVu Sans"/>
        <family val="2"/>
      </rPr>
      <t xml:space="preserve">역방향</t>
    </r>
    <r>
      <rPr>
        <i val="true"/>
        <sz val="9"/>
        <color rgb="FF555555"/>
        <rFont val="DejaVu Sans"/>
        <family val="2"/>
        <charset val="1"/>
      </rPr>
      <t xml:space="preserve">: 10~20 </t>
    </r>
    <r>
      <rPr>
        <i val="true"/>
        <sz val="9"/>
        <color rgb="FF555555"/>
        <rFont val="DejaVu Sans"/>
        <family val="2"/>
      </rPr>
      <t xml:space="preserve">회전 권장</t>
    </r>
  </si>
  <si>
    <r>
      <rPr>
        <b val="true"/>
        <sz val="11"/>
        <color rgb="FFFFFFFF"/>
        <rFont val="DejaVu Sans"/>
        <family val="2"/>
      </rPr>
      <t xml:space="preserve">■ 단점</t>
    </r>
    <r>
      <rPr>
        <b val="true"/>
        <sz val="11"/>
        <color rgb="FFFFFFFF"/>
        <rFont val="DejaVu Sans"/>
        <family val="2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클러스터 다이아몬드 드레싱 </t>
    </r>
    <r>
      <rPr>
        <b val="true"/>
        <sz val="11"/>
        <color rgb="FFFFFFFF"/>
        <rFont val="DejaVu Sans"/>
        <family val="2"/>
        <charset val="1"/>
      </rPr>
      <t xml:space="preserve">lead</t>
    </r>
  </si>
  <si>
    <t xml:space="preserve">→ Dressing lead</t>
  </si>
  <si>
    <t xml:space="preserve">단점 다이아몬드</t>
  </si>
  <si>
    <t xml:space="preserve">클러스터 다이아몬드</t>
  </si>
  <si>
    <t xml:space="preserve">0.05 – 0.1</t>
  </si>
  <si>
    <t xml:space="preserve">closed</t>
  </si>
  <si>
    <t xml:space="preserve">standard</t>
  </si>
  <si>
    <t xml:space="preserve">open</t>
  </si>
  <si>
    <t xml:space="preserve">0.8 – 2.0</t>
  </si>
  <si>
    <r>
      <rPr>
        <b val="true"/>
        <sz val="14"/>
        <color rgb="FFFFFFFF"/>
        <rFont val="DejaVu Sans"/>
        <family val="2"/>
      </rPr>
      <t xml:space="preserve">쿨런트 온도 변동 → 형상 열변형 보정 계산기 </t>
    </r>
    <r>
      <rPr>
        <b val="true"/>
        <sz val="14"/>
        <color rgb="FFFFFFFF"/>
        <rFont val="DejaVu Sans"/>
        <family val="2"/>
        <charset val="1"/>
      </rPr>
      <t xml:space="preserve">(v4)</t>
    </r>
  </si>
  <si>
    <r>
      <rPr>
        <i val="true"/>
        <sz val="9"/>
        <color rgb="FF555555"/>
        <rFont val="Arial"/>
        <family val="0"/>
        <charset val="1"/>
      </rPr>
      <t xml:space="preserve">v4 </t>
    </r>
    <r>
      <rPr>
        <i val="true"/>
        <sz val="9"/>
        <color rgb="FF555555"/>
        <rFont val="DejaVu Sans"/>
        <family val="2"/>
      </rPr>
      <t xml:space="preserve">변경</t>
    </r>
    <r>
      <rPr>
        <i val="true"/>
        <sz val="9"/>
        <color rgb="FF555555"/>
        <rFont val="Arial"/>
        <family val="0"/>
        <charset val="1"/>
      </rPr>
      <t xml:space="preserve">: </t>
    </r>
    <r>
      <rPr>
        <i val="true"/>
        <sz val="9"/>
        <color rgb="FF555555"/>
        <rFont val="DejaVu Sans"/>
        <family val="2"/>
      </rPr>
      <t xml:space="preserve">출처 </t>
    </r>
    <r>
      <rPr>
        <i val="true"/>
        <sz val="9"/>
        <color rgb="FF555555"/>
        <rFont val="Arial"/>
        <family val="0"/>
        <charset val="1"/>
      </rPr>
      <t xml:space="preserve">5</t>
    </r>
    <r>
      <rPr>
        <i val="true"/>
        <sz val="9"/>
        <color rgb="FF555555"/>
        <rFont val="DejaVu Sans"/>
        <family val="2"/>
      </rPr>
      <t xml:space="preserve">등급 </t>
    </r>
    <r>
      <rPr>
        <i val="true"/>
        <sz val="9"/>
        <color rgb="FF555555"/>
        <rFont val="Arial"/>
        <family val="0"/>
        <charset val="1"/>
      </rPr>
      <t xml:space="preserve">/ ΔT </t>
    </r>
    <r>
      <rPr>
        <i val="true"/>
        <sz val="9"/>
        <color rgb="FF555555"/>
        <rFont val="DejaVu Sans"/>
        <family val="2"/>
      </rPr>
      <t xml:space="preserve">정의 </t>
    </r>
    <r>
      <rPr>
        <i val="true"/>
        <sz val="9"/>
        <color rgb="FF555555"/>
        <rFont val="Arial"/>
        <family val="0"/>
        <charset val="1"/>
      </rPr>
      <t xml:space="preserve">/ </t>
    </r>
    <r>
      <rPr>
        <i val="true"/>
        <sz val="9"/>
        <color rgb="FF555555"/>
        <rFont val="DejaVu Sans"/>
        <family val="2"/>
      </rPr>
      <t xml:space="preserve">공차 입력값 </t>
    </r>
    <r>
      <rPr>
        <i val="true"/>
        <sz val="9"/>
        <color rgb="FF555555"/>
        <rFont val="Arial"/>
        <family val="0"/>
        <charset val="1"/>
      </rPr>
      <t xml:space="preserve">/ </t>
    </r>
    <r>
      <rPr>
        <i val="true"/>
        <sz val="9"/>
        <color rgb="FF555555"/>
        <rFont val="DejaVu Sans"/>
        <family val="2"/>
      </rPr>
      <t xml:space="preserve">실측 검증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DejaVu Sans"/>
        <family val="2"/>
      </rPr>
      <t xml:space="preserve">최소안</t>
    </r>
    <r>
      <rPr>
        <i val="true"/>
        <sz val="9"/>
        <color rgb="FF555555"/>
        <rFont val="Arial"/>
        <family val="0"/>
        <charset val="1"/>
      </rPr>
      <t xml:space="preserve">) / Tg-</t>
    </r>
    <r>
      <rPr>
        <i val="true"/>
        <sz val="9"/>
        <color rgb="FF555555"/>
        <rFont val="DejaVu Sans"/>
        <family val="2"/>
      </rPr>
      <t xml:space="preserve">쿨런트 분리 </t>
    </r>
    <r>
      <rPr>
        <i val="true"/>
        <sz val="9"/>
        <color rgb="FF555555"/>
        <rFont val="Arial"/>
        <family val="0"/>
        <charset val="1"/>
      </rPr>
      <t xml:space="preserve">/ Brinksmeier </t>
    </r>
    <r>
      <rPr>
        <i val="true"/>
        <sz val="9"/>
        <color rgb="FF555555"/>
        <rFont val="DejaVu Sans"/>
        <family val="2"/>
      </rPr>
      <t xml:space="preserve">인용 분리 </t>
    </r>
    <r>
      <rPr>
        <i val="true"/>
        <sz val="9"/>
        <color rgb="FF555555"/>
        <rFont val="Arial"/>
        <family val="0"/>
        <charset val="1"/>
      </rPr>
      <t xml:space="preserve">/ ISO 1·230-3 </t>
    </r>
    <r>
      <rPr>
        <i val="true"/>
        <sz val="9"/>
        <color rgb="FF555555"/>
        <rFont val="DejaVu Sans"/>
        <family val="2"/>
      </rPr>
      <t xml:space="preserve">분리</t>
    </r>
  </si>
  <si>
    <r>
      <rPr>
        <b val="true"/>
        <sz val="11"/>
        <color rgb="FFFFFFFF"/>
        <rFont val="Arial"/>
        <family val="0"/>
        <charset val="1"/>
      </rPr>
      <t xml:space="preserve">■ 1. </t>
    </r>
    <r>
      <rPr>
        <b val="true"/>
        <sz val="11"/>
        <color rgb="FFFFFFFF"/>
        <rFont val="DejaVu Sans"/>
        <family val="2"/>
      </rPr>
      <t xml:space="preserve">입력 조건</t>
    </r>
  </si>
  <si>
    <t xml:space="preserve">워크피스 재료</t>
  </si>
  <si>
    <r>
      <rPr>
        <sz val="10"/>
        <rFont val="DejaVu Sans"/>
        <family val="2"/>
      </rPr>
      <t xml:space="preserve">초경 </t>
    </r>
    <r>
      <rPr>
        <sz val="10"/>
        <rFont val="DejaVu Sans"/>
        <family val="2"/>
        <charset val="1"/>
      </rPr>
      <t xml:space="preserve">(WC-Co)</t>
    </r>
  </si>
  <si>
    <r>
      <rPr>
        <b val="true"/>
        <sz val="10"/>
        <rFont val="DejaVu Sans"/>
        <family val="2"/>
      </rPr>
      <t xml:space="preserve">워크피스 직경 </t>
    </r>
    <r>
      <rPr>
        <b val="true"/>
        <sz val="10"/>
        <rFont val="DejaVu Sans"/>
        <family val="2"/>
        <charset val="1"/>
      </rPr>
      <t xml:space="preserve">D (mm)</t>
    </r>
  </si>
  <si>
    <t xml:space="preserve">휠 본드 종류</t>
  </si>
  <si>
    <t xml:space="preserve">Resin</t>
  </si>
  <si>
    <r>
      <rPr>
        <b val="true"/>
        <sz val="10"/>
        <rFont val="DejaVu Sans"/>
        <family val="2"/>
      </rPr>
      <t xml:space="preserve">휠 직경 </t>
    </r>
    <r>
      <rPr>
        <b val="true"/>
        <sz val="10"/>
        <rFont val="DejaVu Sans"/>
        <family val="2"/>
        <charset val="1"/>
      </rPr>
      <t xml:space="preserve">D_w (mm)</t>
    </r>
  </si>
  <si>
    <r>
      <rPr>
        <b val="true"/>
        <sz val="10"/>
        <rFont val="DejaVu Sans"/>
        <family val="2"/>
      </rPr>
      <t xml:space="preserve">머신 컬럼 길이 </t>
    </r>
    <r>
      <rPr>
        <b val="true"/>
        <sz val="10"/>
        <rFont val="DejaVu Sans"/>
        <family val="2"/>
        <charset val="1"/>
      </rPr>
      <t xml:space="preserve">L (mm)</t>
    </r>
  </si>
  <si>
    <r>
      <rPr>
        <i val="true"/>
        <sz val="9"/>
        <color rgb="FF555555"/>
        <rFont val="Arial"/>
        <family val="0"/>
        <charset val="1"/>
      </rPr>
      <t xml:space="preserve">ANCA tool grinder </t>
    </r>
    <r>
      <rPr>
        <i val="true"/>
        <sz val="9"/>
        <color rgb="FF555555"/>
        <rFont val="DejaVu Sans"/>
        <family val="2"/>
      </rPr>
      <t xml:space="preserve">컬럼 약 </t>
    </r>
    <r>
      <rPr>
        <i val="true"/>
        <sz val="9"/>
        <color rgb="FF555555"/>
        <rFont val="Arial"/>
        <family val="0"/>
        <charset val="1"/>
      </rPr>
      <t xml:space="preserve">400~600 mm</t>
    </r>
  </si>
  <si>
    <r>
      <rPr>
        <b val="true"/>
        <sz val="10"/>
        <rFont val="DejaVu Sans"/>
        <family val="2"/>
      </rPr>
      <t xml:space="preserve">쿨런트 온도 변동폭 </t>
    </r>
    <r>
      <rPr>
        <b val="true"/>
        <sz val="10"/>
        <rFont val="DejaVu Sans"/>
        <family val="2"/>
        <charset val="1"/>
      </rPr>
      <t xml:space="preserve">ΔT (°C)</t>
    </r>
  </si>
  <si>
    <r>
      <rPr>
        <i val="true"/>
        <sz val="9"/>
        <color rgb="FF555555"/>
        <rFont val="DejaVu Sans"/>
        <family val="2"/>
      </rPr>
      <t xml:space="preserve">정의</t>
    </r>
    <r>
      <rPr>
        <i val="true"/>
        <sz val="9"/>
        <color rgb="FF555555"/>
        <rFont val="DejaVu Sans"/>
        <family val="2"/>
        <charset val="1"/>
      </rPr>
      <t xml:space="preserve">: </t>
    </r>
    <r>
      <rPr>
        <i val="true"/>
        <sz val="9"/>
        <color rgb="FF555555"/>
        <rFont val="DejaVu Sans"/>
        <family val="2"/>
      </rPr>
      <t xml:space="preserve">운전 중 </t>
    </r>
    <r>
      <rPr>
        <i val="true"/>
        <sz val="9"/>
        <color rgb="FF555555"/>
        <rFont val="DejaVu Sans"/>
        <family val="2"/>
        <charset val="1"/>
      </rPr>
      <t xml:space="preserve">peak-to-peak </t>
    </r>
    <r>
      <rPr>
        <i val="true"/>
        <sz val="9"/>
        <color rgb="FF555555"/>
        <rFont val="DejaVu Sans"/>
        <family val="2"/>
      </rPr>
      <t xml:space="preserve">또는 기준온도 대비 차이</t>
    </r>
    <r>
      <rPr>
        <i val="true"/>
        <sz val="9"/>
        <color rgb="FF555555"/>
        <rFont val="DejaVu Sans"/>
        <family val="2"/>
        <charset val="1"/>
      </rPr>
      <t xml:space="preserve">. </t>
    </r>
    <r>
      <rPr>
        <i val="true"/>
        <sz val="9"/>
        <color rgb="FF555555"/>
        <rFont val="DejaVu Sans"/>
        <family val="2"/>
      </rPr>
      <t xml:space="preserve">보수 계산 시 </t>
    </r>
    <r>
      <rPr>
        <i val="true"/>
        <sz val="9"/>
        <color rgb="FF555555"/>
        <rFont val="DejaVu Sans"/>
        <family val="2"/>
        <charset val="1"/>
      </rPr>
      <t xml:space="preserve">peak-to-peak </t>
    </r>
    <r>
      <rPr>
        <i val="true"/>
        <sz val="9"/>
        <color rgb="FF555555"/>
        <rFont val="DejaVu Sans"/>
        <family val="2"/>
      </rPr>
      <t xml:space="preserve">입력 권장</t>
    </r>
  </si>
  <si>
    <r>
      <rPr>
        <b val="true"/>
        <sz val="11"/>
        <color rgb="FFFFFFFF"/>
        <rFont val="Arial"/>
        <family val="0"/>
        <charset val="1"/>
      </rPr>
      <t xml:space="preserve">■ 2. </t>
    </r>
    <r>
      <rPr>
        <b val="true"/>
        <sz val="11"/>
        <color rgb="FFFFFFFF"/>
        <rFont val="DejaVu Sans"/>
        <family val="2"/>
      </rPr>
      <t xml:space="preserve">허용공차 입력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도면별 변경 가능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</si>
  <si>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0"/>
        <rFont val="DejaVu Sans"/>
        <family val="2"/>
      </rPr>
      <t xml:space="preserve">허용공차 </t>
    </r>
    <r>
      <rPr>
        <b val="true"/>
        <sz val="10"/>
        <rFont val="DejaVu Sans"/>
        <family val="2"/>
        <charset val="1"/>
      </rPr>
      <t xml:space="preserve">(μm)</t>
    </r>
  </si>
  <si>
    <r>
      <rPr>
        <i val="true"/>
        <sz val="9"/>
        <color rgb="FF555555"/>
        <rFont val="DejaVu Sans"/>
        <family val="2"/>
      </rPr>
      <t xml:space="preserve">정밀 공구연삭 일반 가정값</t>
    </r>
    <r>
      <rPr>
        <i val="true"/>
        <sz val="9"/>
        <color rgb="FF555555"/>
        <rFont val="DejaVu Sans"/>
        <family val="2"/>
        <charset val="1"/>
      </rPr>
      <t xml:space="preserve">. </t>
    </r>
    <r>
      <rPr>
        <i val="true"/>
        <sz val="9"/>
        <color rgb="FF555555"/>
        <rFont val="DejaVu Sans"/>
        <family val="2"/>
      </rPr>
      <t xml:space="preserve">실제 도면 톨러런스로 변경 권장 </t>
    </r>
    <r>
      <rPr>
        <i val="true"/>
        <sz val="9"/>
        <color rgb="FF555555"/>
        <rFont val="DejaVu Sans"/>
        <family val="2"/>
        <charset val="1"/>
      </rPr>
      <t xml:space="preserve">(</t>
    </r>
    <r>
      <rPr>
        <i val="true"/>
        <sz val="9"/>
        <color rgb="FF555555"/>
        <rFont val="DejaVu Sans"/>
        <family val="2"/>
      </rPr>
      <t xml:space="preserve">출처 등급</t>
    </r>
    <r>
      <rPr>
        <i val="true"/>
        <sz val="9"/>
        <color rgb="FF555555"/>
        <rFont val="DejaVu Sans"/>
        <family val="2"/>
        <charset val="1"/>
      </rPr>
      <t xml:space="preserve">: </t>
    </r>
    <r>
      <rPr>
        <i val="true"/>
        <sz val="9"/>
        <color rgb="FF555555"/>
        <rFont val="DejaVu Sans"/>
        <family val="2"/>
      </rPr>
      <t xml:space="preserve">보수 가정</t>
    </r>
    <r>
      <rPr>
        <i val="true"/>
        <sz val="9"/>
        <color rgb="FF555555"/>
        <rFont val="DejaVu Sans"/>
        <family val="2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</si>
  <si>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■ 3. </t>
    </r>
    <r>
      <rPr>
        <b val="true"/>
        <sz val="11"/>
        <color rgb="FFFFFFFF"/>
        <rFont val="DejaVu Sans"/>
        <family val="2"/>
      </rPr>
      <t xml:space="preserve">열팽창 계수 </t>
    </r>
    <r>
      <rPr>
        <b val="true"/>
        <sz val="11"/>
        <color rgb="FFFFFFFF"/>
        <rFont val="Arial"/>
        <family val="0"/>
        <charset val="1"/>
      </rPr>
      <t xml:space="preserve">α </t>
    </r>
    <r>
      <rPr>
        <b val="true"/>
        <sz val="11"/>
        <color rgb="FFFFFFFF"/>
        <rFont val="DejaVu Sans"/>
        <family val="2"/>
      </rPr>
      <t xml:space="preserve">참조표 </t>
    </r>
    <r>
      <rPr>
        <b val="true"/>
        <sz val="11"/>
        <color rgb="FFFFFFFF"/>
        <rFont val="Arial"/>
        <family val="0"/>
        <charset val="1"/>
      </rPr>
      <t xml:space="preserve">(×10⁻⁶ /°C) + </t>
    </r>
    <r>
      <rPr>
        <b val="true"/>
        <sz val="11"/>
        <color rgb="FFFFFFFF"/>
        <rFont val="DejaVu Sans"/>
        <family val="2"/>
      </rPr>
      <t xml:space="preserve">출처 등급</t>
    </r>
  </si>
  <si>
    <r>
      <rPr>
        <b val="true"/>
        <sz val="10"/>
        <rFont val="DejaVu Sans"/>
        <family val="2"/>
      </rPr>
      <t xml:space="preserve">재료</t>
    </r>
    <r>
      <rPr>
        <b val="true"/>
        <sz val="10"/>
        <rFont val="DejaVu Sans"/>
        <family val="2"/>
        <charset val="1"/>
      </rPr>
      <t xml:space="preserve">/</t>
    </r>
    <r>
      <rPr>
        <b val="true"/>
        <sz val="10"/>
        <rFont val="DejaVu Sans"/>
        <family val="2"/>
      </rPr>
      <t xml:space="preserve">본드</t>
    </r>
  </si>
  <si>
    <t xml:space="preserve">α</t>
  </si>
  <si>
    <r>
      <rPr>
        <b val="true"/>
        <sz val="10"/>
        <rFont val="DejaVu Sans"/>
        <family val="2"/>
      </rPr>
      <t xml:space="preserve">출처 </t>
    </r>
    <r>
      <rPr>
        <b val="true"/>
        <sz val="10"/>
        <rFont val="DejaVu Sans"/>
        <family val="2"/>
        <charset val="1"/>
      </rPr>
      <t xml:space="preserve">/ </t>
    </r>
    <r>
      <rPr>
        <b val="true"/>
        <sz val="10"/>
        <rFont val="DejaVu Sans"/>
        <family val="2"/>
      </rPr>
      <t xml:space="preserve">비고</t>
    </r>
  </si>
  <si>
    <t xml:space="preserve">등급</t>
  </si>
  <si>
    <t xml:space="preserve">Sandvik Coromant Tech Data / Marinescu 2016 ch.4</t>
  </si>
  <si>
    <t xml:space="preserve">직접 출처</t>
  </si>
  <si>
    <t xml:space="preserve">HSS</t>
  </si>
  <si>
    <t xml:space="preserve">ASM Metals Handbook / Trent &amp; Wright 2000</t>
  </si>
  <si>
    <r>
      <rPr>
        <sz val="10"/>
        <rFont val="DejaVu Sans"/>
        <family val="2"/>
      </rPr>
      <t xml:space="preserve">공구강 </t>
    </r>
    <r>
      <rPr>
        <sz val="10"/>
        <rFont val="DejaVu Sans"/>
        <family val="2"/>
        <charset val="1"/>
      </rPr>
      <t xml:space="preserve">(S45C)</t>
    </r>
  </si>
  <si>
    <t xml:space="preserve">ASTM A29 standard</t>
  </si>
  <si>
    <t xml:space="preserve">알루미늄</t>
  </si>
  <si>
    <t xml:space="preserve">ASM Metals Handbook</t>
  </si>
  <si>
    <r>
      <rPr>
        <sz val="10"/>
        <rFont val="DejaVu Sans"/>
        <family val="2"/>
      </rPr>
      <t xml:space="preserve">강철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머신 구조</t>
    </r>
    <r>
      <rPr>
        <sz val="10"/>
        <rFont val="DejaVu Sans"/>
        <family val="2"/>
        <charset val="1"/>
      </rPr>
      <t xml:space="preserve">)</t>
    </r>
  </si>
  <si>
    <t xml:space="preserve">ASTM A36 / DIN 17100</t>
  </si>
  <si>
    <t xml:space="preserve">Resin bond</t>
  </si>
  <si>
    <r>
      <rPr>
        <i val="true"/>
        <sz val="9"/>
        <color rgb="FF555555"/>
        <rFont val="Arial"/>
        <family val="0"/>
        <charset val="1"/>
      </rPr>
      <t xml:space="preserve">phenolic resin </t>
    </r>
    <r>
      <rPr>
        <i val="true"/>
        <sz val="9"/>
        <color rgb="FF555555"/>
        <rFont val="DejaVu Sans"/>
        <family val="2"/>
      </rPr>
      <t xml:space="preserve">일반 </t>
    </r>
    <r>
      <rPr>
        <i val="true"/>
        <sz val="9"/>
        <color rgb="FF555555"/>
        <rFont val="Arial"/>
        <family val="0"/>
        <charset val="1"/>
      </rPr>
      <t xml:space="preserve">60~80, </t>
    </r>
    <r>
      <rPr>
        <i val="true"/>
        <sz val="9"/>
        <color rgb="FF555555"/>
        <rFont val="DejaVu Sans"/>
        <family val="2"/>
      </rPr>
      <t xml:space="preserve">충진재 효과로 </t>
    </r>
    <r>
      <rPr>
        <i val="true"/>
        <sz val="9"/>
        <color rgb="FF555555"/>
        <rFont val="Arial"/>
        <family val="0"/>
        <charset val="1"/>
      </rPr>
      <t xml:space="preserve">30~60 </t>
    </r>
    <r>
      <rPr>
        <i val="true"/>
        <sz val="9"/>
        <color rgb="FF555555"/>
        <rFont val="DejaVu Sans"/>
        <family val="2"/>
      </rPr>
      <t xml:space="preserve">추정의 중간값</t>
    </r>
  </si>
  <si>
    <t xml:space="preserve">보수 가정</t>
  </si>
  <si>
    <t xml:space="preserve">Polyimide bond</t>
  </si>
  <si>
    <r>
      <rPr>
        <i val="true"/>
        <sz val="9"/>
        <color rgb="FF555555"/>
        <rFont val="Arial"/>
        <family val="0"/>
        <charset val="1"/>
      </rPr>
      <t xml:space="preserve">polyimide α 20~30, Eagle Superabrasives </t>
    </r>
    <r>
      <rPr>
        <i val="true"/>
        <sz val="9"/>
        <color rgb="FF555555"/>
        <rFont val="DejaVu Sans"/>
        <family val="2"/>
      </rPr>
      <t xml:space="preserve">정성적 근거</t>
    </r>
  </si>
  <si>
    <t xml:space="preserve">Vitrified bond</t>
  </si>
  <si>
    <r>
      <rPr>
        <i val="true"/>
        <sz val="9"/>
        <color rgb="FF555555"/>
        <rFont val="Arial"/>
        <family val="0"/>
        <charset val="1"/>
      </rPr>
      <t xml:space="preserve">Marinescu 2016 ch.4 </t>
    </r>
    <r>
      <rPr>
        <i val="true"/>
        <sz val="9"/>
        <color rgb="FF555555"/>
        <rFont val="DejaVu Sans"/>
        <family val="2"/>
      </rPr>
      <t xml:space="preserve">일반 범위 중간값</t>
    </r>
  </si>
  <si>
    <t xml:space="preserve">간접 근거</t>
  </si>
  <si>
    <t xml:space="preserve">Metal bond</t>
  </si>
  <si>
    <r>
      <rPr>
        <i val="true"/>
        <sz val="9"/>
        <color rgb="FF555555"/>
        <rFont val="Arial"/>
        <family val="0"/>
        <charset val="1"/>
      </rPr>
      <t xml:space="preserve">Norton/Saint-Gobain tech sheet </t>
    </r>
    <r>
      <rPr>
        <i val="true"/>
        <sz val="9"/>
        <color rgb="FF555555"/>
        <rFont val="DejaVu Sans"/>
        <family val="2"/>
      </rPr>
      <t xml:space="preserve">일반 범위</t>
    </r>
  </si>
  <si>
    <t xml:space="preserve">Hybrid bond</t>
  </si>
  <si>
    <r>
      <rPr>
        <i val="true"/>
        <sz val="9"/>
        <color rgb="FF555555"/>
        <rFont val="Arial"/>
        <family val="0"/>
        <charset val="1"/>
      </rPr>
      <t xml:space="preserve">Resin</t>
    </r>
    <r>
      <rPr>
        <i val="true"/>
        <sz val="9"/>
        <color rgb="FF555555"/>
        <rFont val="DejaVu Sans"/>
        <family val="2"/>
      </rPr>
      <t xml:space="preserve">과 </t>
    </r>
    <r>
      <rPr>
        <i val="true"/>
        <sz val="9"/>
        <color rgb="FF555555"/>
        <rFont val="Arial"/>
        <family val="0"/>
        <charset val="1"/>
      </rPr>
      <t xml:space="preserve">Vitrified </t>
    </r>
    <r>
      <rPr>
        <i val="true"/>
        <sz val="9"/>
        <color rgb="FF555555"/>
        <rFont val="DejaVu Sans"/>
        <family val="2"/>
      </rPr>
      <t xml:space="preserve">중간 단순 가정</t>
    </r>
  </si>
  <si>
    <r>
      <rPr>
        <b val="true"/>
        <sz val="10"/>
        <rFont val="DejaVu Sans"/>
        <family val="2"/>
      </rPr>
      <t xml:space="preserve">■ 출처 등급 정의 </t>
    </r>
    <r>
      <rPr>
        <b val="true"/>
        <sz val="10"/>
        <rFont val="DejaVu Sans"/>
        <family val="2"/>
        <charset val="1"/>
      </rPr>
      <t xml:space="preserve">(5</t>
    </r>
    <r>
      <rPr>
        <b val="true"/>
        <sz val="10"/>
        <rFont val="DejaVu Sans"/>
        <family val="2"/>
      </rPr>
      <t xml:space="preserve">단계</t>
    </r>
    <r>
      <rPr>
        <b val="true"/>
        <sz val="10"/>
        <rFont val="DejaVu Sans"/>
        <family val="2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</si>
  <si>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ISO </t>
    </r>
    <r>
      <rPr>
        <b val="true"/>
        <sz val="10"/>
        <rFont val="DejaVu Sans"/>
        <family val="2"/>
      </rPr>
      <t xml:space="preserve">직접 인용</t>
    </r>
  </si>
  <si>
    <r>
      <rPr>
        <sz val="10"/>
        <rFont val="Arial"/>
        <family val="0"/>
        <charset val="1"/>
      </rPr>
      <t xml:space="preserve">ISO </t>
    </r>
    <r>
      <rPr>
        <sz val="10"/>
        <rFont val="DejaVu Sans"/>
        <family val="2"/>
      </rPr>
      <t xml:space="preserve">표준이 직접 정의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규정한 값</t>
    </r>
  </si>
  <si>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차 학술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표준 문헌이 명시한 값</t>
    </r>
  </si>
  <si>
    <t xml:space="preserve">복수 자료에서 제시되는 일반 범위</t>
  </si>
  <si>
    <t xml:space="preserve">범위에서 추정한 보수적 중간값</t>
  </si>
  <si>
    <t xml:space="preserve">현장 가정</t>
  </si>
  <si>
    <t xml:space="preserve">사내 운영 경험 기반 가정</t>
  </si>
  <si>
    <t xml:space="preserve">내부 실측</t>
  </si>
  <si>
    <t xml:space="preserve">사내 측정 데이터 누적값</t>
  </si>
  <si>
    <r>
      <rPr>
        <b val="true"/>
        <sz val="11"/>
        <color rgb="FFFFFFFF"/>
        <rFont val="Arial"/>
        <family val="0"/>
        <charset val="1"/>
      </rPr>
      <t xml:space="preserve">■ 4. </t>
    </r>
    <r>
      <rPr>
        <b val="true"/>
        <sz val="11"/>
        <color rgb="FFFFFFFF"/>
        <rFont val="DejaVu Sans"/>
        <family val="2"/>
      </rPr>
      <t xml:space="preserve">열변형 정량 산출</t>
    </r>
  </si>
  <si>
    <t xml:space="preserve">메커니즘</t>
  </si>
  <si>
    <t xml:space="preserve">공식</t>
  </si>
  <si>
    <r>
      <rPr>
        <b val="true"/>
        <sz val="10"/>
        <rFont val="DejaVu Sans"/>
        <family val="2"/>
      </rPr>
      <t xml:space="preserve">변형량 </t>
    </r>
    <r>
      <rPr>
        <b val="true"/>
        <sz val="10"/>
        <rFont val="DejaVu Sans"/>
        <family val="2"/>
        <charset val="1"/>
      </rPr>
      <t xml:space="preserve">(μm)</t>
    </r>
  </si>
  <si>
    <t xml:space="preserve">워크피스 직경 팽창</t>
  </si>
  <si>
    <t xml:space="preserve">ΔD = D × α × ΔT</t>
  </si>
  <si>
    <r>
      <rPr>
        <sz val="10"/>
        <rFont val="Arial"/>
        <family val="0"/>
        <charset val="1"/>
      </rPr>
      <t xml:space="preserve">(+) </t>
    </r>
    <r>
      <rPr>
        <sz val="10"/>
        <rFont val="DejaVu Sans"/>
        <family val="2"/>
      </rPr>
      <t xml:space="preserve">커짐</t>
    </r>
  </si>
  <si>
    <r>
      <rPr>
        <sz val="10"/>
        <rFont val="DejaVu Sans"/>
        <family val="2"/>
      </rPr>
      <t xml:space="preserve">현재 가공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보정 조건에서 관찰되는 방향</t>
    </r>
    <r>
      <rPr>
        <sz val="10"/>
        <rFont val="DejaVu Sans"/>
        <family val="2"/>
        <charset val="1"/>
      </rPr>
      <t xml:space="preserve">. ANCA </t>
    </r>
    <r>
      <rPr>
        <sz val="10"/>
        <rFont val="DejaVu Sans"/>
        <family val="2"/>
      </rPr>
      <t xml:space="preserve">좌표계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휠 보정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형상 종류에 따라 부호 다름</t>
    </r>
  </si>
  <si>
    <t xml:space="preserve">휠 반경 팽창 → 형상 깊이</t>
  </si>
  <si>
    <t xml:space="preserve">ΔD_w/2 = D_w × α_b × ΔT / 2</t>
  </si>
  <si>
    <r>
      <rPr>
        <sz val="10"/>
        <rFont val="Arial"/>
        <family val="0"/>
        <charset val="1"/>
      </rPr>
      <t xml:space="preserve">(+) </t>
    </r>
    <r>
      <rPr>
        <sz val="10"/>
        <rFont val="DejaVu Sans"/>
        <family val="2"/>
      </rPr>
      <t xml:space="preserve">더 깊게</t>
    </r>
  </si>
  <si>
    <r>
      <rPr>
        <sz val="10"/>
        <rFont val="DejaVu Sans"/>
        <family val="2"/>
      </rPr>
      <t xml:space="preserve">보수 계산</t>
    </r>
    <r>
      <rPr>
        <sz val="10"/>
        <rFont val="DejaVu Sans"/>
        <family val="2"/>
        <charset val="1"/>
      </rPr>
      <t xml:space="preserve">: </t>
    </r>
    <r>
      <rPr>
        <sz val="10"/>
        <rFont val="DejaVu Sans"/>
        <family val="2"/>
      </rPr>
      <t xml:space="preserve">휠 외경부 유효 팽창계수로 단순화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실제 </t>
    </r>
    <r>
      <rPr>
        <sz val="10"/>
        <rFont val="DejaVu Sans"/>
        <family val="2"/>
        <charset val="1"/>
      </rPr>
      <t xml:space="preserve">core+bond </t>
    </r>
    <r>
      <rPr>
        <sz val="10"/>
        <rFont val="DejaVu Sans"/>
        <family val="2"/>
      </rPr>
      <t xml:space="preserve">복합체</t>
    </r>
    <r>
      <rPr>
        <sz val="10"/>
        <rFont val="DejaVu Sans"/>
        <family val="2"/>
        <charset val="1"/>
      </rPr>
      <t xml:space="preserve">)</t>
    </r>
  </si>
  <si>
    <t xml:space="preserve">머신 컬럼 위치 드리프트</t>
  </si>
  <si>
    <t xml:space="preserve">ΔL = L × α_steel × ΔT</t>
  </si>
  <si>
    <t xml:space="preserve">위치 변동</t>
  </si>
  <si>
    <r>
      <rPr>
        <sz val="10"/>
        <rFont val="DejaVu Sans"/>
        <family val="2"/>
      </rPr>
      <t xml:space="preserve">좌표 </t>
    </r>
    <r>
      <rPr>
        <sz val="10"/>
        <rFont val="DejaVu Sans"/>
        <family val="2"/>
        <charset val="1"/>
      </rPr>
      <t xml:space="preserve">zero point </t>
    </r>
    <r>
      <rPr>
        <sz val="10"/>
        <rFont val="DejaVu Sans"/>
        <family val="2"/>
      </rPr>
      <t xml:space="preserve">변동 — 첫 가공 시 가장 큰 영향</t>
    </r>
  </si>
  <si>
    <r>
      <rPr>
        <b val="true"/>
        <sz val="10"/>
        <rFont val="DejaVu Sans"/>
        <family val="2"/>
      </rPr>
      <t xml:space="preserve">총 형상 영향 </t>
    </r>
    <r>
      <rPr>
        <b val="true"/>
        <sz val="10"/>
        <rFont val="DejaVu Sans"/>
        <family val="2"/>
        <charset val="1"/>
      </rPr>
      <t xml:space="preserve">(</t>
    </r>
    <r>
      <rPr>
        <b val="true"/>
        <sz val="10"/>
        <rFont val="DejaVu Sans"/>
        <family val="2"/>
      </rPr>
      <t xml:space="preserve">직경 방향</t>
    </r>
    <r>
      <rPr>
        <b val="true"/>
        <sz val="10"/>
        <rFont val="DejaVu Sans"/>
        <family val="2"/>
        <charset val="1"/>
      </rPr>
      <t xml:space="preserve">)</t>
    </r>
  </si>
  <si>
    <r>
      <rPr>
        <i val="true"/>
        <sz val="9"/>
        <color rgb="FF555555"/>
        <rFont val="DejaVu Sans"/>
        <family val="2"/>
      </rPr>
      <t xml:space="preserve">워크 </t>
    </r>
    <r>
      <rPr>
        <i val="true"/>
        <sz val="9"/>
        <color rgb="FF555555"/>
        <rFont val="DejaVu Sans"/>
        <family val="2"/>
        <charset val="1"/>
      </rPr>
      <t xml:space="preserve">+ </t>
    </r>
    <r>
      <rPr>
        <i val="true"/>
        <sz val="9"/>
        <color rgb="FF555555"/>
        <rFont val="DejaVu Sans"/>
        <family val="2"/>
      </rPr>
      <t xml:space="preserve">휠 직경 팽창</t>
    </r>
  </si>
  <si>
    <r>
      <rPr>
        <b val="true"/>
        <sz val="10"/>
        <rFont val="Arial"/>
        <family val="0"/>
        <charset val="1"/>
      </rPr>
      <t xml:space="preserve">(+) </t>
    </r>
    <r>
      <rPr>
        <b val="true"/>
        <sz val="10"/>
        <rFont val="DejaVu Sans"/>
        <family val="2"/>
      </rPr>
      <t xml:space="preserve">형상 커짐</t>
    </r>
  </si>
  <si>
    <r>
      <rPr>
        <sz val="10"/>
        <rFont val="DejaVu Sans"/>
        <family val="2"/>
      </rPr>
      <t xml:space="preserve">현재 보정 조건 기준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부호는 좌표계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보정 알고리즘에 따라 변동 가능</t>
    </r>
  </si>
  <si>
    <r>
      <rPr>
        <b val="true"/>
        <sz val="11"/>
        <color rgb="FFFFFFFF"/>
        <rFont val="Arial"/>
        <family val="0"/>
        <charset val="1"/>
      </rPr>
      <t xml:space="preserve">■ 5. </t>
    </r>
    <r>
      <rPr>
        <b val="true"/>
        <sz val="11"/>
        <color rgb="FFFFFFFF"/>
        <rFont val="DejaVu Sans"/>
        <family val="2"/>
      </rPr>
      <t xml:space="preserve">정밀도 판정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입력 허용공차 기준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</si>
  <si>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현재 </t>
    </r>
    <r>
      <rPr>
        <sz val="10"/>
        <rFont val="DejaVu Sans"/>
        <family val="2"/>
        <charset val="1"/>
      </rPr>
      <t xml:space="preserve">ΔT </t>
    </r>
    <r>
      <rPr>
        <sz val="10"/>
        <rFont val="DejaVu Sans"/>
        <family val="2"/>
      </rPr>
      <t xml:space="preserve">시 형상 오차 </t>
    </r>
    <r>
      <rPr>
        <sz val="10"/>
        <rFont val="DejaVu Sans"/>
        <family val="2"/>
        <charset val="1"/>
      </rPr>
      <t xml:space="preserve">vs </t>
    </r>
    <r>
      <rPr>
        <sz val="10"/>
        <rFont val="DejaVu Sans"/>
        <family val="2"/>
      </rPr>
      <t xml:space="preserve">허용공차</t>
    </r>
  </si>
  <si>
    <r>
      <rPr>
        <b val="true"/>
        <sz val="11"/>
        <color rgb="FFFFFFFF"/>
        <rFont val="Arial"/>
        <family val="0"/>
        <charset val="1"/>
      </rPr>
      <t xml:space="preserve">■ 6. </t>
    </r>
    <r>
      <rPr>
        <b val="true"/>
        <sz val="11"/>
        <color rgb="FFFFFFFF"/>
        <rFont val="DejaVu Sans"/>
        <family val="2"/>
      </rPr>
      <t xml:space="preserve">권장 쿨런트 온도 운영값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보수적 사내 권장값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</si>
  <si>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i val="true"/>
        <sz val="9"/>
        <color rgb="FF555555"/>
        <rFont val="DejaVu Sans"/>
        <family val="2"/>
      </rPr>
      <t xml:space="preserve">※ 본 영역은 단일 학술 표준이 아닌 </t>
    </r>
    <r>
      <rPr>
        <i val="true"/>
        <sz val="9"/>
        <color rgb="FF555555"/>
        <rFont val="DejaVu Sans"/>
        <family val="2"/>
        <charset val="1"/>
      </rPr>
      <t xml:space="preserve">ANCA Tech, Marinescu 2016, ORION/Thermal Care </t>
    </r>
    <r>
      <rPr>
        <i val="true"/>
        <sz val="9"/>
        <color rgb="FF555555"/>
        <rFont val="DejaVu Sans"/>
        <family val="2"/>
      </rPr>
      <t xml:space="preserve">칠러 사양</t>
    </r>
    <r>
      <rPr>
        <i val="true"/>
        <sz val="9"/>
        <color rgb="FF555555"/>
        <rFont val="DejaVu Sans"/>
        <family val="2"/>
        <charset val="1"/>
      </rPr>
      <t xml:space="preserve">, Brinksmeier 1999, </t>
    </r>
    <r>
      <rPr>
        <i val="true"/>
        <sz val="9"/>
        <color rgb="FF555555"/>
        <rFont val="DejaVu Sans"/>
        <family val="2"/>
      </rPr>
      <t xml:space="preserve">사내 운영 경험을 종합한 보수적 권장값입니다</t>
    </r>
    <r>
      <rPr>
        <i val="true"/>
        <sz val="9"/>
        <color rgb="FF555555"/>
        <rFont val="DejaVu Sans"/>
        <family val="2"/>
        <charset val="1"/>
      </rPr>
      <t xml:space="preserve">. (20 °C </t>
    </r>
    <r>
      <rPr>
        <i val="true"/>
        <sz val="9"/>
        <color rgb="FF555555"/>
        <rFont val="DejaVu Sans"/>
        <family val="2"/>
      </rPr>
      <t xml:space="preserve">기준 온도는 </t>
    </r>
    <r>
      <rPr>
        <i val="true"/>
        <sz val="9"/>
        <color rgb="FF555555"/>
        <rFont val="DejaVu Sans"/>
        <family val="2"/>
        <charset val="1"/>
      </rPr>
      <t xml:space="preserve">ISO 1:2016 </t>
    </r>
    <r>
      <rPr>
        <i val="true"/>
        <sz val="9"/>
        <color rgb="FF555555"/>
        <rFont val="DejaVu Sans"/>
        <family val="2"/>
      </rPr>
      <t xml:space="preserve">직접 인용</t>
    </r>
    <r>
      <rPr>
        <i val="true"/>
        <sz val="9"/>
        <color rgb="FF555555"/>
        <rFont val="DejaVu Sans"/>
        <family val="2"/>
        <charset val="1"/>
      </rPr>
      <t xml:space="preserve">)</t>
    </r>
  </si>
  <si>
    <t xml:space="preserve">평균 온도</t>
  </si>
  <si>
    <t xml:space="preserve">변동폭</t>
  </si>
  <si>
    <t xml:space="preserve">적용</t>
  </si>
  <si>
    <t xml:space="preserve">초정밀 측정실 환경</t>
  </si>
  <si>
    <t xml:space="preserve">20 °C</t>
  </si>
  <si>
    <t xml:space="preserve">±0.1 °C</t>
  </si>
  <si>
    <r>
      <rPr>
        <sz val="10"/>
        <rFont val="DejaVu Sans"/>
        <family val="2"/>
      </rPr>
      <t xml:space="preserve">측정실 </t>
    </r>
    <r>
      <rPr>
        <sz val="10"/>
        <rFont val="DejaVu Sans"/>
        <family val="2"/>
        <charset val="1"/>
      </rPr>
      <t xml:space="preserve">/ R&amp;D (ISO 1: 20 °C </t>
    </r>
    <r>
      <rPr>
        <sz val="10"/>
        <rFont val="DejaVu Sans"/>
        <family val="2"/>
      </rPr>
      <t xml:space="preserve">기준 온도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</si>
  <si>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정밀 공구연삭 권장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사내 목표</t>
    </r>
    <r>
      <rPr>
        <sz val="10"/>
        <rFont val="DejaVu Sans"/>
        <family val="2"/>
        <charset val="1"/>
      </rPr>
      <t xml:space="preserve">)</t>
    </r>
  </si>
  <si>
    <t xml:space="preserve">20–22 °C</t>
  </si>
  <si>
    <t xml:space="preserve">±1 °C</t>
  </si>
  <si>
    <r>
      <rPr>
        <sz val="10"/>
        <rFont val="Arial"/>
        <family val="0"/>
        <charset val="1"/>
      </rPr>
      <t xml:space="preserve">ANCA + WC + resin bond — </t>
    </r>
    <r>
      <rPr>
        <sz val="10"/>
        <rFont val="DejaVu Sans"/>
        <family val="2"/>
      </rPr>
      <t xml:space="preserve">보수적 사내 권장값</t>
    </r>
  </si>
  <si>
    <t xml:space="preserve">일반 정밀</t>
  </si>
  <si>
    <t xml:space="preserve">22–25 °C</t>
  </si>
  <si>
    <t xml:space="preserve">±2 °C</t>
  </si>
  <si>
    <r>
      <rPr>
        <sz val="10"/>
        <rFont val="DejaVu Sans"/>
        <family val="2"/>
      </rPr>
      <t xml:space="preserve">표준 생산 — </t>
    </r>
    <r>
      <rPr>
        <sz val="10"/>
        <rFont val="DejaVu Sans"/>
        <family val="2"/>
        <charset val="1"/>
      </rPr>
      <t xml:space="preserve">Brinksmeier 1999 cooling/lubrication </t>
    </r>
    <r>
      <rPr>
        <sz val="10"/>
        <rFont val="DejaVu Sans"/>
        <family val="2"/>
      </rPr>
      <t xml:space="preserve">영역</t>
    </r>
  </si>
  <si>
    <t xml:space="preserve">현재 운영 상태</t>
  </si>
  <si>
    <t xml:space="preserve">23–27 °C</t>
  </si>
  <si>
    <r>
      <rPr>
        <sz val="10"/>
        <rFont val="DejaVu Sans"/>
        <family val="2"/>
      </rPr>
      <t xml:space="preserve">사내 현장 — 권장 영역 상단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변동폭 한계</t>
    </r>
  </si>
  <si>
    <r>
      <rPr>
        <b val="true"/>
        <sz val="11"/>
        <color rgb="FFFFFFFF"/>
        <rFont val="Arial"/>
        <family val="0"/>
        <charset val="1"/>
      </rPr>
      <t xml:space="preserve">■ 7. </t>
    </r>
    <r>
      <rPr>
        <b val="true"/>
        <sz val="11"/>
        <color rgb="FFFFFFFF"/>
        <rFont val="DejaVu Sans"/>
        <family val="2"/>
      </rPr>
      <t xml:space="preserve">국부 연삭열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DejaVu Sans"/>
        <family val="2"/>
      </rPr>
      <t xml:space="preserve">휠 본드 </t>
    </r>
    <r>
      <rPr>
        <b val="true"/>
        <sz val="11"/>
        <color rgb="FFFFFFFF"/>
        <rFont val="Arial"/>
        <family val="0"/>
        <charset val="1"/>
      </rPr>
      <t xml:space="preserve">Tg </t>
    </r>
    <r>
      <rPr>
        <b val="true"/>
        <sz val="11"/>
        <color rgb="FFFFFFFF"/>
        <rFont val="DejaVu Sans"/>
        <family val="2"/>
      </rPr>
      <t xml:space="preserve">참고값</t>
    </r>
  </si>
  <si>
    <r>
      <rPr>
        <b val="true"/>
        <sz val="10"/>
        <color rgb="FFC00000"/>
        <rFont val="DejaVu Sans"/>
        <family val="2"/>
      </rPr>
      <t xml:space="preserve">⚠ 본 표는 </t>
    </r>
    <r>
      <rPr>
        <b val="true"/>
        <sz val="10"/>
        <color rgb="FFC00000"/>
        <rFont val="DejaVu Sans"/>
        <family val="2"/>
        <charset val="1"/>
      </rPr>
      <t xml:space="preserve">grinding zone </t>
    </r>
    <r>
      <rPr>
        <b val="true"/>
        <sz val="10"/>
        <color rgb="FFC00000"/>
        <rFont val="DejaVu Sans"/>
        <family val="2"/>
      </rPr>
      <t xml:space="preserve">국부 순간 온도 한계 참고값입니다</t>
    </r>
    <r>
      <rPr>
        <b val="true"/>
        <sz val="10"/>
        <color rgb="FFC00000"/>
        <rFont val="DejaVu Sans"/>
        <family val="2"/>
        <charset val="1"/>
      </rPr>
      <t xml:space="preserve">. </t>
    </r>
    <r>
      <rPr>
        <b val="true"/>
        <sz val="10"/>
        <color rgb="FFC00000"/>
        <rFont val="DejaVu Sans"/>
        <family val="2"/>
      </rPr>
      <t xml:space="preserve">위 </t>
    </r>
    <r>
      <rPr>
        <b val="true"/>
        <sz val="10"/>
        <color rgb="FFC00000"/>
        <rFont val="DejaVu Sans"/>
        <family val="2"/>
        <charset val="1"/>
      </rPr>
      <t xml:space="preserve">§6 </t>
    </r>
    <r>
      <rPr>
        <b val="true"/>
        <sz val="10"/>
        <color rgb="FFC00000"/>
        <rFont val="DejaVu Sans"/>
        <family val="2"/>
      </rPr>
      <t xml:space="preserve">쿨런트 탱크 온도와 직접 비교하지 마십시오</t>
    </r>
    <r>
      <rPr>
        <b val="true"/>
        <sz val="10"/>
        <color rgb="FFC00000"/>
        <rFont val="DejaVu Sans"/>
        <family val="2"/>
        <charset val="1"/>
      </rPr>
      <t xml:space="preserve">.</t>
    </r>
  </si>
  <si>
    <r>
      <rPr>
        <b val="true"/>
        <sz val="10"/>
        <rFont val="DejaVu Sans"/>
        <family val="2"/>
      </rPr>
      <t xml:space="preserve">온도 범위 </t>
    </r>
    <r>
      <rPr>
        <b val="true"/>
        <sz val="10"/>
        <rFont val="DejaVu Sans"/>
        <family val="2"/>
        <charset val="1"/>
      </rPr>
      <t xml:space="preserve">(°C)</t>
    </r>
  </si>
  <si>
    <t xml:space="preserve">의미</t>
  </si>
  <si>
    <t xml:space="preserve">출처</t>
  </si>
  <si>
    <t xml:space="preserve">Phenolic resin Tg</t>
  </si>
  <si>
    <t xml:space="preserve">150–180</t>
  </si>
  <si>
    <t xml:space="preserve">휠 본드 유리전이 — 이 이상에서 본드 열화</t>
  </si>
  <si>
    <t xml:space="preserve">CRC Polymer Handbook</t>
  </si>
  <si>
    <t xml:space="preserve">Polyimide Tg</t>
  </si>
  <si>
    <t xml:space="preserve">250–350</t>
  </si>
  <si>
    <r>
      <rPr>
        <sz val="10"/>
        <rFont val="DejaVu Sans"/>
        <family val="2"/>
      </rPr>
      <t xml:space="preserve">고온용 본드 — </t>
    </r>
    <r>
      <rPr>
        <sz val="10"/>
        <rFont val="DejaVu Sans"/>
        <family val="2"/>
        <charset val="1"/>
      </rPr>
      <t xml:space="preserve">phenolic </t>
    </r>
    <r>
      <rPr>
        <sz val="10"/>
        <rFont val="DejaVu Sans"/>
        <family val="2"/>
      </rPr>
      <t xml:space="preserve">대비 내열</t>
    </r>
  </si>
  <si>
    <r>
      <rPr>
        <sz val="10"/>
        <rFont val="Arial"/>
        <family val="0"/>
        <charset val="1"/>
      </rPr>
      <t xml:space="preserve">Steel grinding burn </t>
    </r>
    <r>
      <rPr>
        <sz val="10"/>
        <rFont val="DejaVu Sans"/>
        <family val="2"/>
      </rPr>
      <t xml:space="preserve">임계 </t>
    </r>
    <r>
      <rPr>
        <sz val="10"/>
        <rFont val="Arial"/>
        <family val="0"/>
        <charset val="1"/>
      </rPr>
      <t xml:space="preserve">(Malkin)</t>
    </r>
  </si>
  <si>
    <r>
      <rPr>
        <sz val="10"/>
        <rFont val="DejaVu Sans"/>
        <family val="2"/>
      </rPr>
      <t xml:space="preserve">약 </t>
    </r>
    <r>
      <rPr>
        <sz val="10"/>
        <rFont val="DejaVu Sans"/>
        <family val="2"/>
        <charset val="1"/>
      </rPr>
      <t xml:space="preserve">723</t>
    </r>
  </si>
  <si>
    <r>
      <rPr>
        <sz val="10"/>
        <rFont val="DejaVu Sans"/>
        <family val="2"/>
      </rPr>
      <t xml:space="preserve">강재 표면 산화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템퍼링 시작 온도</t>
    </r>
  </si>
  <si>
    <t xml:space="preserve">Malkin &amp; Guo 2008 ch.6</t>
  </si>
  <si>
    <r>
      <rPr>
        <sz val="10"/>
        <rFont val="Arial"/>
        <family val="0"/>
        <charset val="1"/>
      </rPr>
      <t xml:space="preserve">Cast iron HEDG </t>
    </r>
    <r>
      <rPr>
        <sz val="10"/>
        <rFont val="DejaVu Sans"/>
        <family val="2"/>
      </rPr>
      <t xml:space="preserve">임계</t>
    </r>
  </si>
  <si>
    <r>
      <rPr>
        <sz val="10"/>
        <rFont val="DejaVu Sans"/>
        <family val="2"/>
      </rPr>
      <t xml:space="preserve">약 </t>
    </r>
    <r>
      <rPr>
        <sz val="10"/>
        <rFont val="DejaVu Sans"/>
        <family val="2"/>
        <charset val="1"/>
      </rPr>
      <t xml:space="preserve">150</t>
    </r>
  </si>
  <si>
    <r>
      <rPr>
        <sz val="10"/>
        <rFont val="DejaVu Sans"/>
        <family val="2"/>
      </rPr>
      <t xml:space="preserve">고능률 심자갈 연삭 </t>
    </r>
    <r>
      <rPr>
        <sz val="10"/>
        <rFont val="DejaVu Sans"/>
        <family val="2"/>
        <charset val="1"/>
      </rPr>
      <t xml:space="preserve">burn </t>
    </r>
    <r>
      <rPr>
        <sz val="10"/>
        <rFont val="DejaVu Sans"/>
        <family val="2"/>
      </rPr>
      <t xml:space="preserve">임계</t>
    </r>
  </si>
  <si>
    <r>
      <rPr>
        <i val="true"/>
        <sz val="9"/>
        <color rgb="FF555555"/>
        <rFont val="Arial"/>
        <family val="0"/>
        <charset val="1"/>
      </rPr>
      <t xml:space="preserve">CIRP burn threshold </t>
    </r>
    <r>
      <rPr>
        <i val="true"/>
        <sz val="9"/>
        <color rgb="FF555555"/>
        <rFont val="DejaVu Sans"/>
        <family val="2"/>
      </rPr>
      <t xml:space="preserve">연구</t>
    </r>
  </si>
  <si>
    <r>
      <rPr>
        <b val="true"/>
        <sz val="11"/>
        <color rgb="FFFFFFFF"/>
        <rFont val="Arial"/>
        <family val="0"/>
        <charset val="1"/>
      </rPr>
      <t xml:space="preserve">■ 8. </t>
    </r>
    <r>
      <rPr>
        <b val="true"/>
        <sz val="11"/>
        <color rgb="FFFFFFFF"/>
        <rFont val="DejaVu Sans"/>
        <family val="2"/>
      </rPr>
      <t xml:space="preserve">현장 실측 검증 블록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입력은 최소안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</si>
  <si>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i val="true"/>
        <sz val="9"/>
        <color rgb="FF555555"/>
        <rFont val="DejaVu Sans"/>
        <family val="2"/>
      </rPr>
      <t xml:space="preserve">실측 데이터 입력 시 모델 잔차와 시스템 보정계수 </t>
    </r>
    <r>
      <rPr>
        <i val="true"/>
        <sz val="9"/>
        <color rgb="FF555555"/>
        <rFont val="DejaVu Sans"/>
        <family val="2"/>
        <charset val="1"/>
      </rPr>
      <t xml:space="preserve">K</t>
    </r>
    <r>
      <rPr>
        <i val="true"/>
        <sz val="9"/>
        <color rgb="FF555555"/>
        <rFont val="DejaVu Sans"/>
        <family val="2"/>
      </rPr>
      <t xml:space="preserve">를 산출</t>
    </r>
    <r>
      <rPr>
        <i val="true"/>
        <sz val="9"/>
        <color rgb="FF555555"/>
        <rFont val="DejaVu Sans"/>
        <family val="2"/>
        <charset val="1"/>
      </rPr>
      <t xml:space="preserve">. K</t>
    </r>
    <r>
      <rPr>
        <i val="true"/>
        <sz val="9"/>
        <color rgb="FF555555"/>
        <rFont val="DejaVu Sans"/>
        <family val="2"/>
      </rPr>
      <t xml:space="preserve">는 참고용 — </t>
    </r>
    <r>
      <rPr>
        <i val="true"/>
        <sz val="9"/>
        <color rgb="FF555555"/>
        <rFont val="DejaVu Sans"/>
        <family val="2"/>
        <charset val="1"/>
      </rPr>
      <t xml:space="preserve">α </t>
    </r>
    <r>
      <rPr>
        <i val="true"/>
        <sz val="9"/>
        <color rgb="FF555555"/>
        <rFont val="DejaVu Sans"/>
        <family val="2"/>
      </rPr>
      <t xml:space="preserve">분리 역산은 데이터 누적 후 </t>
    </r>
    <r>
      <rPr>
        <i val="true"/>
        <sz val="9"/>
        <color rgb="FF555555"/>
        <rFont val="DejaVu Sans"/>
        <family val="2"/>
        <charset val="1"/>
      </rPr>
      <t xml:space="preserve">v5</t>
    </r>
    <r>
      <rPr>
        <i val="true"/>
        <sz val="9"/>
        <color rgb="FF555555"/>
        <rFont val="DejaVu Sans"/>
        <family val="2"/>
      </rPr>
      <t xml:space="preserve">에서 확장</t>
    </r>
    <r>
      <rPr>
        <i val="true"/>
        <sz val="9"/>
        <color rgb="FF555555"/>
        <rFont val="DejaVu Sans"/>
        <family val="2"/>
        <charset val="1"/>
      </rPr>
      <t xml:space="preserve">.</t>
    </r>
  </si>
  <si>
    <r>
      <rPr>
        <b val="true"/>
        <sz val="10"/>
        <rFont val="DejaVu Sans"/>
        <family val="2"/>
      </rPr>
      <t xml:space="preserve">측정 외경 </t>
    </r>
    <r>
      <rPr>
        <b val="true"/>
        <sz val="10"/>
        <rFont val="DejaVu Sans"/>
        <family val="2"/>
        <charset val="1"/>
      </rPr>
      <t xml:space="preserve">(mm)</t>
    </r>
  </si>
  <si>
    <r>
      <rPr>
        <b val="true"/>
        <sz val="10"/>
        <rFont val="DejaVu Sans"/>
        <family val="2"/>
      </rPr>
      <t xml:space="preserve">쿨런트 온도 </t>
    </r>
    <r>
      <rPr>
        <b val="true"/>
        <sz val="10"/>
        <rFont val="DejaVu Sans"/>
        <family val="2"/>
        <charset val="1"/>
      </rPr>
      <t xml:space="preserve">(°C)</t>
    </r>
  </si>
  <si>
    <r>
      <rPr>
        <b val="true"/>
        <sz val="10"/>
        <rFont val="DejaVu Sans"/>
        <family val="2"/>
      </rPr>
      <t xml:space="preserve">잔차 </t>
    </r>
    <r>
      <rPr>
        <b val="true"/>
        <sz val="10"/>
        <rFont val="DejaVu Sans"/>
        <family val="2"/>
        <charset val="1"/>
      </rPr>
      <t xml:space="preserve">(</t>
    </r>
    <r>
      <rPr>
        <b val="true"/>
        <sz val="10"/>
        <rFont val="DejaVu Sans"/>
        <family val="2"/>
      </rPr>
      <t xml:space="preserve">실측</t>
    </r>
    <r>
      <rPr>
        <b val="true"/>
        <sz val="10"/>
        <rFont val="DejaVu Sans"/>
        <family val="2"/>
        <charset val="1"/>
      </rPr>
      <t xml:space="preserve">-</t>
    </r>
    <r>
      <rPr>
        <b val="true"/>
        <sz val="10"/>
        <rFont val="DejaVu Sans"/>
        <family val="2"/>
      </rPr>
      <t xml:space="preserve">기준 </t>
    </r>
    <r>
      <rPr>
        <b val="true"/>
        <sz val="10"/>
        <rFont val="DejaVu Sans"/>
        <family val="2"/>
        <charset val="1"/>
      </rPr>
      <t xml:space="preserve">μm)</t>
    </r>
  </si>
  <si>
    <r>
      <rPr>
        <sz val="10"/>
        <rFont val="DejaVu Sans"/>
        <family val="2"/>
      </rPr>
      <t xml:space="preserve">기준 외경 </t>
    </r>
    <r>
      <rPr>
        <sz val="10"/>
        <rFont val="DejaVu Sans"/>
        <family val="2"/>
        <charset val="1"/>
      </rPr>
      <t xml:space="preserve">D₀ (mm) →</t>
    </r>
  </si>
  <si>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DejaVu Sans"/>
        <family val="2"/>
      </rPr>
      <t xml:space="preserve">공칭 가공 목표 외경</t>
    </r>
    <r>
      <rPr>
        <i val="true"/>
        <sz val="9"/>
        <color rgb="FF555555"/>
        <rFont val="Arial"/>
        <family val="0"/>
        <charset val="1"/>
      </rPr>
      <t xml:space="preserve">)</t>
    </r>
  </si>
  <si>
    <r>
      <rPr>
        <i val="true"/>
        <sz val="9"/>
        <color rgb="FF555555"/>
        <rFont val="Arial"/>
        <family val="0"/>
        <charset val="1"/>
      </rPr>
      <t xml:space="preserve">K </t>
    </r>
    <r>
      <rPr>
        <i val="true"/>
        <sz val="9"/>
        <color rgb="FF555555"/>
        <rFont val="DejaVu Sans"/>
        <family val="2"/>
      </rPr>
      <t xml:space="preserve">해석</t>
    </r>
    <r>
      <rPr>
        <i val="true"/>
        <sz val="9"/>
        <color rgb="FF555555"/>
        <rFont val="Arial"/>
        <family val="0"/>
        <charset val="1"/>
      </rPr>
      <t xml:space="preserve">: K=1 → </t>
    </r>
    <r>
      <rPr>
        <i val="true"/>
        <sz val="9"/>
        <color rgb="FF555555"/>
        <rFont val="DejaVu Sans"/>
        <family val="2"/>
      </rPr>
      <t xml:space="preserve">모델 정확</t>
    </r>
    <r>
      <rPr>
        <i val="true"/>
        <sz val="9"/>
        <color rgb="FF555555"/>
        <rFont val="Arial"/>
        <family val="0"/>
        <charset val="1"/>
      </rPr>
      <t xml:space="preserve">. K&gt;1 → </t>
    </r>
    <r>
      <rPr>
        <i val="true"/>
        <sz val="9"/>
        <color rgb="FF555555"/>
        <rFont val="DejaVu Sans"/>
        <family val="2"/>
      </rPr>
      <t xml:space="preserve">모델 과소예측</t>
    </r>
    <r>
      <rPr>
        <i val="true"/>
        <sz val="9"/>
        <color rgb="FF555555"/>
        <rFont val="Arial"/>
        <family val="0"/>
        <charset val="1"/>
      </rPr>
      <t xml:space="preserve">. K&lt;1 → </t>
    </r>
    <r>
      <rPr>
        <i val="true"/>
        <sz val="9"/>
        <color rgb="FF555555"/>
        <rFont val="DejaVu Sans"/>
        <family val="2"/>
      </rPr>
      <t xml:space="preserve">모델 과대예측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DejaVu Sans"/>
        <family val="2"/>
      </rPr>
      <t xml:space="preserve">누적값으로 </t>
    </r>
    <r>
      <rPr>
        <i val="true"/>
        <sz val="9"/>
        <color rgb="FF555555"/>
        <rFont val="Arial"/>
        <family val="0"/>
        <charset val="1"/>
      </rPr>
      <t xml:space="preserve">α </t>
    </r>
    <r>
      <rPr>
        <i val="true"/>
        <sz val="9"/>
        <color rgb="FF555555"/>
        <rFont val="DejaVu Sans"/>
        <family val="2"/>
      </rPr>
      <t xml:space="preserve">보정 라운드 진행</t>
    </r>
    <r>
      <rPr>
        <i val="true"/>
        <sz val="9"/>
        <color rgb="FF555555"/>
        <rFont val="Arial"/>
        <family val="0"/>
        <charset val="1"/>
      </rPr>
      <t xml:space="preserve">.</t>
    </r>
  </si>
  <si>
    <r>
      <rPr>
        <b val="true"/>
        <sz val="11"/>
        <color rgb="FFFFFFFF"/>
        <rFont val="Arial"/>
        <family val="0"/>
        <charset val="1"/>
      </rPr>
      <t xml:space="preserve">■ 9. </t>
    </r>
    <r>
      <rPr>
        <b val="true"/>
        <sz val="11"/>
        <color rgb="FFFFFFFF"/>
        <rFont val="DejaVu Sans"/>
        <family val="2"/>
      </rPr>
      <t xml:space="preserve">권장 조치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단계적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</si>
  <si>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즉시</t>
  </si>
  <si>
    <r>
      <rPr>
        <sz val="10"/>
        <rFont val="DejaVu Sans"/>
        <family val="2"/>
      </rPr>
      <t xml:space="preserve">칠러 트리거</t>
    </r>
    <r>
      <rPr>
        <sz val="10"/>
        <rFont val="DejaVu Sans"/>
        <family val="2"/>
        <charset val="1"/>
      </rPr>
      <t xml:space="preserve">: </t>
    </r>
    <r>
      <rPr>
        <sz val="10"/>
        <rFont val="DejaVu Sans"/>
        <family val="2"/>
      </rPr>
      <t xml:space="preserve">상한 </t>
    </r>
    <r>
      <rPr>
        <sz val="10"/>
        <rFont val="DejaVu Sans"/>
        <family val="2"/>
        <charset val="1"/>
      </rPr>
      <t xml:space="preserve">25 → 23 °C / </t>
    </r>
    <r>
      <rPr>
        <sz val="10"/>
        <rFont val="DejaVu Sans"/>
        <family val="2"/>
      </rPr>
      <t xml:space="preserve">하한 </t>
    </r>
    <r>
      <rPr>
        <sz val="10"/>
        <rFont val="DejaVu Sans"/>
        <family val="2"/>
        <charset val="1"/>
      </rPr>
      <t xml:space="preserve">21 °C </t>
    </r>
    <r>
      <rPr>
        <sz val="10"/>
        <rFont val="DejaVu Sans"/>
        <family val="2"/>
      </rPr>
      <t xml:space="preserve">추가 → </t>
    </r>
    <r>
      <rPr>
        <sz val="10"/>
        <rFont val="DejaVu Sans"/>
        <family val="2"/>
        <charset val="1"/>
      </rPr>
      <t xml:space="preserve">22 °C ±1 °C </t>
    </r>
    <r>
      <rPr>
        <sz val="10"/>
        <rFont val="DejaVu Sans"/>
        <family val="2"/>
      </rPr>
      <t xml:space="preserve">밴드 운영</t>
    </r>
  </si>
  <si>
    <t xml:space="preserve">중기</t>
  </si>
  <si>
    <r>
      <rPr>
        <sz val="10"/>
        <rFont val="DejaVu Sans"/>
        <family val="2"/>
      </rPr>
      <t xml:space="preserve">칠러 </t>
    </r>
    <r>
      <rPr>
        <sz val="10"/>
        <rFont val="DejaVu Sans"/>
        <family val="2"/>
        <charset val="1"/>
      </rPr>
      <t xml:space="preserve">setpoint 22 °C, </t>
    </r>
    <r>
      <rPr>
        <sz val="10"/>
        <rFont val="DejaVu Sans"/>
        <family val="2"/>
      </rPr>
      <t xml:space="preserve">변동폭 </t>
    </r>
    <r>
      <rPr>
        <sz val="10"/>
        <rFont val="DejaVu Sans"/>
        <family val="2"/>
        <charset val="1"/>
      </rPr>
      <t xml:space="preserve">±0.5 °C </t>
    </r>
    <r>
      <rPr>
        <sz val="10"/>
        <rFont val="DejaVu Sans"/>
        <family val="2"/>
      </rPr>
      <t xml:space="preserve">강화 </t>
    </r>
    <r>
      <rPr>
        <sz val="10"/>
        <rFont val="DejaVu Sans"/>
        <family val="2"/>
        <charset val="1"/>
      </rPr>
      <t xml:space="preserve">(DC </t>
    </r>
    <r>
      <rPr>
        <sz val="10"/>
        <rFont val="DejaVu Sans"/>
        <family val="2"/>
      </rPr>
      <t xml:space="preserve">인버터 칠러 도입 검토</t>
    </r>
    <r>
      <rPr>
        <sz val="10"/>
        <rFont val="DejaVu Sans"/>
        <family val="2"/>
        <charset val="1"/>
      </rPr>
      <t xml:space="preserve">)</t>
    </r>
  </si>
  <si>
    <t xml:space="preserve">매일 운영</t>
  </si>
  <si>
    <r>
      <rPr>
        <sz val="10"/>
        <rFont val="DejaVu Sans"/>
        <family val="2"/>
      </rPr>
      <t xml:space="preserve">가공 시작 전 </t>
    </r>
    <r>
      <rPr>
        <sz val="10"/>
        <rFont val="DejaVu Sans"/>
        <family val="2"/>
        <charset val="1"/>
      </rPr>
      <t xml:space="preserve">30</t>
    </r>
    <r>
      <rPr>
        <sz val="10"/>
        <rFont val="DejaVu Sans"/>
        <family val="2"/>
      </rPr>
      <t xml:space="preserve">분 무부하 워밍업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쿨런트 순환 → 머신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휠 열적 안정</t>
    </r>
  </si>
  <si>
    <t xml:space="preserve">측정 표준</t>
  </si>
  <si>
    <r>
      <rPr>
        <sz val="10"/>
        <rFont val="DejaVu Sans"/>
        <family val="2"/>
      </rPr>
      <t xml:space="preserve">오전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오후 첫 </t>
    </r>
    <r>
      <rPr>
        <sz val="10"/>
        <rFont val="DejaVu Sans"/>
        <family val="2"/>
        <charset val="1"/>
      </rPr>
      <t xml:space="preserve">1~2</t>
    </r>
    <r>
      <rPr>
        <sz val="10"/>
        <rFont val="DejaVu Sans"/>
        <family val="2"/>
      </rPr>
      <t xml:space="preserve">개 가공물은 측정 데이터에서 제외 또는 보정 적용</t>
    </r>
  </si>
  <si>
    <t xml:space="preserve">모니터링</t>
  </si>
  <si>
    <r>
      <rPr>
        <sz val="10"/>
        <rFont val="DejaVu Sans"/>
        <family val="2"/>
      </rPr>
      <t xml:space="preserve">쿨런트 탱크 </t>
    </r>
    <r>
      <rPr>
        <sz val="10"/>
        <rFont val="DejaVu Sans"/>
        <family val="2"/>
        <charset val="1"/>
      </rPr>
      <t xml:space="preserve">PT100 </t>
    </r>
    <r>
      <rPr>
        <sz val="10"/>
        <rFont val="DejaVu Sans"/>
        <family val="2"/>
      </rPr>
      <t xml:space="preserve">상시 설치 → 정밀 가공 중 </t>
    </r>
    <r>
      <rPr>
        <sz val="10"/>
        <rFont val="DejaVu Sans"/>
        <family val="2"/>
        <charset val="1"/>
      </rPr>
      <t xml:space="preserve">±2 °C </t>
    </r>
    <r>
      <rPr>
        <sz val="10"/>
        <rFont val="DejaVu Sans"/>
        <family val="2"/>
      </rPr>
      <t xml:space="preserve">초과 시 가공 중단</t>
    </r>
  </si>
  <si>
    <t xml:space="preserve">장기</t>
  </si>
  <si>
    <r>
      <rPr>
        <sz val="10"/>
        <rFont val="Arial"/>
        <family val="0"/>
        <charset val="1"/>
      </rPr>
      <t xml:space="preserve">ANCA MTC </t>
    </r>
    <r>
      <rPr>
        <sz val="10"/>
        <rFont val="DejaVu Sans"/>
        <family val="2"/>
      </rPr>
      <t xml:space="preserve">미장착 모델은 </t>
    </r>
    <r>
      <rPr>
        <sz val="10"/>
        <rFont val="Arial"/>
        <family val="0"/>
        <charset val="1"/>
      </rPr>
      <t xml:space="preserve">chiller setpoint </t>
    </r>
    <r>
      <rPr>
        <sz val="10"/>
        <rFont val="DejaVu Sans"/>
        <family val="2"/>
      </rPr>
      <t xml:space="preserve">정밀화로 보완 </t>
    </r>
    <r>
      <rPr>
        <sz val="10"/>
        <rFont val="Arial"/>
        <family val="0"/>
        <charset val="1"/>
      </rPr>
      <t xml:space="preserve">(FX7 Ultra</t>
    </r>
    <r>
      <rPr>
        <sz val="10"/>
        <rFont val="DejaVu Sans"/>
        <family val="2"/>
      </rPr>
      <t xml:space="preserve">는 자동</t>
    </r>
    <r>
      <rPr>
        <sz val="10"/>
        <rFont val="Arial"/>
        <family val="0"/>
        <charset val="1"/>
      </rPr>
      <t xml:space="preserve">, ANCA Ultra White Paper)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</si>
</sst>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#,##0"/>
    <numFmt numFmtId="167" formatCode="0.0"/>
    <numFmt numFmtId="168" formatCode="0.000"/>
    <numFmt numFmtId="169" formatCode="0.00000"/>
    <numFmt numFmtId="170" formatCode="0.00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DejaVu Sans"/>
      <family val="2"/>
    </font>
    <font>
      <i val="true"/>
      <sz val="9"/>
      <color rgb="FF555555"/>
      <name val="DejaVu Sans"/>
      <family val="2"/>
    </font>
    <font>
      <i val="true"/>
      <sz val="9"/>
      <color rgb="FF555555"/>
      <name val="DejaVu Sans"/>
      <family val="2"/>
      <charset val="1"/>
    </font>
    <font>
      <b val="true"/>
      <sz val="11"/>
      <color rgb="FFFFFFFF"/>
      <name val="DejaVu Sans"/>
      <family val="2"/>
    </font>
    <font>
      <b val="true"/>
      <sz val="10"/>
      <name val="Arial"/>
      <family val="0"/>
      <charset val="1"/>
    </font>
    <font>
      <b val="true"/>
      <sz val="10"/>
      <name val="DejaVu Sans"/>
      <family val="2"/>
    </font>
    <font>
      <sz val="10"/>
      <name val="DejaVu Sans"/>
      <family val="2"/>
    </font>
    <font>
      <sz val="10"/>
      <name val="DejaVu Sans"/>
      <family val="2"/>
      <charset val="1"/>
    </font>
    <font>
      <sz val="10"/>
      <name val="Arial"/>
      <family val="0"/>
      <charset val="1"/>
    </font>
    <font>
      <b val="true"/>
      <sz val="11"/>
      <color rgb="FFFFFFFF"/>
      <name val="DejaVu Sans"/>
      <family val="2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FFFFFF"/>
      <name val="DejaVu Sans"/>
      <family val="2"/>
      <charset val="1"/>
    </font>
    <font>
      <b val="true"/>
      <sz val="14"/>
      <color rgb="FFFFFFFF"/>
      <name val="Arial"/>
      <family val="0"/>
      <charset val="1"/>
    </font>
    <font>
      <b val="true"/>
      <sz val="10"/>
      <name val="DejaVu Sans"/>
      <family val="2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C00000"/>
      <name val="DejaVu Sans"/>
      <family val="2"/>
    </font>
    <font>
      <b val="true"/>
      <sz val="10"/>
      <color rgb="FFC00000"/>
      <name val="DejaVu Sans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F00"/>
        <bgColor rgb="FFFFCC00"/>
      </patternFill>
    </fill>
    <fill>
      <patternFill patternType="solid">
        <fgColor rgb="FFC6E0B4"/>
        <bgColor rgb="FFDDD9C4"/>
      </patternFill>
    </fill>
    <fill>
      <patternFill patternType="solid">
        <fgColor rgb="FFFFE699"/>
        <bgColor rgb="FFFFF2CC"/>
      </patternFill>
    </fill>
    <fill>
      <patternFill patternType="solid">
        <fgColor rgb="FFF4B084"/>
        <bgColor rgb="FFF4CCCC"/>
      </patternFill>
    </fill>
    <fill>
      <patternFill patternType="solid">
        <fgColor rgb="FF9DC3E6"/>
        <bgColor rgb="FFB4C7E7"/>
      </patternFill>
    </fill>
    <fill>
      <patternFill patternType="solid">
        <fgColor rgb="FFDCE6F2"/>
        <bgColor rgb="FFEAEAEA"/>
      </patternFill>
    </fill>
    <fill>
      <patternFill patternType="solid">
        <fgColor rgb="FF808080"/>
        <bgColor rgb="FF888888"/>
      </patternFill>
    </fill>
    <fill>
      <patternFill patternType="solid">
        <fgColor rgb="FFEAEAEA"/>
        <bgColor rgb="FFEAF1F8"/>
      </patternFill>
    </fill>
    <fill>
      <patternFill patternType="solid">
        <fgColor rgb="FFF2F2F2"/>
        <bgColor rgb="FFEAF1F8"/>
      </patternFill>
    </fill>
    <fill>
      <patternFill patternType="solid">
        <fgColor rgb="FFEAF1F8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DDD9C4"/>
        <bgColor rgb="FFC6E0B4"/>
      </patternFill>
    </fill>
    <fill>
      <patternFill patternType="solid">
        <fgColor rgb="FFB4C7E7"/>
        <bgColor rgb="FF9DC3E6"/>
      </patternFill>
    </fill>
    <fill>
      <patternFill patternType="solid">
        <fgColor rgb="FFFFFFFF"/>
        <bgColor rgb="FFF2F2F2"/>
      </patternFill>
    </fill>
    <fill>
      <patternFill patternType="solid">
        <fgColor rgb="FFC00000"/>
        <bgColor rgb="FF800000"/>
      </patternFill>
    </fill>
    <fill>
      <patternFill patternType="solid">
        <fgColor rgb="FFF4CCCC"/>
        <bgColor rgb="FFDDD9C4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 diagonalUp="false" diagonalDown="false">
      <left style="thin">
        <color rgb="FF888888"/>
      </left>
      <right/>
      <top style="thin">
        <color rgb="FF888888"/>
      </top>
      <bottom style="thin">
        <color rgb="FF888888"/>
      </bottom>
      <diagonal/>
    </border>
    <border diagonalUp="false" diagonalDown="false">
      <left/>
      <right/>
      <top style="thin">
        <color rgb="FF888888"/>
      </top>
      <bottom style="thin">
        <color rgb="FF888888"/>
      </bottom>
      <diagonal/>
    </border>
    <border diagonalUp="false" diagonalDown="false">
      <left/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2CC"/>
      <rgbColor rgb="FFEAF1F8"/>
      <rgbColor rgb="FF660066"/>
      <rgbColor rgb="FFFF8080"/>
      <rgbColor rgb="FF0066CC"/>
      <rgbColor rgb="FFDDD9C4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DCE6F2"/>
      <rgbColor rgb="FFEAEAEA"/>
      <rgbColor rgb="FFFFE699"/>
      <rgbColor rgb="FF9DC3E6"/>
      <rgbColor rgb="FFF4B084"/>
      <rgbColor rgb="FFC6E0B4"/>
      <rgbColor rgb="FFF4CCCC"/>
      <rgbColor rgb="FF2E75B6"/>
      <rgbColor rgb="FF33CCCC"/>
      <rgbColor rgb="FF99CC00"/>
      <rgbColor rgb="FFFFCC00"/>
      <rgbColor rgb="FFFF9900"/>
      <rgbColor rgb="FFFF6600"/>
      <rgbColor rgb="FF555555"/>
      <rgbColor rgb="FF888888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5"/>
    <col collapsed="false" customWidth="true" hidden="false" outlineLevel="0" max="5" min="3" style="1" width="14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</row>
    <row r="5" customFormat="false" ht="15" hidden="false" customHeight="true" outlineLevel="0" collapsed="false">
      <c r="A5" s="5" t="s">
        <v>3</v>
      </c>
      <c r="B5" s="5" t="s">
        <v>4</v>
      </c>
      <c r="C5" s="5"/>
      <c r="D5" s="5"/>
      <c r="E5" s="5"/>
    </row>
    <row r="6" customFormat="false" ht="15" hidden="false" customHeight="true" outlineLevel="0" collapsed="false">
      <c r="A6" s="6" t="s">
        <v>5</v>
      </c>
      <c r="B6" s="7" t="s">
        <v>6</v>
      </c>
      <c r="C6" s="7"/>
      <c r="D6" s="7"/>
      <c r="E6" s="7"/>
    </row>
    <row r="7" customFormat="false" ht="15" hidden="false" customHeight="true" outlineLevel="0" collapsed="false">
      <c r="A7" s="6" t="s">
        <v>7</v>
      </c>
      <c r="B7" s="7" t="s">
        <v>8</v>
      </c>
      <c r="C7" s="7"/>
      <c r="D7" s="7"/>
      <c r="E7" s="7"/>
    </row>
    <row r="8" customFormat="false" ht="15" hidden="false" customHeight="true" outlineLevel="0" collapsed="false">
      <c r="A8" s="6" t="s">
        <v>9</v>
      </c>
      <c r="B8" s="8" t="s">
        <v>10</v>
      </c>
      <c r="C8" s="8"/>
      <c r="D8" s="8"/>
      <c r="E8" s="8"/>
    </row>
    <row r="9" customFormat="false" ht="15" hidden="false" customHeight="true" outlineLevel="0" collapsed="false">
      <c r="A9" s="6" t="s">
        <v>11</v>
      </c>
      <c r="B9" s="7" t="s">
        <v>12</v>
      </c>
      <c r="C9" s="7"/>
      <c r="D9" s="7"/>
      <c r="E9" s="7"/>
    </row>
    <row r="10" customFormat="false" ht="15" hidden="false" customHeight="true" outlineLevel="0" collapsed="false">
      <c r="A10" s="6" t="s">
        <v>13</v>
      </c>
      <c r="B10" s="7" t="s">
        <v>14</v>
      </c>
      <c r="C10" s="7"/>
      <c r="D10" s="7"/>
      <c r="E10" s="7"/>
    </row>
    <row r="11" customFormat="false" ht="15" hidden="false" customHeight="true" outlineLevel="0" collapsed="false">
      <c r="A11" s="6" t="s">
        <v>15</v>
      </c>
      <c r="B11" s="7" t="s">
        <v>16</v>
      </c>
      <c r="C11" s="7"/>
      <c r="D11" s="7"/>
      <c r="E11" s="7"/>
    </row>
    <row r="12" customFormat="false" ht="15" hidden="false" customHeight="true" outlineLevel="0" collapsed="false">
      <c r="A12" s="6" t="s">
        <v>17</v>
      </c>
      <c r="B12" s="7" t="s">
        <v>18</v>
      </c>
      <c r="C12" s="7"/>
      <c r="D12" s="7"/>
      <c r="E12" s="7"/>
    </row>
    <row r="14" customFormat="false" ht="15" hidden="false" customHeight="true" outlineLevel="0" collapsed="false">
      <c r="A14" s="4" t="s">
        <v>19</v>
      </c>
      <c r="B14" s="4"/>
      <c r="C14" s="4"/>
      <c r="D14" s="4"/>
      <c r="E14" s="4"/>
    </row>
    <row r="15" customFormat="false" ht="15" hidden="false" customHeight="true" outlineLevel="0" collapsed="false">
      <c r="A15" s="9"/>
      <c r="B15" s="10" t="s">
        <v>20</v>
      </c>
      <c r="C15" s="10"/>
      <c r="D15" s="10"/>
      <c r="E15" s="10"/>
    </row>
    <row r="16" customFormat="false" ht="15" hidden="false" customHeight="true" outlineLevel="0" collapsed="false">
      <c r="A16" s="11"/>
      <c r="B16" s="10" t="s">
        <v>21</v>
      </c>
      <c r="C16" s="10"/>
      <c r="D16" s="10"/>
      <c r="E16" s="10"/>
    </row>
    <row r="17" customFormat="false" ht="15" hidden="false" customHeight="true" outlineLevel="0" collapsed="false">
      <c r="A17" s="12"/>
      <c r="B17" s="10" t="s">
        <v>22</v>
      </c>
      <c r="C17" s="10"/>
      <c r="D17" s="10"/>
      <c r="E17" s="10"/>
    </row>
    <row r="18" customFormat="false" ht="15" hidden="false" customHeight="true" outlineLevel="0" collapsed="false">
      <c r="A18" s="13"/>
      <c r="B18" s="10" t="s">
        <v>23</v>
      </c>
      <c r="C18" s="10"/>
      <c r="D18" s="10"/>
      <c r="E18" s="10"/>
    </row>
    <row r="20" customFormat="false" ht="15" hidden="false" customHeight="true" outlineLevel="0" collapsed="false">
      <c r="A20" s="4" t="s">
        <v>24</v>
      </c>
      <c r="B20" s="4"/>
      <c r="C20" s="4"/>
      <c r="D20" s="4"/>
      <c r="E20" s="4"/>
    </row>
    <row r="21" customFormat="false" ht="23.25" hidden="false" customHeight="true" outlineLevel="0" collapsed="false">
      <c r="A21" s="6" t="s">
        <v>25</v>
      </c>
      <c r="B21" s="8" t="s">
        <v>26</v>
      </c>
      <c r="C21" s="8"/>
      <c r="D21" s="8"/>
      <c r="E21" s="8"/>
    </row>
    <row r="22" customFormat="false" ht="23.25" hidden="false" customHeight="true" outlineLevel="0" collapsed="false">
      <c r="A22" s="6" t="s">
        <v>27</v>
      </c>
      <c r="B22" s="8" t="s">
        <v>28</v>
      </c>
      <c r="C22" s="8"/>
      <c r="D22" s="8"/>
      <c r="E22" s="8"/>
    </row>
    <row r="23" customFormat="false" ht="15" hidden="false" customHeight="true" outlineLevel="0" collapsed="false">
      <c r="A23" s="6" t="s">
        <v>29</v>
      </c>
      <c r="B23" s="8" t="s">
        <v>30</v>
      </c>
      <c r="C23" s="8"/>
      <c r="D23" s="8"/>
      <c r="E23" s="8"/>
    </row>
    <row r="24" customFormat="false" ht="15" hidden="false" customHeight="true" outlineLevel="0" collapsed="false">
      <c r="A24" s="6" t="s">
        <v>31</v>
      </c>
      <c r="B24" s="8" t="s">
        <v>32</v>
      </c>
      <c r="C24" s="8"/>
      <c r="D24" s="8"/>
      <c r="E24" s="8"/>
    </row>
    <row r="25" customFormat="false" ht="15" hidden="false" customHeight="true" outlineLevel="0" collapsed="false">
      <c r="A25" s="6" t="s">
        <v>33</v>
      </c>
      <c r="B25" s="8" t="s">
        <v>34</v>
      </c>
      <c r="C25" s="8"/>
      <c r="D25" s="8"/>
      <c r="E25" s="8"/>
    </row>
    <row r="26" customFormat="false" ht="23.25" hidden="false" customHeight="true" outlineLevel="0" collapsed="false">
      <c r="A26" s="6" t="s">
        <v>35</v>
      </c>
      <c r="B26" s="8" t="s">
        <v>36</v>
      </c>
      <c r="C26" s="8"/>
      <c r="D26" s="8"/>
      <c r="E26" s="8"/>
    </row>
    <row r="27" customFormat="false" ht="15" hidden="false" customHeight="true" outlineLevel="0" collapsed="false">
      <c r="A27" s="6" t="s">
        <v>37</v>
      </c>
      <c r="B27" s="8" t="s">
        <v>38</v>
      </c>
      <c r="C27" s="8"/>
      <c r="D27" s="8"/>
      <c r="E27" s="8"/>
    </row>
    <row r="29" customFormat="false" ht="15" hidden="false" customHeight="true" outlineLevel="0" collapsed="false">
      <c r="A29" s="14" t="s">
        <v>39</v>
      </c>
      <c r="B29" s="14"/>
      <c r="C29" s="14"/>
      <c r="D29" s="14"/>
      <c r="E29" s="14"/>
    </row>
    <row r="30" customFormat="false" ht="15" hidden="false" customHeight="true" outlineLevel="0" collapsed="false">
      <c r="A30" s="15" t="s">
        <v>40</v>
      </c>
      <c r="B30" s="15"/>
      <c r="C30" s="15"/>
      <c r="D30" s="15"/>
      <c r="E30" s="15"/>
    </row>
    <row r="31" customFormat="false" ht="15" hidden="false" customHeight="true" outlineLevel="0" collapsed="false">
      <c r="A31" s="15" t="s">
        <v>41</v>
      </c>
      <c r="B31" s="15"/>
      <c r="C31" s="15"/>
      <c r="D31" s="15"/>
      <c r="E31" s="15"/>
    </row>
    <row r="32" customFormat="false" ht="23.25" hidden="false" customHeight="true" outlineLevel="0" collapsed="false">
      <c r="A32" s="15" t="s">
        <v>42</v>
      </c>
      <c r="B32" s="15"/>
      <c r="C32" s="15"/>
      <c r="D32" s="15"/>
      <c r="E32" s="15"/>
    </row>
    <row r="33" customFormat="false" ht="23.25" hidden="false" customHeight="true" outlineLevel="0" collapsed="false">
      <c r="A33" s="15" t="s">
        <v>43</v>
      </c>
      <c r="B33" s="15"/>
      <c r="C33" s="15"/>
      <c r="D33" s="15"/>
      <c r="E33" s="15"/>
    </row>
    <row r="34" customFormat="false" ht="23.25" hidden="false" customHeight="true" outlineLevel="0" collapsed="false">
      <c r="A34" s="15" t="s">
        <v>44</v>
      </c>
      <c r="B34" s="15"/>
      <c r="C34" s="15"/>
      <c r="D34" s="15"/>
      <c r="E34" s="15"/>
    </row>
    <row r="35" customFormat="false" ht="23.25" hidden="false" customHeight="true" outlineLevel="0" collapsed="false">
      <c r="A35" s="15" t="s">
        <v>45</v>
      </c>
      <c r="B35" s="15"/>
      <c r="C35" s="15"/>
      <c r="D35" s="15"/>
      <c r="E35" s="15"/>
    </row>
    <row r="36" customFormat="false" ht="15" hidden="false" customHeight="true" outlineLevel="0" collapsed="false">
      <c r="A36" s="15" t="s">
        <v>46</v>
      </c>
      <c r="B36" s="15"/>
      <c r="C36" s="15"/>
      <c r="D36" s="15"/>
      <c r="E36" s="15"/>
    </row>
    <row r="37" customFormat="false" ht="15" hidden="false" customHeight="true" outlineLevel="0" collapsed="false">
      <c r="A37" s="15" t="s">
        <v>47</v>
      </c>
      <c r="B37" s="15"/>
      <c r="C37" s="15"/>
      <c r="D37" s="15"/>
      <c r="E37" s="15"/>
    </row>
    <row r="38" customFormat="false" ht="15" hidden="false" customHeight="true" outlineLevel="0" collapsed="false">
      <c r="A38" s="15" t="s">
        <v>48</v>
      </c>
      <c r="B38" s="15"/>
      <c r="C38" s="15"/>
      <c r="D38" s="15"/>
      <c r="E38" s="15"/>
    </row>
    <row r="40" customFormat="false" ht="15" hidden="false" customHeight="true" outlineLevel="0" collapsed="false">
      <c r="A40" s="16" t="s">
        <v>49</v>
      </c>
      <c r="B40" s="16"/>
      <c r="C40" s="16"/>
      <c r="D40" s="16"/>
      <c r="E40" s="16"/>
    </row>
    <row r="41" customFormat="false" ht="15" hidden="false" customHeight="true" outlineLevel="0" collapsed="false">
      <c r="A41" s="10" t="s">
        <v>50</v>
      </c>
      <c r="B41" s="10"/>
      <c r="C41" s="10"/>
      <c r="D41" s="10"/>
      <c r="E41" s="10"/>
    </row>
    <row r="42" customFormat="false" ht="15" hidden="false" customHeight="true" outlineLevel="0" collapsed="false">
      <c r="A42" s="15" t="s">
        <v>51</v>
      </c>
      <c r="B42" s="15"/>
      <c r="C42" s="15"/>
      <c r="D42" s="15"/>
      <c r="E42" s="15"/>
    </row>
    <row r="43" customFormat="false" ht="15" hidden="false" customHeight="true" outlineLevel="0" collapsed="false">
      <c r="A43" s="10" t="s">
        <v>52</v>
      </c>
      <c r="B43" s="10"/>
      <c r="C43" s="10"/>
      <c r="D43" s="10"/>
      <c r="E43" s="10"/>
    </row>
    <row r="44" customFormat="false" ht="15" hidden="false" customHeight="true" outlineLevel="0" collapsed="false">
      <c r="A44" s="10" t="s">
        <v>53</v>
      </c>
      <c r="B44" s="10"/>
      <c r="C44" s="10"/>
      <c r="D44" s="10"/>
      <c r="E44" s="10"/>
    </row>
  </sheetData>
  <mergeCells count="39">
    <mergeCell ref="A1:E1"/>
    <mergeCell ref="A2:E2"/>
    <mergeCell ref="A4:E4"/>
    <mergeCell ref="B5:E5"/>
    <mergeCell ref="B6:E6"/>
    <mergeCell ref="B7:E7"/>
    <mergeCell ref="B8:E8"/>
    <mergeCell ref="B9:E9"/>
    <mergeCell ref="B10:E10"/>
    <mergeCell ref="B11:E11"/>
    <mergeCell ref="B12:E12"/>
    <mergeCell ref="A14:E14"/>
    <mergeCell ref="B15:E15"/>
    <mergeCell ref="B16:E16"/>
    <mergeCell ref="B17:E17"/>
    <mergeCell ref="B18:E18"/>
    <mergeCell ref="A20:E20"/>
    <mergeCell ref="B21:E21"/>
    <mergeCell ref="B22:E22"/>
    <mergeCell ref="B23:E23"/>
    <mergeCell ref="B24:E24"/>
    <mergeCell ref="B25:E25"/>
    <mergeCell ref="B26:E26"/>
    <mergeCell ref="B27:E27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40:E40"/>
    <mergeCell ref="A41:E41"/>
    <mergeCell ref="A42:E42"/>
    <mergeCell ref="A43:E43"/>
    <mergeCell ref="A44:E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4"/>
    <col collapsed="false" customWidth="true" hidden="false" outlineLevel="0" max="4" min="3" style="1" width="30"/>
    <col collapsed="false" customWidth="true" hidden="false" outlineLevel="0" max="5" min="5" style="1" width="24"/>
  </cols>
  <sheetData>
    <row r="1" customFormat="false" ht="27.75" hidden="false" customHeight="true" outlineLevel="0" collapsed="false">
      <c r="A1" s="2" t="s">
        <v>54</v>
      </c>
      <c r="B1" s="2"/>
      <c r="C1" s="2"/>
      <c r="D1" s="2"/>
      <c r="E1" s="2"/>
    </row>
    <row r="3" customFormat="false" ht="15" hidden="false" customHeight="true" outlineLevel="0" collapsed="false">
      <c r="A3" s="5" t="s">
        <v>55</v>
      </c>
      <c r="B3" s="5" t="s">
        <v>56</v>
      </c>
      <c r="C3" s="5" t="s">
        <v>57</v>
      </c>
      <c r="D3" s="5" t="s">
        <v>58</v>
      </c>
      <c r="E3" s="5" t="s">
        <v>59</v>
      </c>
    </row>
    <row r="4" customFormat="false" ht="23.25" hidden="false" customHeight="true" outlineLevel="0" collapsed="false">
      <c r="A4" s="17" t="s">
        <v>60</v>
      </c>
      <c r="B4" s="17" t="s">
        <v>61</v>
      </c>
      <c r="C4" s="18" t="s">
        <v>62</v>
      </c>
      <c r="D4" s="17" t="s">
        <v>63</v>
      </c>
      <c r="E4" s="18" t="s">
        <v>64</v>
      </c>
    </row>
    <row r="5" customFormat="false" ht="15" hidden="false" customHeight="true" outlineLevel="0" collapsed="false">
      <c r="A5" s="17" t="s">
        <v>65</v>
      </c>
      <c r="B5" s="17" t="s">
        <v>61</v>
      </c>
      <c r="C5" s="18" t="s">
        <v>66</v>
      </c>
      <c r="D5" s="18" t="s">
        <v>67</v>
      </c>
      <c r="E5" s="17" t="s">
        <v>68</v>
      </c>
    </row>
    <row r="6" customFormat="false" ht="15" hidden="false" customHeight="true" outlineLevel="0" collapsed="false">
      <c r="A6" s="17" t="s">
        <v>69</v>
      </c>
      <c r="B6" s="17" t="s">
        <v>61</v>
      </c>
      <c r="C6" s="18" t="s">
        <v>70</v>
      </c>
      <c r="D6" s="18" t="s">
        <v>71</v>
      </c>
      <c r="E6" s="17" t="s">
        <v>72</v>
      </c>
    </row>
    <row r="7" customFormat="false" ht="15" hidden="false" customHeight="true" outlineLevel="0" collapsed="false">
      <c r="A7" s="17" t="s">
        <v>73</v>
      </c>
      <c r="B7" s="17" t="s">
        <v>61</v>
      </c>
      <c r="C7" s="17" t="s">
        <v>74</v>
      </c>
      <c r="D7" s="17" t="s">
        <v>75</v>
      </c>
      <c r="E7" s="18" t="s">
        <v>76</v>
      </c>
    </row>
    <row r="8" customFormat="false" ht="34.5" hidden="false" customHeight="true" outlineLevel="0" collapsed="false">
      <c r="A8" s="19" t="s">
        <v>77</v>
      </c>
      <c r="B8" s="19" t="s">
        <v>61</v>
      </c>
      <c r="C8" s="19" t="s">
        <v>78</v>
      </c>
      <c r="D8" s="20" t="s">
        <v>79</v>
      </c>
      <c r="E8" s="19" t="s">
        <v>80</v>
      </c>
    </row>
    <row r="9" customFormat="false" ht="15" hidden="false" customHeight="true" outlineLevel="0" collapsed="false">
      <c r="A9" s="21"/>
      <c r="B9" s="21"/>
      <c r="C9" s="21"/>
      <c r="D9" s="21"/>
      <c r="E9" s="21"/>
    </row>
    <row r="10" customFormat="false" ht="15" hidden="false" customHeight="true" outlineLevel="0" collapsed="false">
      <c r="A10" s="22" t="s">
        <v>81</v>
      </c>
      <c r="C10" s="21"/>
      <c r="D10" s="21"/>
      <c r="E10" s="21"/>
    </row>
    <row r="11" customFormat="false" ht="15" hidden="false" customHeight="true" outlineLevel="0" collapsed="false">
      <c r="A11" s="23" t="s">
        <v>82</v>
      </c>
      <c r="B11" s="24" t="s">
        <v>83</v>
      </c>
      <c r="C11" s="24" t="s">
        <v>4</v>
      </c>
      <c r="D11" s="24"/>
      <c r="E11" s="24"/>
    </row>
    <row r="12" customFormat="false" ht="15" hidden="false" customHeight="true" outlineLevel="0" collapsed="false">
      <c r="A12" s="6" t="s">
        <v>84</v>
      </c>
      <c r="B12" s="25" t="s">
        <v>85</v>
      </c>
      <c r="C12" s="18" t="s">
        <v>86</v>
      </c>
      <c r="D12" s="18"/>
      <c r="E12" s="18"/>
    </row>
    <row r="13" customFormat="false" ht="15" hidden="false" customHeight="true" outlineLevel="0" collapsed="false">
      <c r="A13" s="6" t="s">
        <v>87</v>
      </c>
      <c r="B13" s="26" t="s">
        <v>88</v>
      </c>
      <c r="C13" s="18" t="s">
        <v>89</v>
      </c>
      <c r="D13" s="18"/>
      <c r="E13" s="18"/>
    </row>
    <row r="14" customFormat="false" ht="15" hidden="false" customHeight="true" outlineLevel="0" collapsed="false">
      <c r="A14" s="6" t="s">
        <v>90</v>
      </c>
      <c r="B14" s="25" t="s">
        <v>91</v>
      </c>
      <c r="C14" s="18" t="s">
        <v>92</v>
      </c>
      <c r="D14" s="18"/>
      <c r="E14" s="18"/>
    </row>
    <row r="15" customFormat="false" ht="15" hidden="false" customHeight="true" outlineLevel="0" collapsed="false">
      <c r="A15" s="6" t="s">
        <v>93</v>
      </c>
      <c r="B15" s="25" t="s">
        <v>94</v>
      </c>
      <c r="C15" s="17" t="s">
        <v>95</v>
      </c>
      <c r="D15" s="17"/>
      <c r="E15" s="17"/>
    </row>
    <row r="16" customFormat="false" ht="15" hidden="false" customHeight="true" outlineLevel="0" collapsed="false">
      <c r="A16" s="6" t="s">
        <v>96</v>
      </c>
      <c r="B16" s="26" t="s">
        <v>97</v>
      </c>
      <c r="C16" s="17" t="s">
        <v>98</v>
      </c>
      <c r="D16" s="17"/>
      <c r="E16" s="17"/>
    </row>
    <row r="17" customFormat="false" ht="15" hidden="false" customHeight="true" outlineLevel="0" collapsed="false">
      <c r="A17" s="6" t="s">
        <v>99</v>
      </c>
      <c r="B17" s="26" t="s">
        <v>100</v>
      </c>
      <c r="C17" s="17" t="s">
        <v>101</v>
      </c>
      <c r="D17" s="17"/>
      <c r="E17" s="17"/>
    </row>
    <row r="18" customFormat="false" ht="15" hidden="false" customHeight="true" outlineLevel="0" collapsed="false">
      <c r="A18" s="6" t="s">
        <v>102</v>
      </c>
      <c r="B18" s="26" t="s">
        <v>103</v>
      </c>
      <c r="C18" s="17" t="s">
        <v>104</v>
      </c>
      <c r="D18" s="17"/>
      <c r="E18" s="17"/>
    </row>
    <row r="19" customFormat="false" ht="15" hidden="false" customHeight="true" outlineLevel="0" collapsed="false">
      <c r="A19" s="6" t="s">
        <v>105</v>
      </c>
      <c r="B19" s="26" t="s">
        <v>106</v>
      </c>
      <c r="C19" s="18" t="s">
        <v>107</v>
      </c>
      <c r="D19" s="18"/>
      <c r="E19" s="18"/>
    </row>
    <row r="20" customFormat="false" ht="15" hidden="false" customHeight="true" outlineLevel="0" collapsed="false">
      <c r="A20" s="6" t="s">
        <v>108</v>
      </c>
      <c r="B20" s="26" t="s">
        <v>109</v>
      </c>
      <c r="C20" s="17" t="s">
        <v>110</v>
      </c>
      <c r="D20" s="17"/>
      <c r="E20" s="17"/>
    </row>
    <row r="21" customFormat="false" ht="15" hidden="false" customHeight="true" outlineLevel="0" collapsed="false">
      <c r="A21" s="6" t="s">
        <v>111</v>
      </c>
      <c r="B21" s="25" t="s">
        <v>112</v>
      </c>
      <c r="C21" s="17" t="s">
        <v>113</v>
      </c>
      <c r="D21" s="17"/>
      <c r="E21" s="17"/>
    </row>
    <row r="22" customFormat="false" ht="15" hidden="false" customHeight="true" outlineLevel="0" collapsed="false">
      <c r="A22" s="6" t="s">
        <v>114</v>
      </c>
      <c r="B22" s="26" t="s">
        <v>115</v>
      </c>
      <c r="C22" s="17" t="s">
        <v>116</v>
      </c>
      <c r="D22" s="17"/>
      <c r="E22" s="17"/>
    </row>
    <row r="23" customFormat="false" ht="15" hidden="false" customHeight="true" outlineLevel="0" collapsed="false">
      <c r="A23" s="6" t="s">
        <v>117</v>
      </c>
      <c r="B23" s="26" t="s">
        <v>118</v>
      </c>
      <c r="C23" s="17" t="s">
        <v>119</v>
      </c>
      <c r="D23" s="17"/>
      <c r="E23" s="17"/>
    </row>
    <row r="24" customFormat="false" ht="15" hidden="false" customHeight="true" outlineLevel="0" collapsed="false">
      <c r="A24" s="6" t="s">
        <v>120</v>
      </c>
      <c r="B24" s="25" t="s">
        <v>121</v>
      </c>
      <c r="C24" s="18" t="s">
        <v>122</v>
      </c>
      <c r="D24" s="18"/>
      <c r="E24" s="18"/>
    </row>
    <row r="25" customFormat="false" ht="15" hidden="false" customHeight="true" outlineLevel="0" collapsed="false">
      <c r="A25" s="6" t="s">
        <v>123</v>
      </c>
      <c r="B25" s="25" t="s">
        <v>124</v>
      </c>
      <c r="C25" s="18" t="s">
        <v>125</v>
      </c>
      <c r="D25" s="27"/>
      <c r="E25" s="28"/>
    </row>
    <row r="26" customFormat="false" ht="15" hidden="false" customHeight="true" outlineLevel="0" collapsed="false">
      <c r="A26" s="21"/>
      <c r="B26" s="21"/>
      <c r="C26" s="21"/>
      <c r="D26" s="21"/>
      <c r="E26" s="21"/>
    </row>
    <row r="27" customFormat="false" ht="15" hidden="false" customHeight="true" outlineLevel="0" collapsed="false">
      <c r="A27" s="29" t="s">
        <v>126</v>
      </c>
      <c r="B27" s="21"/>
      <c r="C27" s="21"/>
      <c r="D27" s="21"/>
      <c r="E27" s="21"/>
    </row>
    <row r="28" customFormat="false" ht="15" hidden="false" customHeight="true" outlineLevel="0" collapsed="false">
      <c r="A28" s="6" t="s">
        <v>127</v>
      </c>
      <c r="B28" s="18" t="s">
        <v>128</v>
      </c>
      <c r="C28" s="18"/>
      <c r="D28" s="18"/>
      <c r="E28" s="18"/>
    </row>
    <row r="29" customFormat="false" ht="15" hidden="false" customHeight="true" outlineLevel="0" collapsed="false">
      <c r="A29" s="6" t="s">
        <v>129</v>
      </c>
      <c r="B29" s="18" t="s">
        <v>130</v>
      </c>
      <c r="C29" s="18"/>
      <c r="D29" s="18"/>
      <c r="E29" s="18"/>
    </row>
    <row r="30" customFormat="false" ht="15" hidden="false" customHeight="true" outlineLevel="0" collapsed="false">
      <c r="A30" s="6" t="s">
        <v>131</v>
      </c>
      <c r="B30" s="17" t="s">
        <v>132</v>
      </c>
      <c r="C30" s="17"/>
      <c r="D30" s="17"/>
      <c r="E30" s="17"/>
    </row>
    <row r="31" customFormat="false" ht="23.25" hidden="false" customHeight="true" outlineLevel="0" collapsed="false">
      <c r="A31" s="6" t="s">
        <v>133</v>
      </c>
      <c r="B31" s="17" t="s">
        <v>134</v>
      </c>
      <c r="C31" s="27"/>
      <c r="D31" s="27"/>
      <c r="E31" s="28"/>
    </row>
    <row r="33" customFormat="false" ht="15" hidden="false" customHeight="true" outlineLevel="0" collapsed="false">
      <c r="A33" s="16" t="s">
        <v>135</v>
      </c>
      <c r="B33" s="16"/>
      <c r="C33" s="16"/>
      <c r="D33" s="16"/>
      <c r="E33" s="16"/>
    </row>
    <row r="34" customFormat="false" ht="15" hidden="false" customHeight="true" outlineLevel="0" collapsed="false">
      <c r="A34" s="23" t="s">
        <v>82</v>
      </c>
      <c r="B34" s="24" t="s">
        <v>83</v>
      </c>
      <c r="C34" s="24" t="s">
        <v>4</v>
      </c>
      <c r="D34" s="24"/>
      <c r="E34" s="24"/>
    </row>
    <row r="35" customFormat="false" ht="15" hidden="false" customHeight="true" outlineLevel="0" collapsed="false">
      <c r="A35" s="6" t="s">
        <v>136</v>
      </c>
      <c r="B35" s="26" t="s">
        <v>137</v>
      </c>
      <c r="C35" s="17" t="s">
        <v>138</v>
      </c>
      <c r="D35" s="17"/>
      <c r="E35" s="17"/>
    </row>
    <row r="36" customFormat="false" ht="15" hidden="false" customHeight="true" outlineLevel="0" collapsed="false">
      <c r="A36" s="6" t="s">
        <v>139</v>
      </c>
      <c r="B36" s="25" t="s">
        <v>140</v>
      </c>
      <c r="C36" s="17" t="s">
        <v>141</v>
      </c>
      <c r="D36" s="17"/>
      <c r="E36" s="17"/>
    </row>
    <row r="37" customFormat="false" ht="15" hidden="false" customHeight="true" outlineLevel="0" collapsed="false">
      <c r="A37" s="6" t="s">
        <v>142</v>
      </c>
      <c r="B37" s="26" t="s">
        <v>143</v>
      </c>
      <c r="C37" s="17" t="s">
        <v>144</v>
      </c>
      <c r="D37" s="17"/>
      <c r="E37" s="17"/>
    </row>
    <row r="38" customFormat="false" ht="15" hidden="false" customHeight="true" outlineLevel="0" collapsed="false">
      <c r="A38" s="6" t="s">
        <v>145</v>
      </c>
      <c r="B38" s="26" t="s">
        <v>146</v>
      </c>
      <c r="C38" s="18" t="s">
        <v>147</v>
      </c>
      <c r="D38" s="18"/>
      <c r="E38" s="18"/>
    </row>
  </sheetData>
  <mergeCells count="28">
    <mergeCell ref="A1:E1"/>
    <mergeCell ref="A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A26:E26"/>
    <mergeCell ref="B27:E27"/>
    <mergeCell ref="B28:E28"/>
    <mergeCell ref="B29:E29"/>
    <mergeCell ref="B30:E30"/>
    <mergeCell ref="A33:E33"/>
    <mergeCell ref="C34:E34"/>
    <mergeCell ref="C35:E35"/>
    <mergeCell ref="C36:E36"/>
    <mergeCell ref="C37:E37"/>
    <mergeCell ref="C38:E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2"/>
    <col collapsed="false" customWidth="true" hidden="false" outlineLevel="0" max="3" min="3" style="1" width="50"/>
    <col collapsed="false" customWidth="true" hidden="false" outlineLevel="0" max="4" min="4" style="1" width="16"/>
    <col collapsed="false" customWidth="true" hidden="false" outlineLevel="0" max="5" min="5" style="1" width="30"/>
    <col collapsed="false" customWidth="true" hidden="false" outlineLevel="0" max="6" min="6" style="1" width="20"/>
  </cols>
  <sheetData>
    <row r="1" customFormat="false" ht="27.75" hidden="false" customHeight="true" outlineLevel="0" collapsed="false">
      <c r="A1" s="30" t="s">
        <v>148</v>
      </c>
      <c r="B1" s="30"/>
      <c r="C1" s="30"/>
      <c r="D1" s="30"/>
      <c r="E1" s="30"/>
      <c r="F1" s="30"/>
    </row>
    <row r="2" customFormat="false" ht="15" hidden="false" customHeight="true" outlineLevel="0" collapsed="false">
      <c r="A2" s="3" t="s">
        <v>149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14" t="s">
        <v>150</v>
      </c>
      <c r="B4" s="14"/>
      <c r="C4" s="14"/>
      <c r="D4" s="14"/>
      <c r="E4" s="14"/>
      <c r="F4" s="14"/>
    </row>
    <row r="5" customFormat="false" ht="31.5" hidden="false" customHeight="true" outlineLevel="0" collapsed="false">
      <c r="A5" s="23" t="s">
        <v>151</v>
      </c>
      <c r="B5" s="24" t="s">
        <v>152</v>
      </c>
      <c r="C5" s="24" t="s">
        <v>153</v>
      </c>
      <c r="D5" s="24" t="s">
        <v>154</v>
      </c>
      <c r="E5" s="24" t="s">
        <v>155</v>
      </c>
      <c r="F5" s="24" t="s">
        <v>156</v>
      </c>
    </row>
    <row r="6" customFormat="false" ht="23.25" hidden="false" customHeight="true" outlineLevel="0" collapsed="false">
      <c r="A6" s="31" t="s">
        <v>157</v>
      </c>
      <c r="B6" s="32" t="n">
        <v>2016</v>
      </c>
      <c r="C6" s="33" t="s">
        <v>158</v>
      </c>
      <c r="D6" s="34" t="s">
        <v>159</v>
      </c>
      <c r="E6" s="33" t="s">
        <v>160</v>
      </c>
      <c r="F6" s="35" t="s">
        <v>161</v>
      </c>
    </row>
    <row r="7" customFormat="false" ht="23.25" hidden="false" customHeight="true" outlineLevel="0" collapsed="false">
      <c r="A7" s="31" t="s">
        <v>162</v>
      </c>
      <c r="B7" s="34" t="n">
        <v>2020</v>
      </c>
      <c r="C7" s="33" t="s">
        <v>163</v>
      </c>
      <c r="D7" s="34" t="s">
        <v>164</v>
      </c>
      <c r="E7" s="33" t="s">
        <v>165</v>
      </c>
      <c r="F7" s="35" t="s">
        <v>166</v>
      </c>
    </row>
    <row r="8" customFormat="false" ht="23.25" hidden="false" customHeight="true" outlineLevel="0" collapsed="false">
      <c r="A8" s="31" t="s">
        <v>167</v>
      </c>
      <c r="B8" s="34" t="n">
        <v>2020</v>
      </c>
      <c r="C8" s="33" t="s">
        <v>168</v>
      </c>
      <c r="D8" s="34" t="s">
        <v>169</v>
      </c>
      <c r="E8" s="36" t="s">
        <v>170</v>
      </c>
      <c r="F8" s="35" t="s">
        <v>171</v>
      </c>
    </row>
    <row r="9" customFormat="false" ht="34.5" hidden="false" customHeight="true" outlineLevel="0" collapsed="false">
      <c r="A9" s="31" t="s">
        <v>172</v>
      </c>
      <c r="B9" s="34" t="n">
        <v>2005</v>
      </c>
      <c r="C9" s="33" t="s">
        <v>173</v>
      </c>
      <c r="D9" s="34" t="s">
        <v>174</v>
      </c>
      <c r="E9" s="33" t="s">
        <v>175</v>
      </c>
      <c r="F9" s="35" t="s">
        <v>176</v>
      </c>
    </row>
    <row r="10" customFormat="false" ht="21.75" hidden="false" customHeight="true" outlineLevel="0" collapsed="false">
      <c r="A10" s="31" t="s">
        <v>177</v>
      </c>
      <c r="B10" s="34" t="n">
        <v>2019</v>
      </c>
      <c r="C10" s="33" t="s">
        <v>178</v>
      </c>
      <c r="D10" s="34" t="s">
        <v>179</v>
      </c>
      <c r="E10" s="33" t="s">
        <v>180</v>
      </c>
      <c r="F10" s="35" t="s">
        <v>181</v>
      </c>
    </row>
    <row r="11" customFormat="false" ht="21.75" hidden="false" customHeight="true" outlineLevel="0" collapsed="false">
      <c r="A11" s="31" t="s">
        <v>182</v>
      </c>
      <c r="B11" s="34" t="n">
        <v>2015</v>
      </c>
      <c r="C11" s="33" t="s">
        <v>183</v>
      </c>
      <c r="D11" s="34" t="s">
        <v>184</v>
      </c>
      <c r="E11" s="33" t="s">
        <v>185</v>
      </c>
      <c r="F11" s="35" t="s">
        <v>186</v>
      </c>
    </row>
    <row r="12" customFormat="false" ht="23.25" hidden="false" customHeight="true" outlineLevel="0" collapsed="false">
      <c r="A12" s="31" t="s">
        <v>187</v>
      </c>
      <c r="B12" s="34" t="n">
        <v>2014</v>
      </c>
      <c r="C12" s="33" t="s">
        <v>188</v>
      </c>
      <c r="D12" s="34" t="s">
        <v>189</v>
      </c>
      <c r="E12" s="36" t="s">
        <v>190</v>
      </c>
      <c r="F12" s="35" t="s">
        <v>191</v>
      </c>
    </row>
    <row r="13" customFormat="false" ht="34.5" hidden="false" customHeight="true" outlineLevel="0" collapsed="false">
      <c r="A13" s="31" t="s">
        <v>192</v>
      </c>
      <c r="B13" s="34" t="n">
        <v>1997</v>
      </c>
      <c r="C13" s="33" t="s">
        <v>193</v>
      </c>
      <c r="D13" s="34" t="s">
        <v>194</v>
      </c>
      <c r="E13" s="33" t="s">
        <v>195</v>
      </c>
      <c r="F13" s="35" t="s">
        <v>196</v>
      </c>
    </row>
    <row r="15" customFormat="false" ht="15" hidden="false" customHeight="true" outlineLevel="0" collapsed="false">
      <c r="A15" s="14" t="s">
        <v>197</v>
      </c>
      <c r="B15" s="14"/>
      <c r="C15" s="14"/>
      <c r="D15" s="14"/>
      <c r="E15" s="14"/>
      <c r="F15" s="14"/>
    </row>
    <row r="16" customFormat="false" ht="15" hidden="false" customHeight="true" outlineLevel="0" collapsed="false">
      <c r="A16" s="23" t="s">
        <v>151</v>
      </c>
      <c r="B16" s="24" t="s">
        <v>152</v>
      </c>
      <c r="C16" s="24" t="s">
        <v>153</v>
      </c>
      <c r="D16" s="24" t="s">
        <v>154</v>
      </c>
      <c r="E16" s="24" t="s">
        <v>155</v>
      </c>
      <c r="F16" s="24" t="s">
        <v>156</v>
      </c>
    </row>
    <row r="17" customFormat="false" ht="23.25" hidden="false" customHeight="true" outlineLevel="0" collapsed="false">
      <c r="A17" s="37" t="s">
        <v>198</v>
      </c>
      <c r="B17" s="38" t="n">
        <v>2012</v>
      </c>
      <c r="C17" s="39" t="s">
        <v>199</v>
      </c>
      <c r="D17" s="40" t="s">
        <v>200</v>
      </c>
      <c r="E17" s="39" t="s">
        <v>201</v>
      </c>
      <c r="F17" s="41" t="s">
        <v>202</v>
      </c>
    </row>
    <row r="18" customFormat="false" ht="34.5" hidden="false" customHeight="true" outlineLevel="0" collapsed="false">
      <c r="A18" s="37" t="s">
        <v>203</v>
      </c>
      <c r="B18" s="40" t="n">
        <v>2014</v>
      </c>
      <c r="C18" s="39" t="s">
        <v>204</v>
      </c>
      <c r="D18" s="38" t="s">
        <v>205</v>
      </c>
      <c r="E18" s="39" t="s">
        <v>206</v>
      </c>
      <c r="F18" s="41" t="s">
        <v>207</v>
      </c>
    </row>
    <row r="19" customFormat="false" ht="23.25" hidden="false" customHeight="true" outlineLevel="0" collapsed="false">
      <c r="A19" s="37" t="s">
        <v>208</v>
      </c>
      <c r="B19" s="40" t="n">
        <v>2015</v>
      </c>
      <c r="C19" s="39" t="s">
        <v>209</v>
      </c>
      <c r="D19" s="40" t="s">
        <v>210</v>
      </c>
      <c r="E19" s="42" t="s">
        <v>211</v>
      </c>
      <c r="F19" s="41" t="s">
        <v>212</v>
      </c>
    </row>
    <row r="20" customFormat="false" ht="23.25" hidden="false" customHeight="true" outlineLevel="0" collapsed="false">
      <c r="A20" s="37" t="s">
        <v>213</v>
      </c>
      <c r="B20" s="40" t="n">
        <v>1996</v>
      </c>
      <c r="C20" s="39" t="s">
        <v>214</v>
      </c>
      <c r="D20" s="40" t="s">
        <v>215</v>
      </c>
      <c r="E20" s="39" t="s">
        <v>216</v>
      </c>
      <c r="F20" s="41" t="s">
        <v>217</v>
      </c>
    </row>
    <row r="21" customFormat="false" ht="23.25" hidden="false" customHeight="true" outlineLevel="0" collapsed="false">
      <c r="A21" s="37" t="s">
        <v>218</v>
      </c>
      <c r="B21" s="40" t="n">
        <v>2010</v>
      </c>
      <c r="C21" s="39" t="s">
        <v>219</v>
      </c>
      <c r="D21" s="40" t="s">
        <v>220</v>
      </c>
      <c r="E21" s="42" t="s">
        <v>221</v>
      </c>
      <c r="F21" s="41" t="s">
        <v>222</v>
      </c>
    </row>
    <row r="22" customFormat="false" ht="34.5" hidden="false" customHeight="true" outlineLevel="0" collapsed="false">
      <c r="A22" s="37" t="s">
        <v>223</v>
      </c>
      <c r="B22" s="40" t="n">
        <v>2017</v>
      </c>
      <c r="C22" s="39" t="s">
        <v>224</v>
      </c>
      <c r="D22" s="40" t="s">
        <v>225</v>
      </c>
      <c r="E22" s="39" t="s">
        <v>226</v>
      </c>
      <c r="F22" s="41" t="s">
        <v>227</v>
      </c>
    </row>
    <row r="23" customFormat="false" ht="21.75" hidden="false" customHeight="true" outlineLevel="0" collapsed="false">
      <c r="A23" s="37" t="s">
        <v>228</v>
      </c>
      <c r="B23" s="40" t="n">
        <v>2015</v>
      </c>
      <c r="C23" s="39" t="s">
        <v>229</v>
      </c>
      <c r="D23" s="40" t="s">
        <v>230</v>
      </c>
      <c r="E23" s="42" t="s">
        <v>231</v>
      </c>
      <c r="F23" s="41" t="s">
        <v>232</v>
      </c>
    </row>
    <row r="25" customFormat="false" ht="15" hidden="false" customHeight="true" outlineLevel="0" collapsed="false">
      <c r="A25" s="14" t="s">
        <v>233</v>
      </c>
      <c r="B25" s="14"/>
      <c r="C25" s="14"/>
      <c r="D25" s="14"/>
      <c r="E25" s="14"/>
      <c r="F25" s="14"/>
    </row>
    <row r="26" customFormat="false" ht="15" hidden="false" customHeight="true" outlineLevel="0" collapsed="false">
      <c r="A26" s="23" t="s">
        <v>151</v>
      </c>
      <c r="B26" s="24" t="s">
        <v>152</v>
      </c>
      <c r="C26" s="24" t="s">
        <v>153</v>
      </c>
      <c r="D26" s="24" t="s">
        <v>154</v>
      </c>
      <c r="E26" s="24" t="s">
        <v>155</v>
      </c>
      <c r="F26" s="24" t="s">
        <v>156</v>
      </c>
    </row>
    <row r="27" customFormat="false" ht="23.25" hidden="false" customHeight="true" outlineLevel="0" collapsed="false">
      <c r="A27" s="43" t="s">
        <v>234</v>
      </c>
      <c r="B27" s="44" t="n">
        <v>2000</v>
      </c>
      <c r="C27" s="45" t="s">
        <v>235</v>
      </c>
      <c r="D27" s="46" t="s">
        <v>236</v>
      </c>
      <c r="E27" s="47" t="s">
        <v>237</v>
      </c>
      <c r="F27" s="48" t="s">
        <v>238</v>
      </c>
    </row>
    <row r="28" customFormat="false" ht="15" hidden="false" customHeight="true" outlineLevel="0" collapsed="false">
      <c r="A28" s="43" t="s">
        <v>239</v>
      </c>
      <c r="B28" s="46" t="n">
        <v>2013</v>
      </c>
      <c r="C28" s="45" t="s">
        <v>240</v>
      </c>
      <c r="D28" s="46" t="s">
        <v>241</v>
      </c>
      <c r="E28" s="47" t="s">
        <v>242</v>
      </c>
      <c r="F28" s="48" t="s">
        <v>238</v>
      </c>
    </row>
    <row r="29" customFormat="false" ht="15" hidden="false" customHeight="true" outlineLevel="0" collapsed="false">
      <c r="A29" s="43" t="s">
        <v>243</v>
      </c>
      <c r="B29" s="44" t="s">
        <v>244</v>
      </c>
      <c r="C29" s="45" t="s">
        <v>245</v>
      </c>
      <c r="D29" s="46" t="s">
        <v>246</v>
      </c>
      <c r="E29" s="47" t="s">
        <v>247</v>
      </c>
      <c r="F29" s="48" t="s">
        <v>238</v>
      </c>
    </row>
    <row r="30" customFormat="false" ht="23.25" hidden="false" customHeight="true" outlineLevel="0" collapsed="false">
      <c r="A30" s="43" t="s">
        <v>248</v>
      </c>
      <c r="B30" s="44" t="s">
        <v>244</v>
      </c>
      <c r="C30" s="45" t="s">
        <v>249</v>
      </c>
      <c r="D30" s="46" t="s">
        <v>250</v>
      </c>
      <c r="E30" s="47" t="s">
        <v>251</v>
      </c>
      <c r="F30" s="48" t="s">
        <v>238</v>
      </c>
    </row>
    <row r="32" customFormat="false" ht="15" hidden="false" customHeight="true" outlineLevel="0" collapsed="false">
      <c r="A32" s="49" t="s">
        <v>252</v>
      </c>
      <c r="B32" s="49"/>
      <c r="C32" s="49"/>
      <c r="D32" s="49"/>
      <c r="E32" s="49"/>
      <c r="F32" s="49"/>
    </row>
    <row r="33" customFormat="false" ht="15" hidden="false" customHeight="true" outlineLevel="0" collapsed="false">
      <c r="A33" s="24" t="s">
        <v>253</v>
      </c>
      <c r="B33" s="24" t="s">
        <v>254</v>
      </c>
      <c r="C33" s="24"/>
      <c r="D33" s="24"/>
      <c r="E33" s="24"/>
    </row>
    <row r="34" customFormat="false" ht="23.25" hidden="false" customHeight="true" outlineLevel="0" collapsed="false">
      <c r="A34" s="19" t="s">
        <v>255</v>
      </c>
      <c r="B34" s="19" t="s">
        <v>256</v>
      </c>
      <c r="C34" s="19"/>
      <c r="D34" s="19"/>
      <c r="E34" s="19"/>
      <c r="F34" s="50" t="s">
        <v>257</v>
      </c>
    </row>
    <row r="35" customFormat="false" ht="23.25" hidden="false" customHeight="true" outlineLevel="0" collapsed="false">
      <c r="A35" s="19" t="s">
        <v>258</v>
      </c>
      <c r="B35" s="19" t="s">
        <v>259</v>
      </c>
      <c r="C35" s="19"/>
      <c r="D35" s="19"/>
      <c r="E35" s="19"/>
      <c r="F35" s="50" t="s">
        <v>260</v>
      </c>
    </row>
    <row r="36" customFormat="false" ht="23.25" hidden="false" customHeight="true" outlineLevel="0" collapsed="false">
      <c r="A36" s="51" t="s">
        <v>261</v>
      </c>
      <c r="B36" s="51" t="s">
        <v>262</v>
      </c>
      <c r="C36" s="51"/>
      <c r="D36" s="51"/>
      <c r="E36" s="51"/>
      <c r="F36" s="52" t="s">
        <v>263</v>
      </c>
    </row>
    <row r="37" customFormat="false" ht="23.25" hidden="false" customHeight="true" outlineLevel="0" collapsed="false">
      <c r="A37" s="51" t="s">
        <v>264</v>
      </c>
      <c r="B37" s="51" t="s">
        <v>265</v>
      </c>
      <c r="C37" s="51"/>
      <c r="D37" s="51"/>
      <c r="E37" s="51"/>
      <c r="F37" s="52" t="s">
        <v>244</v>
      </c>
    </row>
    <row r="38" customFormat="false" ht="15" hidden="false" customHeight="true" outlineLevel="0" collapsed="false">
      <c r="A38" s="51" t="s">
        <v>226</v>
      </c>
      <c r="B38" s="51" t="s">
        <v>266</v>
      </c>
      <c r="C38" s="51"/>
      <c r="D38" s="51"/>
      <c r="E38" s="51"/>
      <c r="F38" s="52" t="s">
        <v>263</v>
      </c>
    </row>
    <row r="39" customFormat="false" ht="23.25" hidden="false" customHeight="true" outlineLevel="0" collapsed="false">
      <c r="A39" s="19" t="s">
        <v>267</v>
      </c>
      <c r="B39" s="19" t="s">
        <v>268</v>
      </c>
      <c r="C39" s="19"/>
      <c r="D39" s="19"/>
      <c r="E39" s="19"/>
      <c r="F39" s="50" t="s">
        <v>257</v>
      </c>
    </row>
    <row r="40" customFormat="false" ht="23.25" hidden="false" customHeight="true" outlineLevel="0" collapsed="false">
      <c r="A40" s="19" t="s">
        <v>269</v>
      </c>
      <c r="B40" s="19" t="s">
        <v>270</v>
      </c>
      <c r="C40" s="19"/>
      <c r="D40" s="19"/>
      <c r="E40" s="19"/>
      <c r="F40" s="50" t="s">
        <v>257</v>
      </c>
    </row>
    <row r="41" customFormat="false" ht="15" hidden="false" customHeight="true" outlineLevel="0" collapsed="false">
      <c r="A41" s="20" t="s">
        <v>170</v>
      </c>
      <c r="B41" s="19" t="s">
        <v>271</v>
      </c>
      <c r="C41" s="19"/>
      <c r="D41" s="19"/>
      <c r="E41" s="19"/>
      <c r="F41" s="50" t="s">
        <v>257</v>
      </c>
    </row>
    <row r="42" customFormat="false" ht="15" hidden="false" customHeight="true" outlineLevel="0" collapsed="false">
      <c r="A42" s="19" t="s">
        <v>185</v>
      </c>
      <c r="B42" s="19" t="s">
        <v>272</v>
      </c>
      <c r="C42" s="19"/>
      <c r="D42" s="19"/>
      <c r="E42" s="19"/>
      <c r="F42" s="50" t="s">
        <v>257</v>
      </c>
    </row>
    <row r="43" customFormat="false" ht="15" hidden="false" customHeight="true" outlineLevel="0" collapsed="false">
      <c r="A43" s="20" t="s">
        <v>273</v>
      </c>
      <c r="B43" s="19" t="s">
        <v>274</v>
      </c>
      <c r="C43" s="19"/>
      <c r="D43" s="19"/>
      <c r="E43" s="19"/>
      <c r="F43" s="50" t="s">
        <v>257</v>
      </c>
    </row>
    <row r="44" customFormat="false" ht="15" hidden="false" customHeight="true" outlineLevel="0" collapsed="false">
      <c r="A44" s="53" t="s">
        <v>275</v>
      </c>
      <c r="B44" s="51" t="s">
        <v>276</v>
      </c>
      <c r="C44" s="51"/>
      <c r="D44" s="51"/>
      <c r="E44" s="51"/>
      <c r="F44" s="52" t="s">
        <v>263</v>
      </c>
    </row>
    <row r="46" customFormat="false" ht="15" hidden="false" customHeight="true" outlineLevel="0" collapsed="false">
      <c r="A46" s="54" t="s">
        <v>277</v>
      </c>
      <c r="B46" s="54"/>
      <c r="C46" s="54"/>
      <c r="D46" s="54"/>
      <c r="E46" s="54"/>
      <c r="F46" s="54"/>
    </row>
    <row r="47" customFormat="false" ht="15" hidden="false" customHeight="true" outlineLevel="0" collapsed="false">
      <c r="A47" s="54" t="s">
        <v>278</v>
      </c>
      <c r="B47" s="54"/>
      <c r="C47" s="54"/>
      <c r="D47" s="54"/>
      <c r="E47" s="54"/>
      <c r="F47" s="54"/>
    </row>
  </sheetData>
  <mergeCells count="20">
    <mergeCell ref="A1:F1"/>
    <mergeCell ref="A2:F2"/>
    <mergeCell ref="A4:F4"/>
    <mergeCell ref="A15:F15"/>
    <mergeCell ref="A25:F25"/>
    <mergeCell ref="A32:F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A46:F46"/>
    <mergeCell ref="A47:F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22"/>
    <col collapsed="false" customWidth="true" hidden="false" outlineLevel="0" max="7" min="6" style="1" width="14"/>
  </cols>
  <sheetData>
    <row r="1" customFormat="false" ht="27.75" hidden="false" customHeight="true" outlineLevel="0" collapsed="false">
      <c r="A1" s="2" t="s">
        <v>279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280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4" t="s">
        <v>281</v>
      </c>
      <c r="B4" s="4"/>
      <c r="C4" s="4"/>
      <c r="D4" s="4"/>
      <c r="E4" s="4"/>
      <c r="F4" s="4"/>
      <c r="G4" s="4"/>
    </row>
    <row r="5" customFormat="false" ht="15" hidden="false" customHeight="true" outlineLevel="0" collapsed="false">
      <c r="A5" s="55" t="s">
        <v>282</v>
      </c>
      <c r="B5" s="56" t="n">
        <v>150</v>
      </c>
      <c r="C5" s="55" t="s">
        <v>283</v>
      </c>
      <c r="D5" s="56" t="n">
        <v>4000</v>
      </c>
      <c r="E5" s="55" t="s">
        <v>284</v>
      </c>
      <c r="F5" s="57" t="n">
        <f aca="false">ROUND(PI()*B5*D5/60000,2)</f>
        <v>31.42</v>
      </c>
    </row>
    <row r="7" customFormat="false" ht="15" hidden="false" customHeight="true" outlineLevel="0" collapsed="false">
      <c r="A7" s="4" t="s">
        <v>285</v>
      </c>
      <c r="B7" s="4"/>
      <c r="C7" s="4"/>
      <c r="D7" s="4"/>
      <c r="E7" s="4"/>
      <c r="F7" s="4"/>
      <c r="G7" s="4"/>
    </row>
    <row r="8" customFormat="false" ht="15" hidden="false" customHeight="true" outlineLevel="0" collapsed="false">
      <c r="A8" s="55" t="s">
        <v>282</v>
      </c>
      <c r="B8" s="56" t="n">
        <v>125</v>
      </c>
      <c r="C8" s="55" t="s">
        <v>286</v>
      </c>
      <c r="D8" s="56" t="n">
        <v>30</v>
      </c>
      <c r="E8" s="55" t="s">
        <v>287</v>
      </c>
      <c r="F8" s="58" t="n">
        <f aca="false">ROUND(D8*60000/(PI()*B8),0)</f>
        <v>4584</v>
      </c>
    </row>
    <row r="10" customFormat="false" ht="15" hidden="false" customHeight="true" outlineLevel="0" collapsed="false">
      <c r="A10" s="4" t="s">
        <v>288</v>
      </c>
      <c r="B10" s="4"/>
      <c r="C10" s="4"/>
      <c r="D10" s="4"/>
      <c r="E10" s="4"/>
      <c r="F10" s="4"/>
      <c r="G10" s="4"/>
    </row>
    <row r="11" customFormat="false" ht="15" hidden="false" customHeight="true" outlineLevel="0" collapsed="false">
      <c r="A11" s="55" t="s">
        <v>283</v>
      </c>
      <c r="B11" s="56" t="n">
        <v>6060</v>
      </c>
      <c r="C11" s="55" t="s">
        <v>286</v>
      </c>
      <c r="D11" s="56" t="n">
        <v>30</v>
      </c>
      <c r="E11" s="55" t="s">
        <v>289</v>
      </c>
      <c r="F11" s="59" t="n">
        <f aca="false">ROUND(D11*60000/(PI()*B11),1)</f>
        <v>94.5</v>
      </c>
    </row>
    <row r="14" customFormat="false" ht="15" hidden="false" customHeight="true" outlineLevel="0" collapsed="false">
      <c r="A14" s="60" t="s">
        <v>290</v>
      </c>
      <c r="B14" s="60"/>
      <c r="C14" s="60"/>
      <c r="D14" s="60"/>
      <c r="E14" s="60"/>
      <c r="F14" s="60"/>
      <c r="G14" s="60"/>
    </row>
    <row r="15" customFormat="false" ht="15" hidden="false" customHeight="true" outlineLevel="0" collapsed="false">
      <c r="A15" s="61" t="s">
        <v>291</v>
      </c>
      <c r="B15" s="5" t="s">
        <v>292</v>
      </c>
      <c r="C15" s="5" t="s">
        <v>293</v>
      </c>
      <c r="D15" s="5"/>
      <c r="E15" s="5"/>
      <c r="F15" s="5"/>
      <c r="G15" s="5"/>
    </row>
    <row r="16" customFormat="false" ht="15" hidden="false" customHeight="true" outlineLevel="0" collapsed="false">
      <c r="A16" s="62" t="s">
        <v>294</v>
      </c>
      <c r="B16" s="63" t="s">
        <v>295</v>
      </c>
      <c r="C16" s="64" t="s">
        <v>296</v>
      </c>
      <c r="D16" s="64"/>
      <c r="E16" s="64"/>
      <c r="F16" s="64"/>
      <c r="G16" s="64"/>
    </row>
    <row r="17" customFormat="false" ht="15" hidden="false" customHeight="true" outlineLevel="0" collapsed="false">
      <c r="A17" s="40" t="s">
        <v>297</v>
      </c>
      <c r="B17" s="38" t="s">
        <v>298</v>
      </c>
      <c r="C17" s="65" t="s">
        <v>299</v>
      </c>
      <c r="D17" s="65"/>
      <c r="E17" s="65"/>
      <c r="F17" s="65"/>
      <c r="G17" s="65"/>
    </row>
    <row r="18" customFormat="false" ht="15" hidden="false" customHeight="true" outlineLevel="0" collapsed="false">
      <c r="A18" s="34" t="s">
        <v>300</v>
      </c>
      <c r="B18" s="32" t="s">
        <v>301</v>
      </c>
      <c r="C18" s="66" t="s">
        <v>302</v>
      </c>
      <c r="D18" s="66"/>
      <c r="E18" s="66"/>
      <c r="F18" s="66"/>
      <c r="G18" s="66"/>
    </row>
    <row r="19" customFormat="false" ht="15" hidden="false" customHeight="true" outlineLevel="0" collapsed="false">
      <c r="A19" s="34" t="s">
        <v>303</v>
      </c>
      <c r="B19" s="32" t="s">
        <v>304</v>
      </c>
      <c r="C19" s="67" t="s">
        <v>305</v>
      </c>
      <c r="D19" s="67"/>
      <c r="E19" s="67"/>
      <c r="F19" s="67"/>
      <c r="G19" s="67"/>
    </row>
    <row r="20" customFormat="false" ht="15" hidden="false" customHeight="true" outlineLevel="0" collapsed="false">
      <c r="A20" s="40" t="s">
        <v>306</v>
      </c>
      <c r="B20" s="38" t="s">
        <v>307</v>
      </c>
      <c r="C20" s="65" t="s">
        <v>308</v>
      </c>
      <c r="D20" s="65"/>
      <c r="E20" s="65"/>
      <c r="F20" s="65"/>
      <c r="G20" s="65"/>
    </row>
    <row r="21" customFormat="false" ht="15" hidden="false" customHeight="true" outlineLevel="0" collapsed="false">
      <c r="A21" s="63" t="s">
        <v>309</v>
      </c>
      <c r="B21" s="63" t="s">
        <v>310</v>
      </c>
      <c r="C21" s="68" t="s">
        <v>311</v>
      </c>
      <c r="D21" s="68"/>
      <c r="E21" s="68"/>
      <c r="F21" s="68"/>
      <c r="G21" s="68"/>
    </row>
  </sheetData>
  <mergeCells count="13">
    <mergeCell ref="A1:G1"/>
    <mergeCell ref="A2:G2"/>
    <mergeCell ref="A4:G4"/>
    <mergeCell ref="A7:G7"/>
    <mergeCell ref="A10:G10"/>
    <mergeCell ref="A14:G14"/>
    <mergeCell ref="C15:G15"/>
    <mergeCell ref="C16:G16"/>
    <mergeCell ref="C17:G17"/>
    <mergeCell ref="C18:G18"/>
    <mergeCell ref="C19:G19"/>
    <mergeCell ref="C20:G20"/>
    <mergeCell ref="C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4"/>
    <col collapsed="false" customWidth="true" hidden="false" outlineLevel="0" max="3" min="3" style="1" width="28"/>
    <col collapsed="false" customWidth="true" hidden="false" outlineLevel="0" max="4" min="4" style="1" width="14"/>
  </cols>
  <sheetData>
    <row r="1" customFormat="false" ht="27.75" hidden="false" customHeight="true" outlineLevel="0" collapsed="false">
      <c r="A1" s="2" t="s">
        <v>312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313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314</v>
      </c>
      <c r="B4" s="4"/>
      <c r="C4" s="4"/>
      <c r="D4" s="4"/>
      <c r="E4" s="4"/>
      <c r="F4" s="4"/>
    </row>
    <row r="5" customFormat="false" ht="15" hidden="false" customHeight="true" outlineLevel="0" collapsed="false">
      <c r="A5" s="55" t="s">
        <v>315</v>
      </c>
      <c r="B5" s="56" t="n">
        <v>30</v>
      </c>
    </row>
    <row r="6" customFormat="false" ht="15" hidden="false" customHeight="true" outlineLevel="0" collapsed="false">
      <c r="A6" s="55" t="s">
        <v>316</v>
      </c>
      <c r="B6" s="56" t="n">
        <v>10</v>
      </c>
    </row>
    <row r="7" customFormat="false" ht="15" hidden="false" customHeight="true" outlineLevel="0" collapsed="false">
      <c r="A7" s="55" t="s">
        <v>317</v>
      </c>
      <c r="B7" s="56" t="n">
        <v>2</v>
      </c>
    </row>
    <row r="9" customFormat="false" ht="15" hidden="false" customHeight="true" outlineLevel="0" collapsed="false">
      <c r="A9" s="4" t="s">
        <v>318</v>
      </c>
      <c r="B9" s="4"/>
      <c r="C9" s="4"/>
      <c r="D9" s="4"/>
      <c r="E9" s="4"/>
      <c r="F9" s="4"/>
    </row>
    <row r="10" customFormat="false" ht="15" hidden="false" customHeight="true" outlineLevel="0" collapsed="false">
      <c r="A10" s="55" t="s">
        <v>319</v>
      </c>
      <c r="B10" s="57" t="n">
        <f aca="false">ROUND(B5*B5/200,2)</f>
        <v>4.5</v>
      </c>
      <c r="C10" s="55" t="s">
        <v>320</v>
      </c>
      <c r="D10" s="59" t="n">
        <f aca="false">ROUND(B10*14.5,1)</f>
        <v>65.3</v>
      </c>
    </row>
    <row r="11" customFormat="false" ht="15" hidden="false" customHeight="true" outlineLevel="0" collapsed="false">
      <c r="A11" s="55" t="s">
        <v>321</v>
      </c>
      <c r="B11" s="57" t="n">
        <f aca="false">ROUND(B10*0.9,2)</f>
        <v>4.05</v>
      </c>
      <c r="C11" s="55" t="s">
        <v>322</v>
      </c>
      <c r="D11" s="59" t="n">
        <f aca="false">ROUND(B11*14.5,1)</f>
        <v>58.7</v>
      </c>
    </row>
    <row r="13" customFormat="false" ht="15" hidden="false" customHeight="true" outlineLevel="0" collapsed="false">
      <c r="A13" s="4" t="s">
        <v>323</v>
      </c>
      <c r="B13" s="4"/>
      <c r="C13" s="4"/>
      <c r="D13" s="4"/>
      <c r="E13" s="4"/>
      <c r="F13" s="4"/>
    </row>
    <row r="14" customFormat="false" ht="15" hidden="false" customHeight="true" outlineLevel="0" collapsed="false">
      <c r="A14" s="55" t="s">
        <v>324</v>
      </c>
      <c r="B14" s="59" t="n">
        <f aca="false">ROUND(PI()*B6*B6/4,1)</f>
        <v>78.5</v>
      </c>
    </row>
    <row r="15" customFormat="false" ht="15" hidden="false" customHeight="true" outlineLevel="0" collapsed="false">
      <c r="A15" s="55" t="s">
        <v>325</v>
      </c>
      <c r="B15" s="59" t="n">
        <f aca="false">ROUND(B14*B7,1)</f>
        <v>157</v>
      </c>
    </row>
    <row r="16" customFormat="false" ht="15" hidden="false" customHeight="true" outlineLevel="0" collapsed="false">
      <c r="A16" s="55" t="s">
        <v>326</v>
      </c>
      <c r="B16" s="59" t="n">
        <f aca="false">ROUND(B15*B5*60/1000,1)</f>
        <v>282.6</v>
      </c>
    </row>
    <row r="17" customFormat="false" ht="15" hidden="false" customHeight="true" outlineLevel="0" collapsed="false">
      <c r="A17" s="55" t="s">
        <v>327</v>
      </c>
      <c r="B17" s="57" t="n">
        <f aca="false">ROUND(B5*B5*B16/90000,2)</f>
        <v>2.83</v>
      </c>
    </row>
    <row r="19" customFormat="false" ht="15" hidden="false" customHeight="true" outlineLevel="0" collapsed="false">
      <c r="A19" s="4" t="s">
        <v>328</v>
      </c>
      <c r="B19" s="4"/>
      <c r="C19" s="4"/>
      <c r="D19" s="4"/>
      <c r="E19" s="4"/>
      <c r="F19" s="4"/>
    </row>
    <row r="20" customFormat="false" ht="11.25" hidden="false" customHeight="true" outlineLevel="0" collapsed="false">
      <c r="A20" s="69" t="s">
        <v>329</v>
      </c>
      <c r="B20" s="69"/>
      <c r="C20" s="69"/>
      <c r="D20" s="69"/>
      <c r="E20" s="69"/>
      <c r="F20" s="69"/>
    </row>
    <row r="21" customFormat="false" ht="11.25" hidden="false" customHeight="true" outlineLevel="0" collapsed="false">
      <c r="A21" s="70" t="s">
        <v>330</v>
      </c>
      <c r="B21" s="70"/>
      <c r="C21" s="70"/>
      <c r="D21" s="70"/>
      <c r="E21" s="70"/>
      <c r="F21" s="70"/>
    </row>
    <row r="22" customFormat="false" ht="11.25" hidden="false" customHeight="true" outlineLevel="0" collapsed="false">
      <c r="A22" s="70" t="s">
        <v>331</v>
      </c>
      <c r="B22" s="70"/>
      <c r="C22" s="70"/>
      <c r="D22" s="70"/>
      <c r="E22" s="70"/>
      <c r="F22" s="70"/>
    </row>
  </sheetData>
  <mergeCells count="9">
    <mergeCell ref="A1:F1"/>
    <mergeCell ref="A2:F2"/>
    <mergeCell ref="A4:F4"/>
    <mergeCell ref="A9:F9"/>
    <mergeCell ref="A13:F13"/>
    <mergeCell ref="A19:F19"/>
    <mergeCell ref="A20:F20"/>
    <mergeCell ref="A21:F21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6"/>
    <col collapsed="false" customWidth="true" hidden="false" outlineLevel="0" max="6" min="3" style="1" width="14"/>
  </cols>
  <sheetData>
    <row r="1" customFormat="false" ht="27.75" hidden="false" customHeight="true" outlineLevel="0" collapsed="false">
      <c r="A1" s="2" t="s">
        <v>332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333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334</v>
      </c>
      <c r="B4" s="4"/>
      <c r="C4" s="4"/>
      <c r="D4" s="4"/>
      <c r="E4" s="4"/>
      <c r="F4" s="4"/>
    </row>
    <row r="5" customFormat="false" ht="15" hidden="false" customHeight="true" outlineLevel="0" collapsed="false">
      <c r="A5" s="55" t="s">
        <v>335</v>
      </c>
      <c r="B5" s="56" t="n">
        <v>0.05</v>
      </c>
    </row>
    <row r="6" customFormat="false" ht="15" hidden="false" customHeight="true" outlineLevel="0" collapsed="false">
      <c r="A6" s="55" t="s">
        <v>336</v>
      </c>
      <c r="B6" s="56" t="n">
        <v>100</v>
      </c>
    </row>
    <row r="7" customFormat="false" ht="15" hidden="false" customHeight="true" outlineLevel="0" collapsed="false">
      <c r="A7" s="55" t="s">
        <v>315</v>
      </c>
      <c r="B7" s="56" t="n">
        <v>30</v>
      </c>
    </row>
    <row r="8" customFormat="false" ht="15" hidden="false" customHeight="true" outlineLevel="0" collapsed="false">
      <c r="A8" s="55" t="s">
        <v>282</v>
      </c>
      <c r="B8" s="56" t="n">
        <v>150</v>
      </c>
    </row>
    <row r="10" customFormat="false" ht="15" hidden="false" customHeight="true" outlineLevel="0" collapsed="false">
      <c r="A10" s="4" t="s">
        <v>337</v>
      </c>
      <c r="B10" s="4"/>
      <c r="C10" s="4"/>
      <c r="D10" s="4"/>
      <c r="E10" s="4"/>
      <c r="F10" s="4"/>
    </row>
    <row r="11" customFormat="false" ht="15" hidden="false" customHeight="true" outlineLevel="0" collapsed="false">
      <c r="A11" s="71" t="s">
        <v>338</v>
      </c>
      <c r="B11" s="57" t="n">
        <f aca="false">ROUND(B5*B6,2)</f>
        <v>5</v>
      </c>
      <c r="C11" s="72" t="s">
        <v>339</v>
      </c>
    </row>
    <row r="12" customFormat="false" ht="32.25" hidden="false" customHeight="true" outlineLevel="0" collapsed="false">
      <c r="A12" s="71" t="s">
        <v>340</v>
      </c>
      <c r="B12" s="73" t="n">
        <f aca="false">ROUND(B5*B6/B7,3)</f>
        <v>0.167</v>
      </c>
      <c r="C12" s="72" t="s">
        <v>341</v>
      </c>
    </row>
    <row r="13" customFormat="false" ht="21.75" hidden="false" customHeight="true" outlineLevel="0" collapsed="false">
      <c r="A13" s="55" t="s">
        <v>342</v>
      </c>
      <c r="B13" s="58" t="n">
        <f aca="false">ROUND(B7*1000/B6,0)</f>
        <v>300</v>
      </c>
      <c r="C13" s="72" t="s">
        <v>343</v>
      </c>
    </row>
    <row r="14" customFormat="false" ht="21.75" hidden="false" customHeight="true" outlineLevel="0" collapsed="false">
      <c r="A14" s="71" t="s">
        <v>344</v>
      </c>
      <c r="B14" s="57" t="n">
        <f aca="false">ROUND(1000000*(B6/1000/B7)*SQRT(B5/B8),2)</f>
        <v>60.86</v>
      </c>
      <c r="C14" s="72" t="s">
        <v>345</v>
      </c>
    </row>
    <row r="16" customFormat="false" ht="15" hidden="false" customHeight="true" outlineLevel="0" collapsed="false">
      <c r="A16" s="60" t="s">
        <v>346</v>
      </c>
      <c r="B16" s="60"/>
      <c r="C16" s="60"/>
      <c r="D16" s="60"/>
      <c r="E16" s="60"/>
      <c r="F16" s="60"/>
    </row>
    <row r="17" customFormat="false" ht="15" hidden="false" customHeight="true" outlineLevel="0" collapsed="false">
      <c r="A17" s="32" t="s">
        <v>347</v>
      </c>
      <c r="B17" s="36" t="s">
        <v>348</v>
      </c>
      <c r="C17" s="36"/>
      <c r="D17" s="36"/>
      <c r="E17" s="36"/>
      <c r="F17" s="36"/>
    </row>
    <row r="18" customFormat="false" ht="15" hidden="false" customHeight="true" outlineLevel="0" collapsed="false">
      <c r="A18" s="32" t="s">
        <v>349</v>
      </c>
      <c r="B18" s="36" t="s">
        <v>350</v>
      </c>
      <c r="C18" s="36"/>
      <c r="D18" s="36"/>
      <c r="E18" s="36"/>
      <c r="F18" s="36"/>
    </row>
    <row r="19" customFormat="false" ht="15" hidden="false" customHeight="true" outlineLevel="0" collapsed="false">
      <c r="A19" s="38" t="s">
        <v>351</v>
      </c>
      <c r="B19" s="42" t="s">
        <v>352</v>
      </c>
      <c r="C19" s="42"/>
      <c r="D19" s="42"/>
      <c r="E19" s="42"/>
      <c r="F19" s="42"/>
    </row>
    <row r="20" customFormat="false" ht="15" hidden="false" customHeight="true" outlineLevel="0" collapsed="false">
      <c r="A20" s="63" t="s">
        <v>353</v>
      </c>
      <c r="B20" s="74" t="s">
        <v>354</v>
      </c>
      <c r="C20" s="74"/>
      <c r="D20" s="74"/>
      <c r="E20" s="74"/>
      <c r="F20" s="74"/>
    </row>
    <row r="21" customFormat="false" ht="15" hidden="false" customHeight="true" outlineLevel="0" collapsed="false">
      <c r="A21" s="63" t="s">
        <v>355</v>
      </c>
      <c r="B21" s="74" t="s">
        <v>356</v>
      </c>
      <c r="C21" s="74"/>
      <c r="D21" s="74"/>
      <c r="E21" s="74"/>
      <c r="F21" s="74"/>
    </row>
  </sheetData>
  <mergeCells count="10">
    <mergeCell ref="A1:F1"/>
    <mergeCell ref="A2:F2"/>
    <mergeCell ref="A4:F4"/>
    <mergeCell ref="A10:F10"/>
    <mergeCell ref="A16:F16"/>
    <mergeCell ref="B17:F17"/>
    <mergeCell ref="B18:F18"/>
    <mergeCell ref="B19:F19"/>
    <mergeCell ref="B20:F20"/>
    <mergeCell ref="B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4"/>
    <col collapsed="false" customWidth="true" hidden="false" outlineLevel="0" max="3" min="3" style="1" width="40"/>
  </cols>
  <sheetData>
    <row r="1" customFormat="false" ht="27.75" hidden="false" customHeight="true" outlineLevel="0" collapsed="false">
      <c r="A1" s="2" t="s">
        <v>357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358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60" t="s">
        <v>359</v>
      </c>
      <c r="B4" s="60"/>
      <c r="C4" s="60"/>
      <c r="D4" s="60"/>
      <c r="E4" s="60"/>
      <c r="F4" s="60"/>
    </row>
    <row r="5" customFormat="false" ht="15" hidden="false" customHeight="true" outlineLevel="0" collapsed="false">
      <c r="A5" s="55" t="s">
        <v>283</v>
      </c>
      <c r="B5" s="56" t="n">
        <v>3000</v>
      </c>
    </row>
    <row r="6" customFormat="false" ht="15" hidden="false" customHeight="true" outlineLevel="0" collapsed="false">
      <c r="A6" s="55" t="s">
        <v>360</v>
      </c>
      <c r="B6" s="56" t="n">
        <v>150</v>
      </c>
    </row>
    <row r="7" customFormat="false" ht="15" hidden="false" customHeight="true" outlineLevel="0" collapsed="false">
      <c r="A7" s="55" t="s">
        <v>361</v>
      </c>
      <c r="B7" s="57" t="n">
        <f aca="false">ROUND(PI()*B5*B6/60000,2)</f>
        <v>23.56</v>
      </c>
    </row>
    <row r="8" customFormat="false" ht="15" hidden="false" customHeight="true" outlineLevel="0" collapsed="false">
      <c r="A8" s="55" t="s">
        <v>362</v>
      </c>
      <c r="B8" s="56" t="n">
        <v>1200</v>
      </c>
    </row>
    <row r="9" customFormat="false" ht="15" hidden="false" customHeight="true" outlineLevel="0" collapsed="false">
      <c r="A9" s="55" t="s">
        <v>363</v>
      </c>
      <c r="B9" s="56" t="n">
        <v>100</v>
      </c>
    </row>
    <row r="10" customFormat="false" ht="15" hidden="false" customHeight="true" outlineLevel="0" collapsed="false">
      <c r="A10" s="55" t="s">
        <v>364</v>
      </c>
      <c r="B10" s="57" t="n">
        <f aca="false">ROUND(PI()*B8*B9/60000,2)</f>
        <v>6.28</v>
      </c>
    </row>
    <row r="11" customFormat="false" ht="15" hidden="false" customHeight="true" outlineLevel="0" collapsed="false">
      <c r="A11" s="55" t="s">
        <v>365</v>
      </c>
      <c r="B11" s="56" t="n">
        <v>1</v>
      </c>
    </row>
    <row r="12" customFormat="false" ht="15" hidden="false" customHeight="true" outlineLevel="0" collapsed="false">
      <c r="A12" s="55" t="s">
        <v>366</v>
      </c>
      <c r="B12" s="73" t="n">
        <f aca="false">ROUND(B11*B10/B7,3)</f>
        <v>0.267</v>
      </c>
      <c r="C12" s="75" t="s">
        <v>367</v>
      </c>
    </row>
    <row r="14" customFormat="false" ht="15" hidden="false" customHeight="true" outlineLevel="0" collapsed="false">
      <c r="A14" s="60" t="s">
        <v>368</v>
      </c>
      <c r="B14" s="60"/>
      <c r="C14" s="60"/>
      <c r="D14" s="60"/>
      <c r="E14" s="60"/>
      <c r="F14" s="60"/>
    </row>
    <row r="15" customFormat="false" ht="15" hidden="false" customHeight="true" outlineLevel="0" collapsed="false">
      <c r="A15" s="55" t="s">
        <v>369</v>
      </c>
      <c r="B15" s="56" t="n">
        <v>0.2</v>
      </c>
    </row>
    <row r="16" customFormat="false" ht="15" hidden="false" customHeight="true" outlineLevel="0" collapsed="false">
      <c r="A16" s="55" t="s">
        <v>283</v>
      </c>
      <c r="B16" s="56" t="n">
        <v>1911</v>
      </c>
    </row>
    <row r="17" customFormat="false" ht="15" hidden="false" customHeight="true" outlineLevel="0" collapsed="false">
      <c r="A17" s="55" t="s">
        <v>370</v>
      </c>
      <c r="B17" s="73" t="n">
        <f aca="false">ROUND(B15*60/B16,3)</f>
        <v>0.006</v>
      </c>
    </row>
    <row r="19" customFormat="false" ht="15" hidden="false" customHeight="true" outlineLevel="0" collapsed="false">
      <c r="A19" s="60" t="s">
        <v>371</v>
      </c>
      <c r="B19" s="60"/>
      <c r="C19" s="60"/>
      <c r="D19" s="60"/>
      <c r="E19" s="60"/>
      <c r="F19" s="60"/>
    </row>
    <row r="20" customFormat="false" ht="15" hidden="false" customHeight="true" outlineLevel="0" collapsed="false">
      <c r="A20" s="63" t="s">
        <v>372</v>
      </c>
      <c r="B20" s="74" t="s">
        <v>373</v>
      </c>
      <c r="C20" s="74"/>
      <c r="D20" s="74"/>
      <c r="E20" s="74"/>
      <c r="F20" s="74"/>
    </row>
    <row r="21" customFormat="false" ht="15" hidden="false" customHeight="true" outlineLevel="0" collapsed="false">
      <c r="A21" s="38" t="s">
        <v>374</v>
      </c>
      <c r="B21" s="39" t="s">
        <v>375</v>
      </c>
      <c r="C21" s="39"/>
      <c r="D21" s="39"/>
      <c r="E21" s="39"/>
      <c r="F21" s="39"/>
    </row>
    <row r="22" customFormat="false" ht="15" hidden="false" customHeight="true" outlineLevel="0" collapsed="false">
      <c r="A22" s="32" t="s">
        <v>376</v>
      </c>
      <c r="B22" s="33" t="s">
        <v>377</v>
      </c>
      <c r="C22" s="33"/>
      <c r="D22" s="33"/>
      <c r="E22" s="33"/>
      <c r="F22" s="33"/>
    </row>
    <row r="23" customFormat="false" ht="15" hidden="false" customHeight="true" outlineLevel="0" collapsed="false">
      <c r="A23" s="38" t="s">
        <v>378</v>
      </c>
      <c r="B23" s="39" t="s">
        <v>379</v>
      </c>
      <c r="C23" s="39"/>
      <c r="D23" s="39"/>
      <c r="E23" s="39"/>
      <c r="F23" s="39"/>
    </row>
    <row r="24" customFormat="false" ht="15" hidden="false" customHeight="true" outlineLevel="0" collapsed="false">
      <c r="A24" s="63" t="s">
        <v>380</v>
      </c>
      <c r="B24" s="74" t="s">
        <v>381</v>
      </c>
      <c r="C24" s="74"/>
      <c r="D24" s="74"/>
      <c r="E24" s="74"/>
      <c r="F24" s="74"/>
    </row>
    <row r="26" customFormat="false" ht="15" hidden="false" customHeight="true" outlineLevel="0" collapsed="false">
      <c r="A26" s="60" t="s">
        <v>382</v>
      </c>
      <c r="B26" s="60"/>
      <c r="C26" s="60"/>
      <c r="D26" s="60"/>
      <c r="E26" s="60"/>
      <c r="F26" s="60"/>
    </row>
    <row r="27" customFormat="false" ht="15" hidden="false" customHeight="true" outlineLevel="0" collapsed="false">
      <c r="A27" s="55" t="s">
        <v>383</v>
      </c>
      <c r="B27" s="56" t="n">
        <v>1</v>
      </c>
    </row>
    <row r="28" customFormat="false" ht="15" hidden="false" customHeight="true" outlineLevel="0" collapsed="false">
      <c r="A28" s="55" t="s">
        <v>283</v>
      </c>
      <c r="B28" s="56" t="n">
        <v>1911</v>
      </c>
    </row>
    <row r="29" customFormat="false" ht="15" hidden="false" customHeight="true" outlineLevel="0" collapsed="false">
      <c r="A29" s="55" t="s">
        <v>384</v>
      </c>
      <c r="B29" s="59" t="n">
        <f aca="false">ROUND(B27*B28/60,1)</f>
        <v>31.9</v>
      </c>
      <c r="C29" s="75" t="s">
        <v>385</v>
      </c>
    </row>
  </sheetData>
  <mergeCells count="11">
    <mergeCell ref="A1:F1"/>
    <mergeCell ref="A2:F2"/>
    <mergeCell ref="A4:F4"/>
    <mergeCell ref="A14:F14"/>
    <mergeCell ref="A19:F19"/>
    <mergeCell ref="B20:F20"/>
    <mergeCell ref="B21:F21"/>
    <mergeCell ref="B22:F22"/>
    <mergeCell ref="B23:F23"/>
    <mergeCell ref="B24:F24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4"/>
    <col collapsed="false" customWidth="true" hidden="false" outlineLevel="0" max="3" min="3" style="1" width="36"/>
  </cols>
  <sheetData>
    <row r="1" customFormat="false" ht="27.75" hidden="false" customHeight="true" outlineLevel="0" collapsed="false">
      <c r="A1" s="2" t="s">
        <v>386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387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334</v>
      </c>
      <c r="B4" s="4"/>
      <c r="C4" s="4"/>
      <c r="D4" s="4"/>
      <c r="E4" s="4"/>
      <c r="F4" s="4"/>
    </row>
    <row r="5" customFormat="false" ht="15" hidden="false" customHeight="true" outlineLevel="0" collapsed="false">
      <c r="A5" s="55" t="s">
        <v>388</v>
      </c>
      <c r="B5" s="56" t="n">
        <v>37.5</v>
      </c>
    </row>
    <row r="6" customFormat="false" ht="15" hidden="false" customHeight="true" outlineLevel="0" collapsed="false">
      <c r="A6" s="55" t="s">
        <v>283</v>
      </c>
      <c r="B6" s="56" t="n">
        <v>3174</v>
      </c>
    </row>
    <row r="7" customFormat="false" ht="15" hidden="false" customHeight="true" outlineLevel="0" collapsed="false">
      <c r="A7" s="55" t="s">
        <v>389</v>
      </c>
      <c r="B7" s="56" t="n">
        <v>0</v>
      </c>
    </row>
    <row r="8" customFormat="false" ht="15" hidden="false" customHeight="true" outlineLevel="0" collapsed="false">
      <c r="A8" s="55" t="s">
        <v>390</v>
      </c>
      <c r="B8" s="56" t="n">
        <v>0</v>
      </c>
    </row>
    <row r="10" customFormat="false" ht="15" hidden="false" customHeight="true" outlineLevel="0" collapsed="false">
      <c r="A10" s="4" t="s">
        <v>337</v>
      </c>
      <c r="B10" s="4"/>
      <c r="C10" s="4"/>
      <c r="D10" s="4"/>
      <c r="E10" s="4"/>
      <c r="F10" s="4"/>
    </row>
    <row r="11" customFormat="false" ht="15" hidden="false" customHeight="true" outlineLevel="0" collapsed="false">
      <c r="A11" s="71" t="s">
        <v>391</v>
      </c>
      <c r="B11" s="73" t="n">
        <f aca="false">ROUND(B5/B6,3)</f>
        <v>0.012</v>
      </c>
      <c r="C11" s="76" t="s">
        <v>392</v>
      </c>
    </row>
    <row r="13" customFormat="false" ht="15" hidden="false" customHeight="true" outlineLevel="0" collapsed="false">
      <c r="A13" s="4" t="s">
        <v>393</v>
      </c>
      <c r="B13" s="4"/>
      <c r="C13" s="4"/>
      <c r="D13" s="4"/>
      <c r="E13" s="4"/>
      <c r="F13" s="4"/>
    </row>
    <row r="14" customFormat="false" ht="15" hidden="false" customHeight="true" outlineLevel="0" collapsed="false">
      <c r="A14" s="38" t="s">
        <v>394</v>
      </c>
      <c r="B14" s="39" t="s">
        <v>395</v>
      </c>
      <c r="C14" s="39"/>
      <c r="D14" s="39"/>
      <c r="E14" s="39"/>
      <c r="F14" s="39"/>
    </row>
    <row r="15" customFormat="false" ht="15" hidden="false" customHeight="true" outlineLevel="0" collapsed="false">
      <c r="A15" s="32" t="s">
        <v>396</v>
      </c>
      <c r="B15" s="33" t="s">
        <v>397</v>
      </c>
      <c r="C15" s="33"/>
      <c r="D15" s="33"/>
      <c r="E15" s="33"/>
      <c r="F15" s="33"/>
    </row>
    <row r="16" customFormat="false" ht="15" hidden="false" customHeight="true" outlineLevel="0" collapsed="false">
      <c r="A16" s="38" t="s">
        <v>398</v>
      </c>
      <c r="B16" s="39" t="s">
        <v>399</v>
      </c>
      <c r="C16" s="39"/>
      <c r="D16" s="39"/>
      <c r="E16" s="39"/>
      <c r="F16" s="39"/>
    </row>
    <row r="18" customFormat="false" ht="15" hidden="false" customHeight="true" outlineLevel="0" collapsed="false">
      <c r="A18" s="4" t="s">
        <v>400</v>
      </c>
      <c r="B18" s="4"/>
      <c r="C18" s="4"/>
      <c r="D18" s="4"/>
      <c r="E18" s="4"/>
      <c r="F18" s="4"/>
    </row>
    <row r="19" customFormat="false" ht="15" hidden="false" customHeight="true" outlineLevel="0" collapsed="false">
      <c r="A19" s="38" t="s">
        <v>398</v>
      </c>
      <c r="B19" s="39" t="s">
        <v>401</v>
      </c>
      <c r="C19" s="39"/>
      <c r="D19" s="39"/>
      <c r="E19" s="39"/>
      <c r="F19" s="39"/>
    </row>
    <row r="20" customFormat="false" ht="15" hidden="false" customHeight="true" outlineLevel="0" collapsed="false">
      <c r="A20" s="32" t="s">
        <v>402</v>
      </c>
      <c r="B20" s="33" t="s">
        <v>397</v>
      </c>
      <c r="C20" s="33"/>
      <c r="D20" s="33"/>
      <c r="E20" s="33"/>
      <c r="F20" s="33"/>
    </row>
    <row r="21" customFormat="false" ht="15" hidden="false" customHeight="true" outlineLevel="0" collapsed="false">
      <c r="A21" s="38" t="s">
        <v>403</v>
      </c>
      <c r="B21" s="39" t="s">
        <v>404</v>
      </c>
      <c r="C21" s="39"/>
      <c r="D21" s="39"/>
      <c r="E21" s="39"/>
      <c r="F21" s="39"/>
    </row>
  </sheetData>
  <mergeCells count="12">
    <mergeCell ref="A1:F1"/>
    <mergeCell ref="A2:F2"/>
    <mergeCell ref="A4:F4"/>
    <mergeCell ref="A10:F10"/>
    <mergeCell ref="A13:F13"/>
    <mergeCell ref="B14:F14"/>
    <mergeCell ref="B15:F15"/>
    <mergeCell ref="B16:F16"/>
    <mergeCell ref="A18:F18"/>
    <mergeCell ref="B19:F19"/>
    <mergeCell ref="B20:F20"/>
    <mergeCell ref="B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4" min="2" style="1" width="14"/>
  </cols>
  <sheetData>
    <row r="1" customFormat="false" ht="27.75" hidden="false" customHeight="true" outlineLevel="0" collapsed="false">
      <c r="A1" s="2" t="s">
        <v>405</v>
      </c>
      <c r="B1" s="2"/>
      <c r="C1" s="2"/>
      <c r="D1" s="2"/>
      <c r="E1" s="2"/>
    </row>
    <row r="3" customFormat="false" ht="15" hidden="false" customHeight="true" outlineLevel="0" collapsed="false">
      <c r="A3" s="4" t="s">
        <v>406</v>
      </c>
      <c r="B3" s="4"/>
      <c r="C3" s="4"/>
      <c r="D3" s="4"/>
      <c r="E3" s="4"/>
    </row>
    <row r="4" customFormat="false" ht="15" hidden="false" customHeight="true" outlineLevel="0" collapsed="false">
      <c r="A4" s="71" t="s">
        <v>407</v>
      </c>
      <c r="B4" s="56" t="n">
        <v>30</v>
      </c>
      <c r="C4" s="71" t="s">
        <v>408</v>
      </c>
      <c r="D4" s="59" t="n">
        <f aca="false">ROUND(B4*60/0.3048,1)</f>
        <v>5905.5</v>
      </c>
    </row>
    <row r="5" customFormat="false" ht="15" hidden="false" customHeight="true" outlineLevel="0" collapsed="false">
      <c r="A5" s="71" t="s">
        <v>409</v>
      </c>
      <c r="B5" s="56" t="n">
        <v>6000</v>
      </c>
      <c r="C5" s="71" t="s">
        <v>410</v>
      </c>
      <c r="D5" s="57" t="n">
        <f aca="false">ROUND(B5*0.3048/60,2)</f>
        <v>30.48</v>
      </c>
    </row>
    <row r="7" customFormat="false" ht="15" hidden="false" customHeight="true" outlineLevel="0" collapsed="false">
      <c r="A7" s="4" t="s">
        <v>411</v>
      </c>
      <c r="B7" s="4"/>
      <c r="C7" s="4"/>
      <c r="D7" s="4"/>
      <c r="E7" s="4"/>
    </row>
    <row r="8" customFormat="false" ht="15" hidden="false" customHeight="true" outlineLevel="0" collapsed="false">
      <c r="A8" s="71" t="s">
        <v>412</v>
      </c>
      <c r="B8" s="56" t="n">
        <v>63</v>
      </c>
      <c r="C8" s="71" t="s">
        <v>413</v>
      </c>
      <c r="D8" s="58" t="n">
        <f aca="false">ROUND(0.6377*B8*B8-52.355*B8+1543.5,0)</f>
        <v>776</v>
      </c>
    </row>
    <row r="9" customFormat="false" ht="15" hidden="false" customHeight="true" outlineLevel="0" collapsed="false">
      <c r="A9" s="71" t="s">
        <v>414</v>
      </c>
      <c r="B9" s="56" t="n">
        <v>776</v>
      </c>
      <c r="C9" s="71" t="s">
        <v>415</v>
      </c>
      <c r="D9" s="59" t="n">
        <f aca="false">ROUND(-0.00004932*B9*B9+0.113315*B9+4.959016,1)</f>
        <v>63.2</v>
      </c>
    </row>
    <row r="11" customFormat="false" ht="15" hidden="false" customHeight="true" outlineLevel="0" collapsed="false">
      <c r="A11" s="4" t="s">
        <v>416</v>
      </c>
      <c r="B11" s="4"/>
      <c r="C11" s="4"/>
      <c r="D11" s="4"/>
      <c r="E11" s="4"/>
    </row>
    <row r="12" customFormat="false" ht="15" hidden="false" customHeight="true" outlineLevel="0" collapsed="false">
      <c r="A12" s="71" t="s">
        <v>417</v>
      </c>
      <c r="B12" s="56" t="n">
        <v>700</v>
      </c>
      <c r="C12" s="71" t="s">
        <v>418</v>
      </c>
      <c r="D12" s="59" t="n">
        <f aca="false">ROUND(B12*9/5+32,1)</f>
        <v>1292</v>
      </c>
    </row>
    <row r="13" customFormat="false" ht="15" hidden="false" customHeight="true" outlineLevel="0" collapsed="false">
      <c r="A13" s="71" t="s">
        <v>419</v>
      </c>
      <c r="B13" s="56" t="n">
        <v>1292</v>
      </c>
      <c r="C13" s="71" t="s">
        <v>420</v>
      </c>
      <c r="D13" s="59" t="n">
        <f aca="false">ROUND((B13-32)*5/9,1)</f>
        <v>700</v>
      </c>
    </row>
    <row r="15" customFormat="false" ht="15" hidden="false" customHeight="true" outlineLevel="0" collapsed="false">
      <c r="A15" s="4" t="s">
        <v>421</v>
      </c>
      <c r="B15" s="4"/>
      <c r="C15" s="4"/>
      <c r="D15" s="4"/>
      <c r="E15" s="4"/>
    </row>
    <row r="16" customFormat="false" ht="15" hidden="false" customHeight="true" outlineLevel="0" collapsed="false">
      <c r="A16" s="71" t="s">
        <v>422</v>
      </c>
      <c r="B16" s="56" t="n">
        <v>24</v>
      </c>
      <c r="C16" s="71" t="s">
        <v>423</v>
      </c>
      <c r="D16" s="59" t="n">
        <f aca="false">ROUND(B16*4.44+12.997,1)</f>
        <v>119.6</v>
      </c>
    </row>
    <row r="17" customFormat="false" ht="15" hidden="false" customHeight="true" outlineLevel="0" collapsed="false">
      <c r="A17" s="71" t="s">
        <v>424</v>
      </c>
      <c r="B17" s="56" t="n">
        <v>119.6</v>
      </c>
      <c r="C17" s="71" t="s">
        <v>425</v>
      </c>
      <c r="D17" s="57" t="n">
        <f aca="false">ROUND(B17*0.2252-2.922,2)</f>
        <v>24.01</v>
      </c>
    </row>
    <row r="19" customFormat="false" ht="15" hidden="false" customHeight="true" outlineLevel="0" collapsed="false">
      <c r="A19" s="4" t="s">
        <v>426</v>
      </c>
      <c r="B19" s="4"/>
      <c r="C19" s="4"/>
      <c r="D19" s="4"/>
      <c r="E19" s="4"/>
    </row>
    <row r="20" customFormat="false" ht="15" hidden="false" customHeight="true" outlineLevel="0" collapsed="false">
      <c r="A20" s="71" t="s">
        <v>427</v>
      </c>
      <c r="B20" s="56" t="n">
        <v>400</v>
      </c>
      <c r="C20" s="71" t="s">
        <v>428</v>
      </c>
      <c r="D20" s="73" t="n">
        <f aca="false">ROUND(B20/25.4,3)</f>
        <v>15.748</v>
      </c>
    </row>
    <row r="21" customFormat="false" ht="15" hidden="false" customHeight="true" outlineLevel="0" collapsed="false">
      <c r="A21" s="71" t="s">
        <v>429</v>
      </c>
      <c r="B21" s="56" t="n">
        <v>0.3175</v>
      </c>
      <c r="C21" s="71" t="s">
        <v>430</v>
      </c>
      <c r="D21" s="73" t="n">
        <f aca="false">ROUND(B21*25.4,3)</f>
        <v>8.065</v>
      </c>
    </row>
  </sheetData>
  <mergeCells count="6">
    <mergeCell ref="A1:E1"/>
    <mergeCell ref="A3:E3"/>
    <mergeCell ref="A7:E7"/>
    <mergeCell ref="A11:E11"/>
    <mergeCell ref="A15:E15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1" width="22"/>
    <col collapsed="false" customWidth="true" hidden="false" outlineLevel="0" max="4" min="4" style="1" width="28"/>
  </cols>
  <sheetData>
    <row r="1" customFormat="false" ht="27.75" hidden="false" customHeight="true" outlineLevel="0" collapsed="false">
      <c r="A1" s="2" t="s">
        <v>431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432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334</v>
      </c>
      <c r="B4" s="4"/>
      <c r="C4" s="4"/>
      <c r="D4" s="4"/>
      <c r="E4" s="4"/>
      <c r="F4" s="4"/>
    </row>
    <row r="5" customFormat="false" ht="15" hidden="false" customHeight="true" outlineLevel="0" collapsed="false">
      <c r="A5" s="55" t="s">
        <v>433</v>
      </c>
      <c r="B5" s="56" t="n">
        <v>9.8</v>
      </c>
    </row>
    <row r="6" customFormat="false" ht="15" hidden="false" customHeight="true" outlineLevel="0" collapsed="false">
      <c r="A6" s="55" t="s">
        <v>434</v>
      </c>
      <c r="B6" s="56" t="n">
        <v>179.124</v>
      </c>
    </row>
    <row r="8" customFormat="false" ht="15" hidden="false" customHeight="true" outlineLevel="0" collapsed="false">
      <c r="A8" s="4" t="s">
        <v>337</v>
      </c>
      <c r="B8" s="4"/>
      <c r="C8" s="4"/>
      <c r="D8" s="4"/>
      <c r="E8" s="4"/>
      <c r="F8" s="4"/>
    </row>
    <row r="9" customFormat="false" ht="15" hidden="false" customHeight="true" outlineLevel="0" collapsed="false">
      <c r="A9" s="55" t="s">
        <v>435</v>
      </c>
      <c r="B9" s="73" t="n">
        <f aca="false">B5/2</f>
        <v>4.9</v>
      </c>
    </row>
    <row r="10" customFormat="false" ht="15" hidden="false" customHeight="true" outlineLevel="0" collapsed="false">
      <c r="A10" s="55" t="s">
        <v>436</v>
      </c>
      <c r="B10" s="73" t="n">
        <f aca="false">B6/2</f>
        <v>89.562</v>
      </c>
    </row>
    <row r="11" customFormat="false" ht="15" hidden="false" customHeight="true" outlineLevel="0" collapsed="false">
      <c r="A11" s="71" t="s">
        <v>437</v>
      </c>
      <c r="B11" s="77" t="n">
        <f aca="false">ROUND(B9/TAN(RADIANS(B10)),5)</f>
        <v>0.03746</v>
      </c>
      <c r="C11" s="76" t="s">
        <v>438</v>
      </c>
    </row>
    <row r="13" customFormat="false" ht="15" hidden="false" customHeight="true" outlineLevel="0" collapsed="false">
      <c r="A13" s="4" t="s">
        <v>439</v>
      </c>
      <c r="B13" s="4"/>
      <c r="C13" s="4"/>
      <c r="D13" s="4"/>
      <c r="E13" s="4"/>
      <c r="F13" s="4"/>
    </row>
    <row r="14" customFormat="false" ht="15" hidden="false" customHeight="true" outlineLevel="0" collapsed="false">
      <c r="A14" s="5" t="s">
        <v>440</v>
      </c>
      <c r="B14" s="5" t="s">
        <v>441</v>
      </c>
      <c r="C14" s="61" t="s">
        <v>442</v>
      </c>
      <c r="D14" s="5" t="s">
        <v>59</v>
      </c>
    </row>
    <row r="15" customFormat="false" ht="15" hidden="false" customHeight="true" outlineLevel="0" collapsed="false">
      <c r="A15" s="78" t="n">
        <v>118</v>
      </c>
      <c r="B15" s="79" t="s">
        <v>443</v>
      </c>
      <c r="C15" s="80" t="n">
        <v>3.0043</v>
      </c>
      <c r="D15" s="79" t="s">
        <v>444</v>
      </c>
    </row>
    <row r="16" customFormat="false" ht="15" hidden="false" customHeight="true" outlineLevel="0" collapsed="false">
      <c r="A16" s="78" t="n">
        <v>135</v>
      </c>
      <c r="B16" s="81" t="s">
        <v>445</v>
      </c>
      <c r="C16" s="80" t="n">
        <v>2.0711</v>
      </c>
      <c r="D16" s="79" t="s">
        <v>446</v>
      </c>
    </row>
    <row r="17" customFormat="false" ht="15" hidden="false" customHeight="true" outlineLevel="0" collapsed="false">
      <c r="A17" s="78" t="n">
        <v>140</v>
      </c>
      <c r="B17" s="81" t="s">
        <v>447</v>
      </c>
      <c r="C17" s="80" t="n">
        <v>1.8199</v>
      </c>
      <c r="D17" s="79" t="s">
        <v>448</v>
      </c>
    </row>
    <row r="18" customFormat="false" ht="15" hidden="false" customHeight="true" outlineLevel="0" collapsed="false">
      <c r="A18" s="78" t="n">
        <v>150</v>
      </c>
      <c r="B18" s="81" t="s">
        <v>449</v>
      </c>
      <c r="C18" s="80" t="n">
        <v>1.3397</v>
      </c>
      <c r="D18" s="79" t="s">
        <v>450</v>
      </c>
    </row>
    <row r="19" customFormat="false" ht="15" hidden="false" customHeight="true" outlineLevel="0" collapsed="false">
      <c r="A19" s="78" t="n">
        <v>160</v>
      </c>
      <c r="B19" s="81" t="s">
        <v>451</v>
      </c>
      <c r="C19" s="80" t="n">
        <v>0.8816</v>
      </c>
      <c r="D19" s="79" t="s">
        <v>452</v>
      </c>
    </row>
    <row r="20" customFormat="false" ht="15" hidden="false" customHeight="true" outlineLevel="0" collapsed="false">
      <c r="A20" s="78" t="n">
        <v>179</v>
      </c>
      <c r="B20" s="81" t="s">
        <v>453</v>
      </c>
      <c r="C20" s="80" t="n">
        <v>0.0436</v>
      </c>
      <c r="D20" s="79" t="s">
        <v>454</v>
      </c>
    </row>
    <row r="22" customFormat="false" ht="15" hidden="false" customHeight="true" outlineLevel="0" collapsed="false">
      <c r="A22" s="82" t="s">
        <v>455</v>
      </c>
      <c r="B22" s="82"/>
      <c r="C22" s="82"/>
      <c r="D22" s="82"/>
      <c r="E22" s="82"/>
      <c r="F22" s="82"/>
    </row>
    <row r="23" customFormat="false" ht="15" hidden="false" customHeight="true" outlineLevel="0" collapsed="false">
      <c r="A23" s="54" t="s">
        <v>456</v>
      </c>
      <c r="B23" s="54"/>
      <c r="C23" s="54"/>
      <c r="D23" s="54"/>
      <c r="E23" s="54"/>
      <c r="F23" s="54"/>
    </row>
    <row r="24" customFormat="false" ht="15" hidden="false" customHeight="true" outlineLevel="0" collapsed="false">
      <c r="A24" s="82" t="s">
        <v>457</v>
      </c>
      <c r="B24" s="82"/>
      <c r="C24" s="82"/>
      <c r="D24" s="82"/>
      <c r="E24" s="82"/>
      <c r="F24" s="82"/>
    </row>
  </sheetData>
  <mergeCells count="8">
    <mergeCell ref="A1:F1"/>
    <mergeCell ref="A2:F2"/>
    <mergeCell ref="A4:F4"/>
    <mergeCell ref="A8:F8"/>
    <mergeCell ref="A13:F13"/>
    <mergeCell ref="A22:F22"/>
    <mergeCell ref="A23:F23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22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10" min="8" style="1" width="14"/>
    <col collapsed="false" customWidth="true" hidden="false" outlineLevel="0" max="11" min="11" style="1" width="18"/>
    <col collapsed="false" customWidth="true" hidden="false" outlineLevel="0" max="12" min="12" style="1" width="14"/>
  </cols>
  <sheetData>
    <row r="1" customFormat="false" ht="27.75" hidden="false" customHeight="true" outlineLevel="0" collapsed="false">
      <c r="A1" s="2" t="s">
        <v>458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3" t="s">
        <v>459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15" hidden="false" customHeight="true" outlineLevel="0" collapsed="false">
      <c r="A4" s="49" t="s">
        <v>460</v>
      </c>
      <c r="B4" s="49"/>
      <c r="C4" s="49"/>
      <c r="D4" s="49"/>
      <c r="E4" s="49"/>
      <c r="F4" s="49"/>
      <c r="G4" s="49"/>
      <c r="I4" s="49" t="s">
        <v>461</v>
      </c>
      <c r="J4" s="49"/>
      <c r="K4" s="49"/>
    </row>
    <row r="5" customFormat="false" ht="15" hidden="false" customHeight="true" outlineLevel="0" collapsed="false">
      <c r="A5" s="54" t="s">
        <v>462</v>
      </c>
      <c r="B5" s="54"/>
      <c r="C5" s="54"/>
      <c r="D5" s="54"/>
      <c r="E5" s="54"/>
      <c r="F5" s="54"/>
      <c r="G5" s="54"/>
    </row>
    <row r="6" customFormat="false" ht="15" hidden="false" customHeight="true" outlineLevel="0" collapsed="false">
      <c r="I6" s="83" t="s">
        <v>463</v>
      </c>
      <c r="J6" s="83"/>
      <c r="K6" s="83"/>
    </row>
    <row r="7" customFormat="false" ht="15" hidden="false" customHeight="true" outlineLevel="0" collapsed="false">
      <c r="A7" s="84" t="s">
        <v>464</v>
      </c>
      <c r="B7" s="84"/>
      <c r="C7" s="84"/>
      <c r="D7" s="84"/>
      <c r="E7" s="84"/>
      <c r="F7" s="84"/>
      <c r="G7" s="84"/>
      <c r="I7" s="56" t="n">
        <v>60</v>
      </c>
      <c r="J7" s="85" t="s">
        <v>465</v>
      </c>
      <c r="K7" s="59" t="n">
        <f aca="false">ROUND(I7*60/0.3048,1)</f>
        <v>11811</v>
      </c>
      <c r="L7" s="72" t="s">
        <v>409</v>
      </c>
    </row>
    <row r="8" customFormat="false" ht="15" hidden="false" customHeight="true" outlineLevel="0" collapsed="false">
      <c r="A8" s="86" t="s">
        <v>466</v>
      </c>
      <c r="B8" s="56" t="n">
        <v>150</v>
      </c>
      <c r="C8" s="85" t="s">
        <v>467</v>
      </c>
      <c r="D8" s="56" t="n">
        <v>4000</v>
      </c>
      <c r="E8" s="86" t="s">
        <v>468</v>
      </c>
      <c r="F8" s="57" t="n">
        <f aca="false">ROUND(PI()*B8*D8/60000,2)</f>
        <v>31.42</v>
      </c>
      <c r="G8" s="85" t="s">
        <v>407</v>
      </c>
      <c r="I8" s="56" t="n">
        <v>11000</v>
      </c>
      <c r="J8" s="85" t="s">
        <v>469</v>
      </c>
      <c r="K8" s="57" t="n">
        <f aca="false">ROUND(I8*0.3048/60,2)</f>
        <v>55.88</v>
      </c>
      <c r="L8" s="72" t="s">
        <v>407</v>
      </c>
    </row>
    <row r="9" customFormat="false" ht="15" hidden="false" customHeight="true" outlineLevel="0" collapsed="false">
      <c r="A9" s="86" t="s">
        <v>470</v>
      </c>
      <c r="C9" s="85" t="s">
        <v>471</v>
      </c>
      <c r="E9" s="86" t="s">
        <v>470</v>
      </c>
    </row>
    <row r="10" customFormat="false" ht="15" hidden="false" customHeight="true" outlineLevel="0" collapsed="false">
      <c r="B10" s="56" t="n">
        <v>0</v>
      </c>
      <c r="C10" s="85" t="s">
        <v>472</v>
      </c>
      <c r="F10" s="58" t="n">
        <f aca="false">ROUND(F8*60/0.3048,0)</f>
        <v>6185</v>
      </c>
      <c r="G10" s="85" t="s">
        <v>409</v>
      </c>
      <c r="I10" s="83" t="s">
        <v>473</v>
      </c>
      <c r="J10" s="83"/>
      <c r="K10" s="83"/>
    </row>
    <row r="11" customFormat="false" ht="15" hidden="false" customHeight="true" outlineLevel="0" collapsed="false">
      <c r="I11" s="56" t="n">
        <v>63</v>
      </c>
      <c r="J11" s="85" t="s">
        <v>474</v>
      </c>
      <c r="K11" s="58" t="n">
        <f aca="false">ROUND(0.6377*I11*I11-52.355*I11+1543.5,0)</f>
        <v>776</v>
      </c>
      <c r="L11" s="72" t="s">
        <v>414</v>
      </c>
    </row>
    <row r="12" customFormat="false" ht="15" hidden="false" customHeight="true" outlineLevel="0" collapsed="false">
      <c r="A12" s="84" t="s">
        <v>475</v>
      </c>
      <c r="B12" s="84"/>
      <c r="C12" s="84"/>
      <c r="D12" s="84"/>
      <c r="E12" s="84"/>
      <c r="F12" s="84"/>
      <c r="G12" s="84"/>
      <c r="I12" s="56" t="n">
        <v>835</v>
      </c>
      <c r="J12" s="85" t="s">
        <v>476</v>
      </c>
      <c r="K12" s="59" t="n">
        <f aca="false">ROUND(-0.00004932*I12*I12+0.113315*I12+4.959016,1)</f>
        <v>65.2</v>
      </c>
      <c r="L12" s="72" t="s">
        <v>412</v>
      </c>
    </row>
    <row r="13" customFormat="false" ht="15" hidden="false" customHeight="true" outlineLevel="0" collapsed="false">
      <c r="A13" s="86" t="s">
        <v>466</v>
      </c>
      <c r="B13" s="56" t="n">
        <v>125</v>
      </c>
      <c r="C13" s="85" t="s">
        <v>477</v>
      </c>
      <c r="D13" s="56" t="n">
        <v>30</v>
      </c>
      <c r="E13" s="86" t="s">
        <v>478</v>
      </c>
      <c r="F13" s="58" t="n">
        <f aca="false">ROUND(D13*60000/(PI()*B13),0)</f>
        <v>4584</v>
      </c>
      <c r="G13" s="85" t="s">
        <v>479</v>
      </c>
    </row>
    <row r="14" customFormat="false" ht="15" hidden="false" customHeight="true" outlineLevel="0" collapsed="false">
      <c r="A14" s="86" t="s">
        <v>480</v>
      </c>
      <c r="B14" s="56" t="n">
        <v>0</v>
      </c>
      <c r="C14" s="86" t="s">
        <v>481</v>
      </c>
      <c r="D14" s="56" t="n">
        <v>0</v>
      </c>
      <c r="I14" s="83" t="s">
        <v>482</v>
      </c>
      <c r="J14" s="83"/>
      <c r="K14" s="83"/>
    </row>
    <row r="15" customFormat="false" ht="15" hidden="false" customHeight="true" outlineLevel="0" collapsed="false">
      <c r="I15" s="56" t="n">
        <v>700</v>
      </c>
      <c r="J15" s="85" t="s">
        <v>483</v>
      </c>
      <c r="K15" s="59" t="n">
        <f aca="false">ROUND(I15*9/5+32,1)</f>
        <v>1292</v>
      </c>
      <c r="L15" s="72" t="s">
        <v>419</v>
      </c>
    </row>
    <row r="16" customFormat="false" ht="15" hidden="false" customHeight="true" outlineLevel="0" collapsed="false">
      <c r="A16" s="84" t="s">
        <v>484</v>
      </c>
      <c r="B16" s="84"/>
      <c r="C16" s="84"/>
      <c r="D16" s="84"/>
      <c r="E16" s="84"/>
      <c r="F16" s="84"/>
      <c r="G16" s="84"/>
      <c r="I16" s="56" t="n">
        <v>32</v>
      </c>
      <c r="J16" s="85" t="s">
        <v>485</v>
      </c>
      <c r="K16" s="59" t="n">
        <f aca="false">ROUND((I16-32)*5/9,1)</f>
        <v>0</v>
      </c>
      <c r="L16" s="72" t="s">
        <v>417</v>
      </c>
    </row>
    <row r="17" customFormat="false" ht="15" hidden="false" customHeight="true" outlineLevel="0" collapsed="false">
      <c r="A17" s="86" t="s">
        <v>486</v>
      </c>
      <c r="B17" s="56" t="n">
        <v>6060</v>
      </c>
      <c r="C17" s="85" t="s">
        <v>487</v>
      </c>
      <c r="D17" s="56" t="n">
        <v>40.3</v>
      </c>
      <c r="E17" s="86" t="s">
        <v>488</v>
      </c>
      <c r="F17" s="59" t="n">
        <f aca="false">ROUND(D17*60000/(PI()*B17),1)</f>
        <v>127</v>
      </c>
      <c r="G17" s="85" t="s">
        <v>427</v>
      </c>
    </row>
    <row r="18" customFormat="false" ht="15" hidden="false" customHeight="true" outlineLevel="0" collapsed="false">
      <c r="A18" s="86" t="s">
        <v>481</v>
      </c>
      <c r="B18" s="56" t="n">
        <v>0</v>
      </c>
      <c r="C18" s="86"/>
      <c r="F18" s="73" t="n">
        <f aca="false">ROUND(F17/25.4,3)</f>
        <v>5</v>
      </c>
      <c r="G18" s="85" t="s">
        <v>429</v>
      </c>
      <c r="I18" s="83" t="s">
        <v>489</v>
      </c>
      <c r="J18" s="83"/>
      <c r="K18" s="83"/>
    </row>
    <row r="19" customFormat="false" ht="15" hidden="false" customHeight="true" outlineLevel="0" collapsed="false">
      <c r="I19" s="56" t="n">
        <v>24</v>
      </c>
      <c r="J19" s="85" t="s">
        <v>490</v>
      </c>
      <c r="K19" s="59" t="n">
        <f aca="false">ROUND(I19*4.44+12.997,1)</f>
        <v>119.6</v>
      </c>
      <c r="L19" s="72" t="s">
        <v>424</v>
      </c>
    </row>
    <row r="20" customFormat="false" ht="15" hidden="false" customHeight="true" outlineLevel="0" collapsed="false">
      <c r="I20" s="56" t="n">
        <v>119.6</v>
      </c>
      <c r="J20" s="85" t="s">
        <v>491</v>
      </c>
      <c r="K20" s="57" t="n">
        <f aca="false">ROUND(I20*0.2252-2.922,2)</f>
        <v>24.01</v>
      </c>
      <c r="L20" s="72" t="s">
        <v>422</v>
      </c>
    </row>
    <row r="21" customFormat="false" ht="15" hidden="false" customHeight="true" outlineLevel="0" collapsed="false">
      <c r="A21" s="49" t="s">
        <v>492</v>
      </c>
      <c r="B21" s="49"/>
      <c r="C21" s="49"/>
      <c r="D21" s="49"/>
      <c r="E21" s="49"/>
      <c r="F21" s="49"/>
      <c r="G21" s="49"/>
    </row>
    <row r="22" customFormat="false" ht="15" hidden="false" customHeight="true" outlineLevel="0" collapsed="false">
      <c r="A22" s="86" t="s">
        <v>493</v>
      </c>
      <c r="B22" s="56" t="n">
        <v>30</v>
      </c>
      <c r="C22" s="85" t="s">
        <v>494</v>
      </c>
      <c r="D22" s="57" t="n">
        <f aca="false">ROUND(B22*B22/200,2)</f>
        <v>4.5</v>
      </c>
      <c r="E22" s="85" t="s">
        <v>495</v>
      </c>
      <c r="F22" s="59" t="n">
        <f aca="false">ROUND(D22*14.5,1)</f>
        <v>65.3</v>
      </c>
      <c r="G22" s="85" t="s">
        <v>496</v>
      </c>
      <c r="I22" s="83" t="s">
        <v>497</v>
      </c>
      <c r="J22" s="83"/>
      <c r="K22" s="83"/>
    </row>
    <row r="23" customFormat="false" ht="15" hidden="false" customHeight="true" outlineLevel="0" collapsed="false">
      <c r="A23" s="85" t="s">
        <v>498</v>
      </c>
      <c r="I23" s="56" t="n">
        <v>400</v>
      </c>
      <c r="J23" s="85" t="s">
        <v>499</v>
      </c>
      <c r="K23" s="73" t="n">
        <f aca="false">ROUND(I23/25.4,3)</f>
        <v>15.748</v>
      </c>
      <c r="L23" s="72" t="s">
        <v>429</v>
      </c>
    </row>
    <row r="24" customFormat="false" ht="15" hidden="false" customHeight="true" outlineLevel="0" collapsed="false">
      <c r="A24" s="86" t="s">
        <v>500</v>
      </c>
      <c r="D24" s="57" t="n">
        <f aca="false">ROUND(D22*0.9,2)</f>
        <v>4.05</v>
      </c>
      <c r="E24" s="85" t="s">
        <v>495</v>
      </c>
      <c r="F24" s="59" t="n">
        <f aca="false">ROUND(D24*14.5,1)</f>
        <v>58.7</v>
      </c>
      <c r="G24" s="85" t="s">
        <v>496</v>
      </c>
      <c r="I24" s="56" t="n">
        <v>0.3175</v>
      </c>
      <c r="J24" s="85" t="s">
        <v>501</v>
      </c>
      <c r="K24" s="73" t="n">
        <f aca="false">ROUND(I24*25.4,3)</f>
        <v>8.065</v>
      </c>
      <c r="L24" s="72" t="s">
        <v>427</v>
      </c>
    </row>
    <row r="26" customFormat="false" ht="15" hidden="false" customHeight="true" outlineLevel="0" collapsed="false">
      <c r="A26" s="86" t="s">
        <v>502</v>
      </c>
      <c r="B26" s="56" t="n">
        <v>10</v>
      </c>
      <c r="C26" s="85" t="s">
        <v>427</v>
      </c>
      <c r="D26" s="86" t="s">
        <v>503</v>
      </c>
      <c r="E26" s="56" t="n">
        <v>2</v>
      </c>
    </row>
    <row r="27" customFormat="false" ht="15" hidden="false" customHeight="true" outlineLevel="0" collapsed="false">
      <c r="A27" s="85" t="s">
        <v>504</v>
      </c>
      <c r="B27" s="59" t="n">
        <f aca="false">ROUND(PI()*B26*B26/4,1)</f>
        <v>78.5</v>
      </c>
      <c r="C27" s="85" t="s">
        <v>505</v>
      </c>
      <c r="D27" s="86" t="s">
        <v>506</v>
      </c>
      <c r="E27" s="59" t="n">
        <f aca="false">ROUND(B27*E26,1)</f>
        <v>157</v>
      </c>
      <c r="F27" s="85" t="s">
        <v>505</v>
      </c>
    </row>
    <row r="28" customFormat="false" ht="15" hidden="false" customHeight="true" outlineLevel="0" collapsed="false">
      <c r="A28" s="86" t="s">
        <v>507</v>
      </c>
      <c r="B28" s="59" t="n">
        <f aca="false">ROUND(E27*B22*60/1000,1)</f>
        <v>282.6</v>
      </c>
      <c r="C28" s="85" t="s">
        <v>508</v>
      </c>
      <c r="D28" s="86" t="s">
        <v>470</v>
      </c>
      <c r="E28" s="59" t="n">
        <f aca="false">ROUND(B28/3.785,1)</f>
        <v>74.7</v>
      </c>
      <c r="F28" s="85" t="s">
        <v>509</v>
      </c>
    </row>
    <row r="29" customFormat="false" ht="15" hidden="false" customHeight="true" outlineLevel="0" collapsed="false">
      <c r="A29" s="86" t="s">
        <v>510</v>
      </c>
      <c r="B29" s="57" t="n">
        <f aca="false">ROUND(B22*B22*B28/90000,2)</f>
        <v>2.83</v>
      </c>
      <c r="C29" s="85" t="s">
        <v>511</v>
      </c>
      <c r="D29" s="86" t="s">
        <v>470</v>
      </c>
      <c r="E29" s="57" t="n">
        <f aca="false">ROUND(B29*1.34,2)</f>
        <v>3.79</v>
      </c>
      <c r="F29" s="85" t="s">
        <v>512</v>
      </c>
    </row>
    <row r="31" customFormat="false" ht="15" hidden="false" customHeight="true" outlineLevel="0" collapsed="false">
      <c r="A31" s="82" t="s">
        <v>513</v>
      </c>
      <c r="B31" s="82"/>
      <c r="C31" s="82"/>
      <c r="D31" s="82"/>
      <c r="E31" s="82"/>
      <c r="F31" s="82"/>
      <c r="G31" s="82"/>
    </row>
    <row r="33" customFormat="false" ht="15" hidden="false" customHeight="true" outlineLevel="0" collapsed="false">
      <c r="A33" s="49" t="s">
        <v>514</v>
      </c>
      <c r="B33" s="49"/>
      <c r="C33" s="49"/>
      <c r="D33" s="49"/>
      <c r="E33" s="49"/>
      <c r="F33" s="49"/>
      <c r="G33" s="49"/>
    </row>
    <row r="34" customFormat="false" ht="15" hidden="false" customHeight="true" outlineLevel="0" collapsed="false">
      <c r="A34" s="82" t="s">
        <v>515</v>
      </c>
      <c r="B34" s="82"/>
      <c r="C34" s="82"/>
      <c r="D34" s="82"/>
      <c r="E34" s="82"/>
      <c r="F34" s="82"/>
      <c r="G34" s="82"/>
    </row>
    <row r="36" customFormat="false" ht="15" hidden="false" customHeight="true" outlineLevel="0" collapsed="false">
      <c r="A36" s="87" t="s">
        <v>516</v>
      </c>
      <c r="B36" s="87" t="s">
        <v>517</v>
      </c>
      <c r="C36" s="87" t="s">
        <v>518</v>
      </c>
      <c r="D36" s="87" t="s">
        <v>360</v>
      </c>
    </row>
    <row r="37" customFormat="false" ht="15" hidden="false" customHeight="true" outlineLevel="0" collapsed="false">
      <c r="A37" s="56" t="n">
        <v>0.05</v>
      </c>
      <c r="B37" s="56" t="n">
        <v>0.1</v>
      </c>
      <c r="C37" s="56" t="n">
        <v>30</v>
      </c>
      <c r="D37" s="56" t="n">
        <v>150</v>
      </c>
      <c r="E37" s="85" t="s">
        <v>519</v>
      </c>
      <c r="F37" s="57" t="n">
        <f aca="false">ROUND(1000000*(B37/C37)*SQRT(A37/D37),2)</f>
        <v>60.86</v>
      </c>
    </row>
    <row r="38" customFormat="false" ht="15" hidden="false" customHeight="true" outlineLevel="0" collapsed="false">
      <c r="E38" s="85" t="s">
        <v>520</v>
      </c>
      <c r="F38" s="73" t="n">
        <f aca="false">ROUND(1000*A37*B37/C37,3)</f>
        <v>0.167</v>
      </c>
      <c r="G38" s="85" t="s">
        <v>521</v>
      </c>
    </row>
    <row r="39" customFormat="false" ht="15" hidden="false" customHeight="true" outlineLevel="0" collapsed="false">
      <c r="E39" s="85" t="s">
        <v>522</v>
      </c>
      <c r="F39" s="57" t="n">
        <f aca="false">ROUND(A37*B37*1000,2)</f>
        <v>5</v>
      </c>
      <c r="G39" s="85" t="s">
        <v>523</v>
      </c>
    </row>
    <row r="40" customFormat="false" ht="15" hidden="false" customHeight="true" outlineLevel="0" collapsed="false">
      <c r="E40" s="86" t="s">
        <v>524</v>
      </c>
      <c r="F40" s="58" t="n">
        <f aca="false">ROUND(C37/B37,0)</f>
        <v>300</v>
      </c>
    </row>
    <row r="42" customFormat="false" ht="15" hidden="false" customHeight="true" outlineLevel="0" collapsed="false">
      <c r="E42" s="84" t="s">
        <v>525</v>
      </c>
      <c r="F42" s="84"/>
      <c r="G42" s="84"/>
    </row>
    <row r="43" customFormat="false" ht="15" hidden="false" customHeight="true" outlineLevel="0" collapsed="false">
      <c r="A43" s="88" t="str">
        <f aca="false">IF(F37&gt;50,"여보쇼, 너무 거칩니다. 휠이 금방 마모됩니다.",IF(F37&gt;20,"카우보이, 진정해요. 꽤 거친 가공입니다. 세라믹 휠이 아니라면 위험.",IF(F37&gt;15,"러프 가공으로는 좋습니다. resin 휠 creep-feed 이상적. 피니쉬엔 너무 거침.",IF(F37&gt;5,"semi-aggressive 가공. 세라믹 휠이면 무뎌질 수 있음.","매우 약한 가공. 피니쉬 가공이면 OK, 러프 가공이면 너무 약함."))))</f>
        <v>여보쇼, 너무 거칩니다. 휠이 금방 마모됩니다.</v>
      </c>
      <c r="B43" s="88"/>
      <c r="C43" s="88"/>
      <c r="D43" s="88"/>
      <c r="E43" s="88"/>
      <c r="F43" s="88"/>
      <c r="G43" s="88"/>
    </row>
    <row r="44" customFormat="false" ht="15" hidden="false" customHeight="true" outlineLevel="0" collapsed="false">
      <c r="A44" s="88"/>
      <c r="B44" s="88"/>
      <c r="C44" s="88"/>
      <c r="D44" s="88"/>
      <c r="E44" s="88"/>
      <c r="F44" s="88"/>
      <c r="G44" s="88"/>
    </row>
    <row r="46" customFormat="false" ht="15" hidden="false" customHeight="true" outlineLevel="0" collapsed="false">
      <c r="A46" s="49" t="s">
        <v>526</v>
      </c>
      <c r="B46" s="49"/>
      <c r="C46" s="49"/>
      <c r="D46" s="49"/>
      <c r="E46" s="49"/>
      <c r="F46" s="49"/>
      <c r="G46" s="49"/>
      <c r="H46" s="49"/>
      <c r="I46" s="49"/>
      <c r="J46" s="49"/>
      <c r="K46" s="49"/>
    </row>
    <row r="47" customFormat="false" ht="15" hidden="false" customHeight="true" outlineLevel="0" collapsed="false">
      <c r="A47" s="89" t="s">
        <v>527</v>
      </c>
      <c r="B47" s="87" t="s">
        <v>528</v>
      </c>
      <c r="C47" s="89" t="s">
        <v>529</v>
      </c>
      <c r="D47" s="89" t="s">
        <v>530</v>
      </c>
      <c r="E47" s="87" t="s">
        <v>531</v>
      </c>
      <c r="F47" s="89" t="s">
        <v>532</v>
      </c>
      <c r="G47" s="87" t="s">
        <v>533</v>
      </c>
      <c r="H47" s="87" t="s">
        <v>534</v>
      </c>
    </row>
    <row r="48" customFormat="false" ht="15" hidden="false" customHeight="true" outlineLevel="0" collapsed="false">
      <c r="A48" s="56" t="n">
        <v>40</v>
      </c>
      <c r="B48" s="56" t="n">
        <v>0</v>
      </c>
      <c r="C48" s="56" t="n">
        <v>0</v>
      </c>
      <c r="D48" s="56" t="n">
        <v>0</v>
      </c>
      <c r="E48" s="56" t="n">
        <v>1200</v>
      </c>
      <c r="F48" s="56" t="n">
        <v>100</v>
      </c>
      <c r="G48" s="90" t="s">
        <v>535</v>
      </c>
      <c r="H48" s="73" t="n">
        <f aca="false">ROUND(IF(G48="동방향(+)",1,-1)*MAX(D48,PI()*E48*F48/60000)/MAX(A48,PI()*B48*C48/60000),3)</f>
        <v>0.157</v>
      </c>
    </row>
    <row r="50" customFormat="false" ht="15" hidden="false" customHeight="true" outlineLevel="0" collapsed="false">
      <c r="A50" s="54" t="s">
        <v>536</v>
      </c>
      <c r="B50" s="54"/>
      <c r="C50" s="54"/>
      <c r="D50" s="54"/>
      <c r="E50" s="54"/>
      <c r="F50" s="54"/>
      <c r="G50" s="54"/>
      <c r="H50" s="54"/>
    </row>
    <row r="52" customFormat="false" ht="15" hidden="false" customHeight="true" outlineLevel="0" collapsed="false">
      <c r="A52" s="49" t="s">
        <v>537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</row>
    <row r="53" customFormat="false" ht="15" hidden="false" customHeight="true" outlineLevel="0" collapsed="false">
      <c r="A53" s="87" t="s">
        <v>538</v>
      </c>
      <c r="B53" s="91" t="s">
        <v>539</v>
      </c>
      <c r="C53" s="91"/>
      <c r="D53" s="91"/>
      <c r="E53" s="87" t="s">
        <v>540</v>
      </c>
      <c r="H53" s="87" t="s">
        <v>541</v>
      </c>
    </row>
    <row r="54" customFormat="false" ht="15" hidden="false" customHeight="true" outlineLevel="0" collapsed="false">
      <c r="A54" s="90" t="n">
        <v>200</v>
      </c>
      <c r="B54" s="90" t="n">
        <v>1911</v>
      </c>
      <c r="C54" s="90" t="n">
        <v>0</v>
      </c>
      <c r="D54" s="90" t="n">
        <v>0</v>
      </c>
      <c r="E54" s="73" t="n">
        <f aca="false">ROUND(A54/MAX(B54,C54*60000/(PI()*MAX(D54,1))),3)</f>
        <v>0.105</v>
      </c>
      <c r="F54" s="85" t="s">
        <v>542</v>
      </c>
      <c r="H54" s="63" t="s">
        <v>372</v>
      </c>
      <c r="I54" s="68" t="s">
        <v>543</v>
      </c>
      <c r="J54" s="68"/>
      <c r="K54" s="68"/>
    </row>
    <row r="55" customFormat="false" ht="15" hidden="false" customHeight="true" outlineLevel="0" collapsed="false">
      <c r="H55" s="38" t="s">
        <v>374</v>
      </c>
      <c r="I55" s="92" t="s">
        <v>375</v>
      </c>
      <c r="J55" s="92"/>
      <c r="K55" s="92"/>
    </row>
    <row r="56" customFormat="false" ht="15" hidden="false" customHeight="true" outlineLevel="0" collapsed="false">
      <c r="H56" s="32" t="s">
        <v>376</v>
      </c>
      <c r="I56" s="67" t="s">
        <v>544</v>
      </c>
      <c r="J56" s="67"/>
      <c r="K56" s="67"/>
    </row>
    <row r="57" customFormat="false" ht="15" hidden="false" customHeight="true" outlineLevel="0" collapsed="false">
      <c r="H57" s="38" t="s">
        <v>378</v>
      </c>
      <c r="I57" s="92" t="s">
        <v>545</v>
      </c>
      <c r="J57" s="92"/>
      <c r="K57" s="92"/>
    </row>
    <row r="58" customFormat="false" ht="15" hidden="false" customHeight="true" outlineLevel="0" collapsed="false">
      <c r="H58" s="63" t="s">
        <v>380</v>
      </c>
      <c r="I58" s="68" t="s">
        <v>546</v>
      </c>
      <c r="J58" s="68"/>
      <c r="K58" s="68"/>
    </row>
    <row r="61" customFormat="false" ht="15" hidden="false" customHeight="true" outlineLevel="0" collapsed="false">
      <c r="A61" s="49" t="s">
        <v>547</v>
      </c>
      <c r="B61" s="49"/>
      <c r="C61" s="49"/>
      <c r="D61" s="49"/>
      <c r="E61" s="49"/>
      <c r="F61" s="49"/>
      <c r="G61" s="49"/>
      <c r="H61" s="49"/>
      <c r="I61" s="49"/>
      <c r="J61" s="49"/>
      <c r="K61" s="49"/>
    </row>
    <row r="62" customFormat="false" ht="15" hidden="false" customHeight="true" outlineLevel="0" collapsed="false">
      <c r="A62" s="87" t="s">
        <v>383</v>
      </c>
      <c r="B62" s="91" t="s">
        <v>548</v>
      </c>
      <c r="C62" s="91"/>
      <c r="D62" s="91"/>
      <c r="E62" s="87" t="s">
        <v>384</v>
      </c>
      <c r="H62" s="87" t="s">
        <v>549</v>
      </c>
    </row>
    <row r="63" customFormat="false" ht="15" hidden="false" customHeight="true" outlineLevel="0" collapsed="false">
      <c r="A63" s="90" t="n">
        <v>1</v>
      </c>
      <c r="B63" s="90" t="n">
        <v>1911</v>
      </c>
      <c r="C63" s="90" t="n">
        <v>0</v>
      </c>
      <c r="D63" s="90" t="n">
        <v>0</v>
      </c>
      <c r="E63" s="59" t="n">
        <f aca="false">ROUND(A63*MAX(B63,C63*60000/(PI()*MAX(D63,1)))/60,1)</f>
        <v>31.9</v>
      </c>
      <c r="F63" s="86" t="s">
        <v>550</v>
      </c>
    </row>
    <row r="64" customFormat="false" ht="21.75" hidden="false" customHeight="true" outlineLevel="0" collapsed="false">
      <c r="H64" s="75" t="s">
        <v>551</v>
      </c>
    </row>
    <row r="65" customFormat="false" ht="21.75" hidden="false" customHeight="true" outlineLevel="0" collapsed="false">
      <c r="H65" s="75" t="s">
        <v>552</v>
      </c>
    </row>
    <row r="67" customFormat="false" ht="15" hidden="false" customHeight="true" outlineLevel="0" collapsed="false">
      <c r="A67" s="49" t="s">
        <v>553</v>
      </c>
      <c r="B67" s="49"/>
      <c r="C67" s="49"/>
      <c r="D67" s="49"/>
      <c r="E67" s="49"/>
      <c r="F67" s="49"/>
      <c r="G67" s="49"/>
      <c r="H67" s="49"/>
      <c r="I67" s="49"/>
      <c r="J67" s="49"/>
      <c r="K67" s="49"/>
    </row>
    <row r="68" customFormat="false" ht="23.25" hidden="false" customHeight="true" outlineLevel="0" collapsed="false">
      <c r="A68" s="87" t="s">
        <v>388</v>
      </c>
      <c r="B68" s="87" t="s">
        <v>283</v>
      </c>
      <c r="C68" s="89" t="s">
        <v>554</v>
      </c>
      <c r="F68" s="87" t="s">
        <v>555</v>
      </c>
      <c r="I68" s="87" t="s">
        <v>556</v>
      </c>
    </row>
    <row r="69" customFormat="false" ht="15" hidden="false" customHeight="true" outlineLevel="0" collapsed="false">
      <c r="A69" s="90" t="n">
        <v>37.5</v>
      </c>
      <c r="B69" s="90" t="n">
        <v>3174</v>
      </c>
      <c r="C69" s="73" t="n">
        <f aca="false">ROUND(A69/B69,3)</f>
        <v>0.012</v>
      </c>
      <c r="D69" s="85" t="s">
        <v>542</v>
      </c>
      <c r="F69" s="38" t="s">
        <v>557</v>
      </c>
      <c r="G69" s="39" t="s">
        <v>558</v>
      </c>
      <c r="I69" s="38" t="s">
        <v>374</v>
      </c>
      <c r="J69" s="39" t="s">
        <v>558</v>
      </c>
    </row>
    <row r="70" customFormat="false" ht="15" hidden="false" customHeight="true" outlineLevel="0" collapsed="false">
      <c r="F70" s="32" t="s">
        <v>372</v>
      </c>
      <c r="G70" s="33" t="s">
        <v>559</v>
      </c>
      <c r="I70" s="32" t="s">
        <v>376</v>
      </c>
      <c r="J70" s="33" t="s">
        <v>559</v>
      </c>
    </row>
    <row r="71" customFormat="false" ht="15" hidden="false" customHeight="true" outlineLevel="0" collapsed="false">
      <c r="F71" s="38" t="s">
        <v>374</v>
      </c>
      <c r="G71" s="39" t="s">
        <v>560</v>
      </c>
      <c r="I71" s="38" t="s">
        <v>561</v>
      </c>
      <c r="J71" s="39" t="s">
        <v>560</v>
      </c>
    </row>
  </sheetData>
  <mergeCells count="31">
    <mergeCell ref="A1:K1"/>
    <mergeCell ref="A2:K2"/>
    <mergeCell ref="A4:G4"/>
    <mergeCell ref="I4:K4"/>
    <mergeCell ref="A5:G5"/>
    <mergeCell ref="I6:K6"/>
    <mergeCell ref="A7:G7"/>
    <mergeCell ref="I10:K10"/>
    <mergeCell ref="A12:G12"/>
    <mergeCell ref="I14:K14"/>
    <mergeCell ref="A16:G16"/>
    <mergeCell ref="I18:K18"/>
    <mergeCell ref="A21:G21"/>
    <mergeCell ref="I22:K22"/>
    <mergeCell ref="A31:G31"/>
    <mergeCell ref="A33:G33"/>
    <mergeCell ref="A34:G34"/>
    <mergeCell ref="E42:G42"/>
    <mergeCell ref="A43:G44"/>
    <mergeCell ref="A46:K46"/>
    <mergeCell ref="A50:H50"/>
    <mergeCell ref="A52:K52"/>
    <mergeCell ref="B53:D53"/>
    <mergeCell ref="I54:K54"/>
    <mergeCell ref="I55:K55"/>
    <mergeCell ref="I56:K56"/>
    <mergeCell ref="I57:K57"/>
    <mergeCell ref="I58:K58"/>
    <mergeCell ref="A61:K61"/>
    <mergeCell ref="B62:D62"/>
    <mergeCell ref="A67:K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7" min="4" style="1" width="14"/>
    <col collapsed="false" customWidth="true" hidden="false" outlineLevel="0" max="8" min="8" style="1" width="18"/>
  </cols>
  <sheetData>
    <row r="1" customFormat="false" ht="27.75" hidden="false" customHeight="true" outlineLevel="0" collapsed="false">
      <c r="A1" s="2" t="s">
        <v>562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93" t="s">
        <v>563</v>
      </c>
      <c r="B2" s="93"/>
      <c r="C2" s="93"/>
      <c r="D2" s="93"/>
      <c r="E2" s="93"/>
      <c r="F2" s="93"/>
      <c r="G2" s="93"/>
      <c r="H2" s="93"/>
    </row>
    <row r="4" customFormat="false" ht="15" hidden="false" customHeight="true" outlineLevel="0" collapsed="false">
      <c r="A4" s="14" t="s">
        <v>564</v>
      </c>
      <c r="B4" s="14"/>
      <c r="C4" s="14"/>
      <c r="D4" s="14"/>
      <c r="E4" s="14"/>
      <c r="F4" s="14"/>
      <c r="G4" s="14"/>
      <c r="H4" s="14"/>
    </row>
    <row r="5" customFormat="false" ht="15" hidden="false" customHeight="true" outlineLevel="0" collapsed="false">
      <c r="A5" s="55" t="s">
        <v>565</v>
      </c>
      <c r="B5" s="90" t="s">
        <v>566</v>
      </c>
    </row>
    <row r="6" customFormat="false" ht="15" hidden="false" customHeight="true" outlineLevel="0" collapsed="false">
      <c r="A6" s="55" t="s">
        <v>567</v>
      </c>
      <c r="B6" s="56" t="n">
        <v>10</v>
      </c>
    </row>
    <row r="7" customFormat="false" ht="15" hidden="false" customHeight="true" outlineLevel="0" collapsed="false">
      <c r="A7" s="55" t="s">
        <v>568</v>
      </c>
      <c r="B7" s="56" t="s">
        <v>569</v>
      </c>
    </row>
    <row r="8" customFormat="false" ht="15" hidden="false" customHeight="true" outlineLevel="0" collapsed="false">
      <c r="A8" s="55" t="s">
        <v>570</v>
      </c>
      <c r="B8" s="56" t="n">
        <v>150</v>
      </c>
    </row>
    <row r="9" customFormat="false" ht="15" hidden="false" customHeight="true" outlineLevel="0" collapsed="false">
      <c r="A9" s="55" t="s">
        <v>571</v>
      </c>
      <c r="B9" s="56" t="n">
        <v>500</v>
      </c>
      <c r="D9" s="82" t="s">
        <v>572</v>
      </c>
      <c r="E9" s="82"/>
      <c r="F9" s="82"/>
      <c r="G9" s="82"/>
      <c r="H9" s="82"/>
    </row>
    <row r="10" customFormat="false" ht="15" hidden="false" customHeight="true" outlineLevel="0" collapsed="false">
      <c r="A10" s="55" t="s">
        <v>573</v>
      </c>
      <c r="B10" s="56" t="n">
        <v>4</v>
      </c>
      <c r="D10" s="54" t="s">
        <v>574</v>
      </c>
      <c r="E10" s="54"/>
      <c r="F10" s="54"/>
      <c r="G10" s="54"/>
      <c r="H10" s="54"/>
    </row>
    <row r="12" customFormat="false" ht="15" hidden="false" customHeight="true" outlineLevel="0" collapsed="false">
      <c r="A12" s="14" t="s">
        <v>575</v>
      </c>
      <c r="B12" s="14"/>
      <c r="C12" s="14"/>
      <c r="D12" s="14"/>
      <c r="E12" s="14"/>
      <c r="F12" s="14"/>
      <c r="G12" s="14"/>
      <c r="H12" s="14"/>
    </row>
    <row r="13" customFormat="false" ht="15" hidden="false" customHeight="true" outlineLevel="0" collapsed="false">
      <c r="A13" s="55" t="s">
        <v>576</v>
      </c>
      <c r="B13" s="56" t="n">
        <v>5</v>
      </c>
      <c r="D13" s="54" t="s">
        <v>577</v>
      </c>
      <c r="E13" s="54"/>
      <c r="F13" s="54"/>
      <c r="G13" s="54"/>
      <c r="H13" s="54"/>
    </row>
    <row r="15" customFormat="false" ht="15" hidden="false" customHeight="true" outlineLevel="0" collapsed="false">
      <c r="A15" s="14" t="s">
        <v>578</v>
      </c>
      <c r="B15" s="14"/>
      <c r="C15" s="14"/>
      <c r="D15" s="14"/>
      <c r="E15" s="14"/>
      <c r="F15" s="14"/>
      <c r="G15" s="14"/>
      <c r="H15" s="14"/>
    </row>
    <row r="16" customFormat="false" ht="15" hidden="false" customHeight="true" outlineLevel="0" collapsed="false">
      <c r="A16" s="24" t="s">
        <v>579</v>
      </c>
      <c r="B16" s="23" t="s">
        <v>580</v>
      </c>
      <c r="C16" s="24" t="s">
        <v>581</v>
      </c>
      <c r="D16" s="24"/>
      <c r="E16" s="24"/>
      <c r="F16" s="24"/>
      <c r="G16" s="24"/>
      <c r="H16" s="24" t="s">
        <v>582</v>
      </c>
    </row>
    <row r="17" customFormat="false" ht="15" hidden="false" customHeight="true" outlineLevel="0" collapsed="false">
      <c r="A17" s="25" t="s">
        <v>566</v>
      </c>
      <c r="B17" s="94" t="n">
        <v>6</v>
      </c>
      <c r="C17" s="95" t="s">
        <v>583</v>
      </c>
      <c r="D17" s="95"/>
      <c r="E17" s="95"/>
      <c r="F17" s="95"/>
      <c r="G17" s="95"/>
      <c r="H17" s="96" t="s">
        <v>584</v>
      </c>
    </row>
    <row r="18" customFormat="false" ht="15" hidden="false" customHeight="true" outlineLevel="0" collapsed="false">
      <c r="A18" s="26" t="s">
        <v>585</v>
      </c>
      <c r="B18" s="94" t="n">
        <v>11.5</v>
      </c>
      <c r="C18" s="95" t="s">
        <v>586</v>
      </c>
      <c r="D18" s="95"/>
      <c r="E18" s="95"/>
      <c r="F18" s="95"/>
      <c r="G18" s="95"/>
      <c r="H18" s="96" t="s">
        <v>584</v>
      </c>
    </row>
    <row r="19" customFormat="false" ht="15" hidden="false" customHeight="true" outlineLevel="0" collapsed="false">
      <c r="A19" s="25" t="s">
        <v>587</v>
      </c>
      <c r="B19" s="94" t="n">
        <v>12</v>
      </c>
      <c r="C19" s="95" t="s">
        <v>588</v>
      </c>
      <c r="D19" s="95"/>
      <c r="E19" s="95"/>
      <c r="F19" s="95"/>
      <c r="G19" s="95"/>
      <c r="H19" s="96" t="s">
        <v>584</v>
      </c>
    </row>
    <row r="20" customFormat="false" ht="15" hidden="false" customHeight="true" outlineLevel="0" collapsed="false">
      <c r="A20" s="25" t="s">
        <v>589</v>
      </c>
      <c r="B20" s="94" t="n">
        <v>23</v>
      </c>
      <c r="C20" s="95" t="s">
        <v>590</v>
      </c>
      <c r="D20" s="95"/>
      <c r="E20" s="95"/>
      <c r="F20" s="95"/>
      <c r="G20" s="95"/>
      <c r="H20" s="96" t="s">
        <v>584</v>
      </c>
    </row>
    <row r="21" customFormat="false" ht="15" hidden="false" customHeight="true" outlineLevel="0" collapsed="false">
      <c r="A21" s="25" t="s">
        <v>591</v>
      </c>
      <c r="B21" s="94" t="n">
        <v>11.5</v>
      </c>
      <c r="C21" s="95" t="s">
        <v>592</v>
      </c>
      <c r="D21" s="95"/>
      <c r="E21" s="95"/>
      <c r="F21" s="95"/>
      <c r="G21" s="95"/>
      <c r="H21" s="96" t="s">
        <v>584</v>
      </c>
    </row>
    <row r="22" customFormat="false" ht="15" hidden="false" customHeight="true" outlineLevel="0" collapsed="false">
      <c r="A22" s="26" t="s">
        <v>593</v>
      </c>
      <c r="B22" s="94" t="n">
        <v>45</v>
      </c>
      <c r="C22" s="95" t="s">
        <v>594</v>
      </c>
      <c r="D22" s="95"/>
      <c r="E22" s="95"/>
      <c r="F22" s="95"/>
      <c r="G22" s="95"/>
      <c r="H22" s="97" t="s">
        <v>595</v>
      </c>
    </row>
    <row r="23" customFormat="false" ht="15" hidden="false" customHeight="true" outlineLevel="0" collapsed="false">
      <c r="A23" s="26" t="s">
        <v>596</v>
      </c>
      <c r="B23" s="94" t="n">
        <v>25</v>
      </c>
      <c r="C23" s="95" t="s">
        <v>597</v>
      </c>
      <c r="D23" s="95"/>
      <c r="E23" s="95"/>
      <c r="F23" s="95"/>
      <c r="G23" s="95"/>
      <c r="H23" s="97" t="s">
        <v>595</v>
      </c>
    </row>
    <row r="24" customFormat="false" ht="15" hidden="false" customHeight="true" outlineLevel="0" collapsed="false">
      <c r="A24" s="26" t="s">
        <v>598</v>
      </c>
      <c r="B24" s="94" t="n">
        <v>8</v>
      </c>
      <c r="C24" s="95" t="s">
        <v>599</v>
      </c>
      <c r="D24" s="95"/>
      <c r="E24" s="95"/>
      <c r="F24" s="95"/>
      <c r="G24" s="95"/>
      <c r="H24" s="98" t="s">
        <v>600</v>
      </c>
    </row>
    <row r="25" customFormat="false" ht="15" hidden="false" customHeight="true" outlineLevel="0" collapsed="false">
      <c r="A25" s="26" t="s">
        <v>601</v>
      </c>
      <c r="B25" s="94" t="n">
        <v>12</v>
      </c>
      <c r="C25" s="95" t="s">
        <v>602</v>
      </c>
      <c r="D25" s="95"/>
      <c r="E25" s="95"/>
      <c r="F25" s="95"/>
      <c r="G25" s="95"/>
      <c r="H25" s="98" t="s">
        <v>600</v>
      </c>
    </row>
    <row r="26" customFormat="false" ht="15" hidden="false" customHeight="true" outlineLevel="0" collapsed="false">
      <c r="A26" s="26" t="s">
        <v>603</v>
      </c>
      <c r="B26" s="94" t="n">
        <v>30</v>
      </c>
      <c r="C26" s="95" t="s">
        <v>604</v>
      </c>
      <c r="D26" s="95"/>
      <c r="E26" s="95"/>
      <c r="F26" s="95"/>
      <c r="G26" s="95"/>
      <c r="H26" s="97" t="s">
        <v>595</v>
      </c>
    </row>
    <row r="28" customFormat="false" ht="15" hidden="false" customHeight="true" outlineLevel="0" collapsed="false">
      <c r="A28" s="99" t="s">
        <v>605</v>
      </c>
      <c r="B28" s="99"/>
      <c r="C28" s="99"/>
      <c r="D28" s="99"/>
      <c r="E28" s="99"/>
      <c r="F28" s="99"/>
      <c r="G28" s="99"/>
      <c r="H28" s="99"/>
    </row>
    <row r="29" customFormat="false" ht="15" hidden="false" customHeight="true" outlineLevel="0" collapsed="false">
      <c r="A29" s="50" t="s">
        <v>606</v>
      </c>
      <c r="B29" s="17" t="s">
        <v>607</v>
      </c>
      <c r="C29" s="17"/>
      <c r="D29" s="17"/>
      <c r="E29" s="17"/>
      <c r="F29" s="17"/>
      <c r="G29" s="17"/>
      <c r="H29" s="17"/>
    </row>
    <row r="30" customFormat="false" ht="15" hidden="false" customHeight="true" outlineLevel="0" collapsed="false">
      <c r="A30" s="96" t="s">
        <v>584</v>
      </c>
      <c r="B30" s="17" t="s">
        <v>608</v>
      </c>
      <c r="C30" s="17"/>
      <c r="D30" s="17"/>
      <c r="E30" s="17"/>
      <c r="F30" s="17"/>
      <c r="G30" s="17"/>
      <c r="H30" s="17"/>
    </row>
    <row r="31" customFormat="false" ht="15" hidden="false" customHeight="true" outlineLevel="0" collapsed="false">
      <c r="A31" s="98" t="s">
        <v>600</v>
      </c>
      <c r="B31" s="18" t="s">
        <v>609</v>
      </c>
      <c r="C31" s="18"/>
      <c r="D31" s="18"/>
      <c r="E31" s="18"/>
      <c r="F31" s="18"/>
      <c r="G31" s="18"/>
      <c r="H31" s="18"/>
    </row>
    <row r="32" customFormat="false" ht="15" hidden="false" customHeight="true" outlineLevel="0" collapsed="false">
      <c r="A32" s="97" t="s">
        <v>595</v>
      </c>
      <c r="B32" s="18" t="s">
        <v>610</v>
      </c>
      <c r="C32" s="18"/>
      <c r="D32" s="18"/>
      <c r="E32" s="18"/>
      <c r="F32" s="18"/>
      <c r="G32" s="18"/>
      <c r="H32" s="18"/>
    </row>
    <row r="33" customFormat="false" ht="15" hidden="false" customHeight="true" outlineLevel="0" collapsed="false">
      <c r="A33" s="100" t="s">
        <v>611</v>
      </c>
      <c r="B33" s="18" t="s">
        <v>612</v>
      </c>
      <c r="C33" s="18"/>
      <c r="D33" s="18"/>
      <c r="E33" s="18"/>
      <c r="F33" s="18"/>
      <c r="G33" s="18"/>
      <c r="H33" s="18"/>
    </row>
    <row r="34" customFormat="false" ht="15" hidden="false" customHeight="true" outlineLevel="0" collapsed="false">
      <c r="A34" s="101" t="s">
        <v>613</v>
      </c>
      <c r="B34" s="18" t="s">
        <v>614</v>
      </c>
      <c r="C34" s="27"/>
      <c r="D34" s="27"/>
      <c r="E34" s="27"/>
      <c r="F34" s="27"/>
      <c r="G34" s="27"/>
      <c r="H34" s="28"/>
    </row>
    <row r="35" customFormat="false" ht="15" hidden="false" customHeight="true" outlineLevel="0" collapsed="false">
      <c r="A35" s="21"/>
      <c r="B35" s="21"/>
      <c r="C35" s="21"/>
      <c r="D35" s="21"/>
      <c r="E35" s="21"/>
      <c r="F35" s="21"/>
      <c r="G35" s="21"/>
      <c r="H35" s="21"/>
    </row>
    <row r="36" customFormat="false" ht="15" hidden="false" customHeight="true" outlineLevel="0" collapsed="false">
      <c r="A36" s="22" t="s">
        <v>615</v>
      </c>
      <c r="E36" s="21"/>
      <c r="F36" s="21"/>
      <c r="G36" s="21"/>
      <c r="H36" s="21"/>
    </row>
    <row r="37" customFormat="false" ht="15" hidden="false" customHeight="true" outlineLevel="0" collapsed="false">
      <c r="A37" s="24" t="s">
        <v>616</v>
      </c>
      <c r="B37" s="24" t="s">
        <v>617</v>
      </c>
      <c r="C37" s="24" t="s">
        <v>618</v>
      </c>
      <c r="D37" s="24" t="s">
        <v>533</v>
      </c>
      <c r="E37" s="24" t="s">
        <v>59</v>
      </c>
      <c r="F37" s="24"/>
      <c r="G37" s="24"/>
      <c r="H37" s="24"/>
    </row>
    <row r="38" customFormat="false" ht="21.75" hidden="false" customHeight="true" outlineLevel="0" collapsed="false">
      <c r="A38" s="18" t="s">
        <v>619</v>
      </c>
      <c r="B38" s="102" t="s">
        <v>620</v>
      </c>
      <c r="C38" s="73" t="n">
        <f aca="false">ROUND(B6*(IF(B5="초경 (WC-Co)",6,IF(B5="HSS",11.5,IF(B5="공구강(S45C)",12,IF(B5="알루미늄",23,6)))))*B10/1000,3)</f>
        <v>0.24</v>
      </c>
      <c r="D38" s="103" t="s">
        <v>621</v>
      </c>
      <c r="E38" s="18" t="s">
        <v>622</v>
      </c>
      <c r="F38" s="18"/>
      <c r="G38" s="18"/>
      <c r="H38" s="18"/>
    </row>
    <row r="39" customFormat="false" ht="15" hidden="false" customHeight="true" outlineLevel="0" collapsed="false">
      <c r="A39" s="18" t="s">
        <v>623</v>
      </c>
      <c r="B39" s="102" t="s">
        <v>624</v>
      </c>
      <c r="C39" s="57" t="n">
        <f aca="false">ROUND(B8*(IF(B7="Resin",45,IF(B7="Polyimide",25,IF(B7="Vitrified",8,IF(B7="Metal",12,IF(B7="Hybrid",30,45))))))*B10/1000/2,2)</f>
        <v>13.5</v>
      </c>
      <c r="D39" s="103" t="s">
        <v>625</v>
      </c>
      <c r="E39" s="18" t="s">
        <v>626</v>
      </c>
      <c r="F39" s="18"/>
      <c r="G39" s="18"/>
      <c r="H39" s="18"/>
    </row>
    <row r="40" customFormat="false" ht="15" hidden="false" customHeight="true" outlineLevel="0" collapsed="false">
      <c r="A40" s="18" t="s">
        <v>627</v>
      </c>
      <c r="B40" s="102" t="s">
        <v>628</v>
      </c>
      <c r="C40" s="57" t="n">
        <f aca="false">ROUND(B9*11.5*B10/1000,2)</f>
        <v>23</v>
      </c>
      <c r="D40" s="104" t="s">
        <v>629</v>
      </c>
      <c r="E40" s="18" t="s">
        <v>630</v>
      </c>
      <c r="F40" s="18"/>
      <c r="G40" s="18"/>
      <c r="H40" s="18"/>
    </row>
    <row r="41" customFormat="false" ht="34.5" hidden="false" customHeight="true" outlineLevel="0" collapsed="false">
      <c r="A41" s="55" t="s">
        <v>631</v>
      </c>
      <c r="B41" s="105" t="s">
        <v>632</v>
      </c>
      <c r="C41" s="106" t="n">
        <f aca="false">ROUND(C38+C39*2,2)</f>
        <v>27.24</v>
      </c>
      <c r="D41" s="107" t="s">
        <v>633</v>
      </c>
      <c r="E41" s="18" t="s">
        <v>634</v>
      </c>
      <c r="F41" s="27"/>
      <c r="G41" s="27"/>
      <c r="H41" s="28"/>
    </row>
    <row r="42" customFormat="false" ht="15" hidden="false" customHeight="true" outlineLevel="0" collapsed="false">
      <c r="A42" s="21"/>
      <c r="B42" s="21"/>
      <c r="C42" s="21"/>
      <c r="D42" s="21"/>
      <c r="E42" s="21"/>
      <c r="F42" s="21"/>
      <c r="G42" s="21"/>
      <c r="H42" s="21"/>
    </row>
    <row r="43" customFormat="false" ht="15" hidden="false" customHeight="true" outlineLevel="0" collapsed="false">
      <c r="A43" s="14" t="s">
        <v>635</v>
      </c>
      <c r="B43" s="14"/>
      <c r="C43" s="21"/>
      <c r="D43" s="21"/>
      <c r="E43" s="21"/>
      <c r="F43" s="21"/>
      <c r="G43" s="21"/>
      <c r="H43" s="21"/>
    </row>
    <row r="44" customFormat="false" ht="15" hidden="false" customHeight="true" outlineLevel="0" collapsed="false">
      <c r="A44" s="25" t="s">
        <v>636</v>
      </c>
      <c r="B44" s="28"/>
      <c r="C44" s="96" t="str">
        <f aca="false">IF(C41&lt;=B14,"OK (공차 이내)",IF(C41&lt;=B14*2,"주의 (×2 초과)",IF(C41&lt;=B14*4,"경고 (×4 초과)","위험 (×4 이상)")))</f>
        <v>위험 (×4 이상)</v>
      </c>
      <c r="D44" s="27"/>
      <c r="E44" s="27"/>
      <c r="F44" s="27"/>
      <c r="G44" s="27"/>
      <c r="H44" s="28"/>
    </row>
    <row r="45" customFormat="false" ht="15" hidden="false" customHeight="true" outlineLevel="0" collapsed="false">
      <c r="A45" s="21"/>
      <c r="B45" s="21"/>
      <c r="C45" s="21"/>
      <c r="D45" s="21"/>
      <c r="E45" s="21"/>
      <c r="F45" s="21"/>
      <c r="G45" s="21"/>
      <c r="H45" s="21"/>
    </row>
    <row r="46" customFormat="false" ht="15" hidden="false" customHeight="true" outlineLevel="0" collapsed="false">
      <c r="A46" s="14" t="s">
        <v>637</v>
      </c>
      <c r="B46" s="14"/>
      <c r="C46" s="14"/>
      <c r="D46" s="14"/>
      <c r="E46" s="14"/>
      <c r="F46" s="14"/>
      <c r="G46" s="14"/>
      <c r="H46" s="14"/>
    </row>
    <row r="47" customFormat="false" ht="15" hidden="false" customHeight="true" outlineLevel="0" collapsed="false">
      <c r="A47" s="75" t="s">
        <v>638</v>
      </c>
      <c r="D47" s="21"/>
      <c r="E47" s="21"/>
      <c r="F47" s="21"/>
      <c r="G47" s="21"/>
    </row>
    <row r="48" customFormat="false" ht="15" hidden="false" customHeight="true" outlineLevel="0" collapsed="false">
      <c r="A48" s="24" t="s">
        <v>582</v>
      </c>
      <c r="B48" s="24" t="s">
        <v>639</v>
      </c>
      <c r="C48" s="24" t="s">
        <v>640</v>
      </c>
      <c r="D48" s="24" t="s">
        <v>641</v>
      </c>
      <c r="E48" s="24"/>
      <c r="F48" s="24"/>
      <c r="G48" s="24"/>
    </row>
    <row r="49" customFormat="false" ht="15" hidden="false" customHeight="true" outlineLevel="0" collapsed="false">
      <c r="A49" s="108" t="s">
        <v>642</v>
      </c>
      <c r="B49" s="109" t="s">
        <v>643</v>
      </c>
      <c r="C49" s="109" t="s">
        <v>644</v>
      </c>
      <c r="D49" s="108" t="s">
        <v>645</v>
      </c>
      <c r="E49" s="108"/>
      <c r="F49" s="108"/>
      <c r="G49" s="108"/>
    </row>
    <row r="50" customFormat="false" ht="15" hidden="false" customHeight="true" outlineLevel="0" collapsed="false">
      <c r="A50" s="34" t="s">
        <v>646</v>
      </c>
      <c r="B50" s="32" t="s">
        <v>647</v>
      </c>
      <c r="C50" s="32" t="s">
        <v>648</v>
      </c>
      <c r="D50" s="32" t="s">
        <v>649</v>
      </c>
      <c r="E50" s="32"/>
      <c r="F50" s="32"/>
      <c r="G50" s="32"/>
    </row>
    <row r="51" customFormat="false" ht="15" hidden="false" customHeight="true" outlineLevel="0" collapsed="false">
      <c r="A51" s="40" t="s">
        <v>650</v>
      </c>
      <c r="B51" s="38" t="s">
        <v>651</v>
      </c>
      <c r="C51" s="38" t="s">
        <v>652</v>
      </c>
      <c r="D51" s="40" t="s">
        <v>653</v>
      </c>
      <c r="E51" s="40"/>
      <c r="F51" s="40"/>
      <c r="G51" s="40"/>
    </row>
    <row r="52" customFormat="false" ht="23.25" hidden="false" customHeight="true" outlineLevel="0" collapsed="false">
      <c r="A52" s="62" t="s">
        <v>654</v>
      </c>
      <c r="B52" s="63" t="s">
        <v>655</v>
      </c>
      <c r="C52" s="63" t="s">
        <v>652</v>
      </c>
      <c r="D52" s="62" t="s">
        <v>656</v>
      </c>
      <c r="E52" s="27"/>
      <c r="F52" s="27"/>
      <c r="G52" s="28"/>
    </row>
    <row r="54" customFormat="false" ht="15" hidden="false" customHeight="true" outlineLevel="0" collapsed="false">
      <c r="A54" s="21"/>
      <c r="B54" s="21"/>
      <c r="C54" s="21"/>
      <c r="D54" s="21"/>
      <c r="E54" s="21"/>
      <c r="F54" s="21"/>
      <c r="G54" s="21"/>
      <c r="H54" s="21"/>
    </row>
    <row r="55" customFormat="false" ht="15" hidden="false" customHeight="true" outlineLevel="0" collapsed="false">
      <c r="A55" s="110" t="s">
        <v>657</v>
      </c>
      <c r="B55" s="110"/>
      <c r="C55" s="110"/>
      <c r="D55" s="110"/>
      <c r="E55" s="110"/>
      <c r="F55" s="110"/>
      <c r="G55" s="110"/>
      <c r="H55" s="110"/>
    </row>
    <row r="56" customFormat="false" ht="15" hidden="false" customHeight="true" outlineLevel="0" collapsed="false">
      <c r="A56" s="111" t="s">
        <v>658</v>
      </c>
      <c r="D56" s="21"/>
      <c r="E56" s="21"/>
      <c r="F56" s="21"/>
      <c r="G56" s="21"/>
      <c r="H56" s="21"/>
    </row>
    <row r="57" customFormat="false" ht="23.25" hidden="false" customHeight="true" outlineLevel="0" collapsed="false">
      <c r="A57" s="24" t="s">
        <v>83</v>
      </c>
      <c r="B57" s="24" t="s">
        <v>659</v>
      </c>
      <c r="C57" s="24" t="s">
        <v>660</v>
      </c>
      <c r="D57" s="24" t="s">
        <v>661</v>
      </c>
      <c r="E57" s="24"/>
      <c r="F57" s="24"/>
      <c r="G57" s="24"/>
      <c r="H57" s="24"/>
    </row>
    <row r="58" customFormat="false" ht="23.25" hidden="false" customHeight="true" outlineLevel="0" collapsed="false">
      <c r="A58" s="112" t="s">
        <v>662</v>
      </c>
      <c r="B58" s="112" t="s">
        <v>663</v>
      </c>
      <c r="C58" s="113" t="s">
        <v>664</v>
      </c>
      <c r="D58" s="114" t="s">
        <v>665</v>
      </c>
      <c r="E58" s="114"/>
      <c r="F58" s="114"/>
      <c r="G58" s="114"/>
      <c r="H58" s="114"/>
    </row>
    <row r="59" customFormat="false" ht="23.25" hidden="false" customHeight="true" outlineLevel="0" collapsed="false">
      <c r="A59" s="112" t="s">
        <v>666</v>
      </c>
      <c r="B59" s="112" t="s">
        <v>667</v>
      </c>
      <c r="C59" s="113" t="s">
        <v>668</v>
      </c>
      <c r="D59" s="114" t="s">
        <v>665</v>
      </c>
      <c r="E59" s="114"/>
      <c r="F59" s="114"/>
      <c r="G59" s="114"/>
      <c r="H59" s="114"/>
    </row>
    <row r="60" customFormat="false" ht="23.25" hidden="false" customHeight="true" outlineLevel="0" collapsed="false">
      <c r="A60" s="109" t="s">
        <v>669</v>
      </c>
      <c r="B60" s="108" t="s">
        <v>670</v>
      </c>
      <c r="C60" s="115" t="s">
        <v>671</v>
      </c>
      <c r="D60" s="116" t="s">
        <v>672</v>
      </c>
      <c r="E60" s="116"/>
      <c r="F60" s="116"/>
      <c r="G60" s="116"/>
      <c r="H60" s="116"/>
    </row>
    <row r="61" customFormat="false" ht="23.25" hidden="false" customHeight="true" outlineLevel="0" collapsed="false">
      <c r="A61" s="109" t="s">
        <v>673</v>
      </c>
      <c r="B61" s="108" t="s">
        <v>674</v>
      </c>
      <c r="C61" s="115" t="s">
        <v>675</v>
      </c>
      <c r="D61" s="116" t="s">
        <v>676</v>
      </c>
      <c r="E61" s="27"/>
      <c r="F61" s="27"/>
      <c r="G61" s="27"/>
      <c r="H61" s="28"/>
    </row>
    <row r="63" customFormat="false" ht="15" hidden="false" customHeight="true" outlineLevel="0" collapsed="false">
      <c r="A63" s="21"/>
      <c r="B63" s="21"/>
      <c r="C63" s="21"/>
      <c r="D63" s="21"/>
      <c r="E63" s="21"/>
      <c r="F63" s="21"/>
      <c r="G63" s="21"/>
      <c r="H63" s="21"/>
    </row>
    <row r="64" customFormat="false" ht="15" hidden="false" customHeight="true" outlineLevel="0" collapsed="false">
      <c r="A64" s="14" t="s">
        <v>677</v>
      </c>
      <c r="B64" s="14"/>
      <c r="C64" s="14"/>
      <c r="D64" s="14"/>
      <c r="E64" s="14"/>
      <c r="F64" s="14"/>
      <c r="G64" s="14"/>
      <c r="H64" s="14"/>
    </row>
    <row r="65" customFormat="false" ht="15" hidden="false" customHeight="true" outlineLevel="0" collapsed="false">
      <c r="A65" s="75" t="s">
        <v>678</v>
      </c>
    </row>
    <row r="66" customFormat="false" ht="15" hidden="false" customHeight="true" outlineLevel="0" collapsed="false">
      <c r="A66" s="24" t="s">
        <v>679</v>
      </c>
      <c r="B66" s="24"/>
      <c r="C66" s="24" t="s">
        <v>680</v>
      </c>
      <c r="D66" s="117" t="s">
        <v>681</v>
      </c>
      <c r="E66" s="117"/>
      <c r="F66" s="117"/>
      <c r="G66" s="117"/>
      <c r="H66" s="117"/>
    </row>
    <row r="67" customFormat="false" ht="15" hidden="false" customHeight="true" outlineLevel="0" collapsed="false">
      <c r="A67" s="18" t="s">
        <v>682</v>
      </c>
      <c r="B67" s="28"/>
      <c r="C67" s="56" t="n">
        <v>10</v>
      </c>
      <c r="D67" s="72" t="s">
        <v>683</v>
      </c>
    </row>
    <row r="68" customFormat="false" ht="15" hidden="false" customHeight="true" outlineLevel="0" collapsed="false">
      <c r="A68" s="118"/>
      <c r="B68" s="56"/>
      <c r="C68" s="119"/>
      <c r="D68" s="57" t="str">
        <f aca="false">IF(A68="","",ROUND((A68-$C$67)*1000,2))</f>
        <v/>
      </c>
      <c r="E68" s="57" t="str">
        <f aca="false">IF(OR(D68="",$C$41=0),"",ROUND(D68/$C$41,2))</f>
        <v/>
      </c>
    </row>
    <row r="69" customFormat="false" ht="15" hidden="false" customHeight="true" outlineLevel="0" collapsed="false">
      <c r="A69" s="118"/>
      <c r="B69" s="56"/>
      <c r="C69" s="119"/>
      <c r="D69" s="57" t="str">
        <f aca="false">IF(A69="","",ROUND((A69-$C$67)*1000,2))</f>
        <v/>
      </c>
      <c r="E69" s="57" t="str">
        <f aca="false">IF(OR(D69="",$C$41=0),"",ROUND(D69/$C$41,2))</f>
        <v/>
      </c>
    </row>
    <row r="70" customFormat="false" ht="15" hidden="false" customHeight="true" outlineLevel="0" collapsed="false">
      <c r="A70" s="118"/>
      <c r="B70" s="56"/>
      <c r="C70" s="119"/>
      <c r="D70" s="57" t="str">
        <f aca="false">IF(A70="","",ROUND((A70-$C$67)*1000,2))</f>
        <v/>
      </c>
      <c r="E70" s="57" t="str">
        <f aca="false">IF(OR(D70="",$C$41=0),"",ROUND(D70/$C$41,2))</f>
        <v/>
      </c>
    </row>
    <row r="71" customFormat="false" ht="15" hidden="false" customHeight="true" outlineLevel="0" collapsed="false">
      <c r="A71" s="118"/>
      <c r="B71" s="56"/>
      <c r="C71" s="119"/>
      <c r="D71" s="57" t="str">
        <f aca="false">IF(A71="","",ROUND((A71-$C$67)*1000,2))</f>
        <v/>
      </c>
      <c r="E71" s="57" t="str">
        <f aca="false">IF(OR(D71="",$C$41=0),"",ROUND(D71/$C$41,2))</f>
        <v/>
      </c>
    </row>
    <row r="72" customFormat="false" ht="15" hidden="false" customHeight="true" outlineLevel="0" collapsed="false">
      <c r="A72" s="118"/>
      <c r="B72" s="56"/>
      <c r="C72" s="119"/>
      <c r="D72" s="57" t="str">
        <f aca="false">IF(A72="","",ROUND((A72-$C$67)*1000,2))</f>
        <v/>
      </c>
      <c r="E72" s="57" t="str">
        <f aca="false">IF(OR(D72="",$C$41=0),"",ROUND(D72/$C$41,2))</f>
        <v/>
      </c>
    </row>
    <row r="73" customFormat="false" ht="15" hidden="false" customHeight="true" outlineLevel="0" collapsed="false">
      <c r="A73" s="21"/>
      <c r="B73" s="21"/>
      <c r="C73" s="21"/>
      <c r="D73" s="21"/>
      <c r="E73" s="21"/>
      <c r="F73" s="21"/>
      <c r="G73" s="21"/>
      <c r="H73" s="21"/>
    </row>
    <row r="74" customFormat="false" ht="32.25" hidden="false" customHeight="true" outlineLevel="0" collapsed="false">
      <c r="A74" s="72" t="s">
        <v>684</v>
      </c>
    </row>
    <row r="75" customFormat="false" ht="15" hidden="false" customHeight="true" outlineLevel="0" collapsed="false">
      <c r="A75" s="21"/>
      <c r="B75" s="21"/>
      <c r="C75" s="21"/>
      <c r="D75" s="21"/>
      <c r="E75" s="21"/>
      <c r="F75" s="21"/>
      <c r="G75" s="21"/>
      <c r="H75" s="21"/>
    </row>
    <row r="76" customFormat="false" ht="15" hidden="false" customHeight="true" outlineLevel="0" collapsed="false">
      <c r="A76" s="22" t="s">
        <v>685</v>
      </c>
      <c r="B76" s="21"/>
      <c r="C76" s="21"/>
      <c r="D76" s="21"/>
      <c r="E76" s="21"/>
      <c r="F76" s="21"/>
      <c r="G76" s="21"/>
      <c r="H76" s="21"/>
    </row>
    <row r="77" customFormat="false" ht="15" hidden="false" customHeight="true" outlineLevel="0" collapsed="false">
      <c r="A77" s="96" t="s">
        <v>686</v>
      </c>
      <c r="B77" s="36" t="s">
        <v>687</v>
      </c>
      <c r="C77" s="36"/>
      <c r="D77" s="36"/>
      <c r="E77" s="36"/>
      <c r="F77" s="36"/>
      <c r="G77" s="36"/>
      <c r="H77" s="36"/>
    </row>
    <row r="78" customFormat="false" ht="15" hidden="false" customHeight="true" outlineLevel="0" collapsed="false">
      <c r="A78" s="98" t="s">
        <v>688</v>
      </c>
      <c r="B78" s="42" t="s">
        <v>689</v>
      </c>
      <c r="C78" s="42"/>
      <c r="D78" s="42"/>
      <c r="E78" s="42"/>
      <c r="F78" s="42"/>
      <c r="G78" s="42"/>
      <c r="H78" s="42"/>
    </row>
    <row r="79" customFormat="false" ht="15" hidden="false" customHeight="true" outlineLevel="0" collapsed="false">
      <c r="A79" s="96" t="s">
        <v>690</v>
      </c>
      <c r="B79" s="36" t="s">
        <v>691</v>
      </c>
      <c r="C79" s="36"/>
      <c r="D79" s="36"/>
      <c r="E79" s="36"/>
      <c r="F79" s="36"/>
      <c r="G79" s="36"/>
      <c r="H79" s="36"/>
    </row>
    <row r="80" customFormat="false" ht="15" hidden="false" customHeight="true" outlineLevel="0" collapsed="false">
      <c r="A80" s="96" t="s">
        <v>692</v>
      </c>
      <c r="B80" s="36" t="s">
        <v>693</v>
      </c>
      <c r="C80" s="36"/>
      <c r="D80" s="36"/>
      <c r="E80" s="36"/>
      <c r="F80" s="36"/>
      <c r="G80" s="36"/>
      <c r="H80" s="36"/>
    </row>
    <row r="81" customFormat="false" ht="15" hidden="false" customHeight="true" outlineLevel="0" collapsed="false">
      <c r="A81" s="98" t="s">
        <v>694</v>
      </c>
      <c r="B81" s="42" t="s">
        <v>695</v>
      </c>
      <c r="C81" s="42"/>
      <c r="D81" s="42"/>
      <c r="E81" s="42"/>
      <c r="F81" s="42"/>
      <c r="G81" s="42"/>
      <c r="H81" s="42"/>
    </row>
    <row r="82" customFormat="false" ht="57" hidden="false" customHeight="true" outlineLevel="0" collapsed="false">
      <c r="A82" s="24" t="s">
        <v>696</v>
      </c>
      <c r="B82" s="120" t="s">
        <v>697</v>
      </c>
      <c r="C82" s="27"/>
      <c r="D82" s="27"/>
      <c r="E82" s="27"/>
      <c r="F82" s="27"/>
      <c r="G82" s="27"/>
      <c r="H82" s="28"/>
    </row>
  </sheetData>
  <mergeCells count="60">
    <mergeCell ref="A1:H1"/>
    <mergeCell ref="A2:H2"/>
    <mergeCell ref="A4:H4"/>
    <mergeCell ref="D9:H9"/>
    <mergeCell ref="D10:H10"/>
    <mergeCell ref="A12:H12"/>
    <mergeCell ref="D13:H13"/>
    <mergeCell ref="A15:H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A28:H28"/>
    <mergeCell ref="B29:H29"/>
    <mergeCell ref="B30:H30"/>
    <mergeCell ref="B31:H31"/>
    <mergeCell ref="B32:H32"/>
    <mergeCell ref="B33:H33"/>
    <mergeCell ref="A35:H35"/>
    <mergeCell ref="E36:H36"/>
    <mergeCell ref="E37:H37"/>
    <mergeCell ref="E38:H38"/>
    <mergeCell ref="E39:H39"/>
    <mergeCell ref="E40:H40"/>
    <mergeCell ref="A42:H42"/>
    <mergeCell ref="A43:B43"/>
    <mergeCell ref="C43:H43"/>
    <mergeCell ref="A45:H45"/>
    <mergeCell ref="A46:H46"/>
    <mergeCell ref="D47:G47"/>
    <mergeCell ref="D48:G48"/>
    <mergeCell ref="D49:G49"/>
    <mergeCell ref="D50:G50"/>
    <mergeCell ref="D51:G51"/>
    <mergeCell ref="A54:H54"/>
    <mergeCell ref="A55:H55"/>
    <mergeCell ref="D56:H56"/>
    <mergeCell ref="D57:H57"/>
    <mergeCell ref="D58:H58"/>
    <mergeCell ref="D59:H59"/>
    <mergeCell ref="D60:H60"/>
    <mergeCell ref="A63:H63"/>
    <mergeCell ref="A64:H64"/>
    <mergeCell ref="A66:B66"/>
    <mergeCell ref="D66:H66"/>
    <mergeCell ref="A73:H73"/>
    <mergeCell ref="A75:H75"/>
    <mergeCell ref="B76:H76"/>
    <mergeCell ref="B77:H77"/>
    <mergeCell ref="B78:H78"/>
    <mergeCell ref="B79:H79"/>
    <mergeCell ref="B80:H80"/>
    <mergeCell ref="B81:H81"/>
  </mergeCells>
  <dataValidations count="2">
    <dataValidation allowBlank="false" error="지정 목록에서만 선택해야 합니다" errorStyle="stop" errorTitle="재료 선택 오류" operator="between" showDropDown="false" showErrorMessage="false" showInputMessage="false" sqref="B5" type="list">
      <formula1>"초경 (WC-Co),HSS,공구강(S45C),알루미늄"</formula1>
      <formula2>0</formula2>
    </dataValidation>
    <dataValidation allowBlank="false" error="지정 목록에서만 선택해야 합니다" errorStyle="stop" errorTitle="본드 선택 오류" operator="between" showDropDown="false" showErrorMessage="false" showInputMessage="false" sqref="B7" type="list">
      <formula1>"Resin,Polyimide,Vitrified,Metal,Hybrid"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2026-05-06T04:40:46Z</dcterms:created>
  <dc:creator>openpyxl</dc:creator>
  <dc:description/>
  <dc:language>en-US</dc:language>
  <cp:lastModifiedBy/>
  <dcterms:modified xsi:type="dcterms:W3CDTF">2026-05-07T05:01:17Z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