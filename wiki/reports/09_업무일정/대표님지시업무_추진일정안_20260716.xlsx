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설비점유타임라인" sheetId="2" state="visible" r:id="rId2"/>
    <sheet xmlns:r="http://schemas.openxmlformats.org/officeDocument/2006/relationships" name="①AL엔드밀_단계" sheetId="3" state="visible" r:id="rId3"/>
    <sheet xmlns:r="http://schemas.openxmlformats.org/officeDocument/2006/relationships" name="②드릴탭호닝_단계" sheetId="4" state="visible" r:id="rId4"/>
    <sheet xmlns:r="http://schemas.openxmlformats.org/officeDocument/2006/relationships" name="③원통연마_단계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1F4E78"/>
      <sz val="22"/>
    </font>
    <font>
      <name val="맑은 고딕"/>
      <charset val="1"/>
      <family val="0"/>
      <b val="1"/>
      <color rgb="FF1F4E78"/>
      <sz val="22"/>
    </font>
    <font>
      <name val="Noto Sans CJK SC"/>
      <family val="2"/>
      <b val="1"/>
      <sz val="13"/>
    </font>
    <font>
      <name val="맑은 고딕"/>
      <charset val="1"/>
      <family val="0"/>
      <b val="1"/>
      <sz val="13"/>
    </font>
    <font>
      <name val="맑은 고딕"/>
      <charset val="1"/>
      <family val="0"/>
      <i val="1"/>
      <color rgb="FF666666"/>
      <sz val="13"/>
    </font>
    <font>
      <name val="Noto Sans CJK SC"/>
      <family val="2"/>
      <i val="1"/>
      <color rgb="FF666666"/>
      <sz val="13"/>
    </font>
    <font>
      <name val="맑은 고딕"/>
      <charset val="1"/>
      <family val="0"/>
      <color rgb="FF0000FF"/>
      <sz val="13"/>
    </font>
    <font>
      <name val="Noto Sans CJK SC"/>
      <family val="2"/>
      <b val="1"/>
      <color rgb="FFFFFFFF"/>
      <sz val="13"/>
    </font>
    <font>
      <name val="맑은 고딕"/>
      <charset val="1"/>
      <family val="0"/>
      <b val="1"/>
      <color rgb="FFFFFFFF"/>
      <sz val="13"/>
    </font>
    <font>
      <name val="맑은 고딕"/>
      <charset val="1"/>
      <family val="0"/>
      <color rgb="FF000000"/>
      <sz val="13"/>
    </font>
    <font>
      <name val="맑은 고딕"/>
      <charset val="1"/>
      <family val="0"/>
      <sz val="13"/>
    </font>
    <font>
      <name val="Noto Sans CJK SC"/>
      <family val="2"/>
      <sz val="13"/>
    </font>
    <font>
      <name val="맑은 고딕"/>
      <charset val="1"/>
      <family val="0"/>
      <b val="1"/>
      <color rgb="FFC00000"/>
      <sz val="13"/>
    </font>
    <font>
      <name val="Noto Sans CJK SC"/>
      <family val="2"/>
      <b val="1"/>
      <color rgb="FFC00000"/>
      <sz val="13"/>
    </font>
    <font>
      <name val="Noto Sans CJK SC"/>
      <family val="2"/>
      <b val="1"/>
      <sz val="15"/>
    </font>
    <font>
      <name val="맑은 고딕"/>
      <charset val="1"/>
      <family val="0"/>
      <b val="1"/>
      <color rgb="FFC00000"/>
      <sz val="15"/>
    </font>
    <font>
      <name val="Noto Sans CJK SC"/>
      <family val="2"/>
      <i val="1"/>
      <color rgb="FFC00000"/>
      <sz val="13"/>
    </font>
    <font>
      <name val="맑은 고딕"/>
      <charset val="1"/>
      <family val="0"/>
      <i val="1"/>
      <color rgb="FFC00000"/>
      <sz val="13"/>
    </font>
    <font>
      <name val="맑은 고딕"/>
      <charset val="1"/>
      <family val="0"/>
      <b val="1"/>
      <color rgb="FF1F4E78"/>
      <sz val="15"/>
    </font>
    <font>
      <name val="Noto Sans CJK SC"/>
      <family val="2"/>
      <b val="1"/>
      <color rgb="FF1F4E78"/>
      <sz val="15"/>
    </font>
    <font>
      <name val="맑은 고딕"/>
      <b val="1"/>
      <sz val="13"/>
    </font>
    <font>
      <name val="맑은 고딕"/>
      <sz val="13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DE9E9"/>
        <bgColor rgb="FFFCE8D5"/>
      </patternFill>
    </fill>
    <fill>
      <patternFill patternType="solid">
        <fgColor rgb="FFF2F2F2"/>
        <bgColor rgb="FFFDE9E9"/>
      </patternFill>
    </fill>
    <fill>
      <patternFill patternType="solid">
        <fgColor rgb="FFD9E6F5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14" fillId="3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4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center" vertical="bottom" wrapText="1"/>
    </xf>
    <xf numFmtId="164" fontId="14" fillId="4" borderId="1" applyAlignment="1" pivotButton="0" quotePrefix="0" xfId="0">
      <alignment horizontal="center" vertical="bottom" wrapText="1"/>
    </xf>
    <xf numFmtId="0" fontId="15" fillId="4" borderId="1" applyAlignment="1" pivotButton="0" quotePrefix="0" xfId="0">
      <alignment horizontal="center" vertical="bottom" wrapText="1"/>
    </xf>
    <xf numFmtId="0" fontId="14" fillId="4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14" fillId="3" borderId="1" applyAlignment="1" pivotButton="0" quotePrefix="0" xfId="0">
      <alignment vertical="top" wrapText="1"/>
    </xf>
    <xf numFmtId="0" fontId="16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vertical="top" wrapText="1"/>
    </xf>
    <xf numFmtId="0" fontId="18" fillId="0" borderId="0" applyAlignment="1" pivotButton="0" quotePrefix="0" xfId="0">
      <alignment horizontal="general" vertical="bottom"/>
    </xf>
    <xf numFmtId="164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horizontal="general" vertical="bottom"/>
    </xf>
    <xf numFmtId="0" fontId="24" fillId="0" borderId="0" pivotButton="0" quotePrefix="0" xfId="0"/>
    <xf numFmtId="0" fontId="25" fillId="0" borderId="0" pivotButton="0" quotePrefix="0" xfId="0"/>
    <xf numFmtId="0" fontId="22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center" vertical="bottom" wrapText="1"/>
    </xf>
    <xf numFmtId="164" fontId="14" fillId="4" borderId="1" applyAlignment="1" pivotButton="0" quotePrefix="0" xfId="0">
      <alignment horizontal="center" vertical="bottom" wrapText="1"/>
    </xf>
    <xf numFmtId="0" fontId="14" fillId="4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bottom" wrapText="1"/>
    </xf>
    <xf numFmtId="0" fontId="15" fillId="4" borderId="1" applyAlignment="1" pivotButton="0" quotePrefix="0" xfId="0">
      <alignment horizontal="center" vertical="bottom" wrapText="1"/>
    </xf>
    <xf numFmtId="164" fontId="14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pivotButton="0" quotePrefix="0" xfId="0"/>
    <xf numFmtId="164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vertical="top" wrapText="1"/>
    </xf>
    <xf numFmtId="0" fontId="14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D9E6F5"/>
        </patternFill>
      </fill>
    </dxf>
    <dxf>
      <fill>
        <patternFill>
          <bgColor rgb="FFFCE8D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9E9"/>
      <rgbColor rgb="FFCCFFCC"/>
      <rgbColor rgb="FFFCE8D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I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35" min="1" max="1"/>
    <col width="38" customWidth="1" style="35" min="2" max="2"/>
    <col width="26" customWidth="1" style="35" min="3" max="3"/>
    <col width="16" customWidth="1" style="35" min="4" max="5"/>
    <col width="14" customWidth="1" style="35" min="6" max="6"/>
    <col width="45" customWidth="1" style="35" min="7" max="7"/>
    <col width="13" customWidth="1" style="35" min="8" max="8"/>
    <col width="28" customWidth="1" style="35" min="9" max="9"/>
  </cols>
  <sheetData>
    <row r="2" ht="32.8" customHeight="1" s="36">
      <c r="B2" s="37" t="inlineStr">
        <is>
          <t>대표님 지시 업무 추진 일정(안) — 최종</t>
        </is>
      </c>
      <c r="H2" s="38" t="inlineStr">
        <is>
          <t>공휴일(제외 근무일)</t>
        </is>
      </c>
    </row>
    <row r="3" ht="20.1" customHeight="1" s="36">
      <c r="B3" s="39" t="inlineStr">
        <is>
          <t>AL엔드밀 홈가공 테스트 · 드릴·탭 호닝 후 테스트 · 원통연마 테스트</t>
        </is>
      </c>
      <c r="H3" s="40" t="n">
        <v>46220</v>
      </c>
      <c r="I3" s="41" t="inlineStr">
        <is>
          <t>제헌절 (2026-05-11 재지정, 18년 만)</t>
        </is>
      </c>
    </row>
    <row r="5" ht="38.8" customHeight="1" s="36">
      <c r="B5" s="42" t="inlineStr">
        <is>
          <t>작업</t>
        </is>
      </c>
      <c r="C5" s="42" t="inlineStr">
        <is>
          <t>사용 설비</t>
        </is>
      </c>
      <c r="D5" s="42" t="inlineStr">
        <is>
          <t>시작일</t>
        </is>
      </c>
      <c r="E5" s="42" t="inlineStr">
        <is>
          <t>종료일</t>
        </is>
      </c>
      <c r="F5" s="42" t="inlineStr">
        <is>
          <t>소요기간(영업일)</t>
        </is>
      </c>
      <c r="G5" s="42" t="inlineStr">
        <is>
          <t>비고</t>
        </is>
      </c>
    </row>
    <row r="6" ht="20.1" customHeight="1" s="36">
      <c r="B6" s="43" t="inlineStr">
        <is>
          <t>① AL엔드밀 추가 테스트(홈가공)</t>
        </is>
      </c>
      <c r="C6" s="44" t="inlineStr">
        <is>
          <t>MCT</t>
        </is>
      </c>
      <c r="D6" s="45" t="n">
        <v>46223</v>
      </c>
      <c r="E6" s="45" t="n">
        <v>46227</v>
      </c>
      <c r="F6" s="46">
        <f>NETWORKDAYS(D6,E6,$H$3)</f>
        <v/>
      </c>
      <c r="G6" s="47" t="inlineStr">
        <is>
          <t>MCT 점유: 07-20(셋팅)~07-22(가공)</t>
        </is>
      </c>
    </row>
    <row r="7" ht="20.1" customHeight="1" s="36">
      <c r="B7" s="48" t="inlineStr">
        <is>
          <t>② 드릴·탭 호닝 후 테스트</t>
        </is>
      </c>
      <c r="C7" s="44" t="inlineStr">
        <is>
          <t>MCT</t>
        </is>
      </c>
      <c r="D7" s="45" t="n">
        <v>46230</v>
      </c>
      <c r="E7" s="45" t="n">
        <v>46244</v>
      </c>
      <c r="F7" s="49">
        <f>NETWORKDAYS(D7,E7,$H$3)</f>
        <v/>
      </c>
      <c r="G7" s="50" t="inlineStr">
        <is>
          <t>MCT 점유: 08-04(셋팅)~08-06(가공), ①과 미겹침 [개정 2026-07-24: AL엔드밀(①) 실가공 지연으로 1주 순연, 구 값 07-20~08-03/MCT 07-28~30]</t>
        </is>
      </c>
    </row>
    <row r="8" ht="20.1" customHeight="1" s="36">
      <c r="B8" s="48" t="inlineStr">
        <is>
          <t>③ 원통연마 테스트</t>
        </is>
      </c>
      <c r="C8" s="51" t="inlineStr">
        <is>
          <t>CNC — GX7(G) 권장</t>
        </is>
      </c>
      <c r="D8" s="45" t="n">
        <v>46234</v>
      </c>
      <c r="E8" s="45" t="n">
        <v>46240</v>
      </c>
      <c r="F8" s="46">
        <f>NETWORKDAYS(D8,E8,$H$3)</f>
        <v/>
      </c>
      <c r="G8" s="52" t="inlineStr">
        <is>
          <t>납기 부담 적은 주간 + 저부하 장비(GX7) 배정 [개정 2026-07-24: ① 지연으로 1주 순연, 구 값 07-24~07-30]</t>
        </is>
      </c>
    </row>
    <row r="10" ht="20.1" customHeight="1" s="36">
      <c r="B10" s="53" t="inlineStr">
        <is>
          <t>전체 완료 예상일</t>
        </is>
      </c>
      <c r="C10" s="54">
        <f>MAX(D6:E8)</f>
        <v/>
      </c>
      <c r="D10" s="55" t="inlineStr">
        <is>
          <t>②드릴·탭 호닝 후 테스트가 최장 경로. 2026-07-24 개정: ①AL엔드밀 추가테스트 실가공 지연으로 ②·③을 각 1주(5영업일)씩 순연(구 완료예상일 08-03 → 신규 08-10). ①은 이번 개정 범위 밖(현황 그대로, 실가공 지연 중 — worklog #45 참조).</t>
        </is>
      </c>
    </row>
    <row r="12" ht="20.1" customHeight="1" s="36">
      <c r="B12" s="56" t="inlineStr">
        <is>
          <t>⚠️ 2026-07-17(금) 제헌절이 18년 만에 공휴일로 재지정(2026-05-11 시행) — ①·②의 착수일을 07-17→07-20(월)로 이동.</t>
        </is>
      </c>
    </row>
    <row r="13" ht="20.1" customHeight="1" s="36">
      <c r="B13" s="39" t="inlineStr">
        <is>
          <t>· ①·②는 MCT 1대를 순차 사용 — ①점유 07-20~22, ②점유 07-28~30, 사이 3영업일(07-23·24·27) 여유로 겹치지 않음 (상세: 설비점유타임라인 탭).</t>
        </is>
      </c>
    </row>
    <row r="14" ht="20.1" customHeight="1" s="36">
      <c r="B14" s="39" t="inlineStr">
        <is>
          <t>· ③은 재연마 생산과 동일 계열 CNC 사용, 납기 부담이 적은 07-24~07-30·GX7(G)에 배정(근거: 재연마_월간생산일지 7월 실측 F 44개/일, G 27.75개/일).</t>
        </is>
      </c>
    </row>
    <row r="15" ht="20.1" customHeight="1" s="36">
      <c r="B15" s="39" t="inlineStr">
        <is>
          <t>· 확인 필요: 보림시스템 실제 리드타임(가정값), ①홈가공 세부조건, 착수 직전 납기알림 재확인, GX7(G) 배정 가능 여부.</t>
        </is>
      </c>
    </row>
    <row r="16" ht="20.1" customHeight="1" s="36">
      <c r="B16" s="39" t="inlineStr">
        <is>
          <t>· 신뢰도: 사내 경험값 + 실측 데이터 기반 제안(안). 확정값 아님 — 착수 전 대표님·현장 확인 거쳐 확정 권장.</t>
        </is>
      </c>
    </row>
    <row r="17">
      <c r="B17" s="57" t="inlineStr">
        <is>
          <t>▶ 2026-07-24 개정: ① AL엔드밀 추가 테스트가 07-24 기준 실가공 미착수로 지연됨에 따라, 한경준님 요청으로 ②·③ 일정을 각 1주씩 순연. ①은 그대로 두고 별도 진행 상황 추적.</t>
        </is>
      </c>
    </row>
    <row r="18">
      <c r="B18" s="58" t="inlineStr">
        <is>
          <t xml:space="preserve">  · ② 구: 07-20(발주)~08-03(완료) → 신: 07-27(발주)~08-10(완료)</t>
        </is>
      </c>
    </row>
    <row r="19">
      <c r="B19" s="58" t="inlineStr">
        <is>
          <t xml:space="preserve">  · ③ 구: 07-24~07-30 → 신: 07-31~08-06</t>
        </is>
      </c>
    </row>
    <row r="20">
      <c r="B20" s="58" t="inlineStr">
        <is>
          <t xml:space="preserve">  · MCT 점유 재확인: ①(07-20~22, 변경없음) · ②(08-04~06, 구 07-28~30) — 여유 대폭 확대, 겹침 없음.</t>
        </is>
      </c>
    </row>
  </sheetData>
  <mergeCells count="6">
    <mergeCell ref="B14:H14"/>
    <mergeCell ref="B13:H13"/>
    <mergeCell ref="B12:H12"/>
    <mergeCell ref="B16:H16"/>
    <mergeCell ref="B15:H15"/>
    <mergeCell ref="D10:G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G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35" min="1" max="1"/>
    <col width="13" customWidth="1" style="35" min="2" max="2"/>
    <col width="8" customWidth="1" style="35" min="3" max="3"/>
    <col width="16" customWidth="1" style="35" min="4" max="4"/>
    <col width="26" customWidth="1" style="35" min="5" max="5"/>
    <col width="16" customWidth="1" style="35" min="6" max="6"/>
    <col width="10" customWidth="1" style="35" min="7" max="7"/>
  </cols>
  <sheetData>
    <row r="1" ht="23.1" customHeight="1" s="36">
      <c r="B1" s="59" t="inlineStr">
        <is>
          <t>MCT·CNC 설비 점유 타임라인 (2026-07-20 ~ 2026-08-10) [2026-07-24 개정: ②·③ 1주 순연 반영]</t>
        </is>
      </c>
    </row>
    <row r="3" ht="35.05" customHeight="1" s="36">
      <c r="B3" s="42" t="inlineStr">
        <is>
          <t>일자</t>
        </is>
      </c>
      <c r="C3" s="42" t="inlineStr">
        <is>
          <t>요일</t>
        </is>
      </c>
      <c r="D3" s="60" t="inlineStr">
        <is>
          <t>① MCT(AL엔드밀)</t>
        </is>
      </c>
      <c r="E3" s="60" t="inlineStr">
        <is>
          <t>② MCT(드릴탭호닝)</t>
        </is>
      </c>
      <c r="F3" s="60" t="inlineStr">
        <is>
          <t>③ CNC(원통연마)</t>
        </is>
      </c>
      <c r="G3" s="42" t="inlineStr">
        <is>
          <t>비고</t>
        </is>
      </c>
    </row>
    <row r="4" ht="31.3" customHeight="1" s="36">
      <c r="B4" s="61" t="n">
        <v>46223</v>
      </c>
      <c r="C4" s="62" t="inlineStr">
        <is>
          <t>월</t>
        </is>
      </c>
      <c r="D4" s="63" t="inlineStr">
        <is>
          <t>셋팅</t>
        </is>
      </c>
      <c r="E4" s="63" t="n"/>
      <c r="F4" s="64" t="n"/>
      <c r="G4" s="63" t="n"/>
    </row>
    <row r="5" ht="38.8" customHeight="1" s="36">
      <c r="B5" s="61" t="n">
        <v>46224</v>
      </c>
      <c r="C5" s="62" t="inlineStr">
        <is>
          <t>화</t>
        </is>
      </c>
      <c r="D5" s="63" t="inlineStr">
        <is>
          <t>가공위치확인</t>
        </is>
      </c>
      <c r="E5" s="63" t="n"/>
      <c r="F5" s="64" t="n"/>
      <c r="G5" s="63" t="n"/>
    </row>
    <row r="6" ht="38.8" customHeight="1" s="36">
      <c r="B6" s="61" t="n">
        <v>46225</v>
      </c>
      <c r="C6" s="62" t="inlineStr">
        <is>
          <t>수</t>
        </is>
      </c>
      <c r="D6" s="63" t="inlineStr">
        <is>
          <t>실제가공</t>
        </is>
      </c>
      <c r="E6" s="63" t="n"/>
      <c r="F6" s="64" t="n"/>
      <c r="G6" s="63" t="n"/>
    </row>
    <row r="7" ht="38.8" customHeight="1" s="36">
      <c r="B7" s="61" t="n">
        <v>46226</v>
      </c>
      <c r="C7" s="62" t="inlineStr">
        <is>
          <t>목</t>
        </is>
      </c>
      <c r="D7" s="63" t="inlineStr">
        <is>
          <t>사후확인</t>
        </is>
      </c>
      <c r="E7" s="63" t="n"/>
      <c r="F7" s="64" t="n"/>
      <c r="G7" s="63" t="n"/>
    </row>
    <row r="8" ht="38.8" customHeight="1" s="36">
      <c r="B8" s="61" t="n">
        <v>46227</v>
      </c>
      <c r="C8" s="62" t="inlineStr">
        <is>
          <t>금</t>
        </is>
      </c>
      <c r="D8" s="63" t="inlineStr">
        <is>
          <t>보고서</t>
        </is>
      </c>
      <c r="E8" s="63" t="n"/>
      <c r="F8" s="63" t="n"/>
      <c r="G8" s="63" t="n"/>
    </row>
    <row r="9" ht="38.8" customHeight="1" s="36">
      <c r="B9" s="65" t="n">
        <v>46228</v>
      </c>
      <c r="C9" s="66" t="inlineStr">
        <is>
          <t>토</t>
        </is>
      </c>
      <c r="D9" s="67" t="n"/>
      <c r="E9" s="68" t="n"/>
      <c r="F9" s="67" t="n"/>
      <c r="G9" s="68" t="inlineStr">
        <is>
          <t>주말</t>
        </is>
      </c>
    </row>
    <row r="10" ht="38.8" customHeight="1" s="36">
      <c r="B10" s="65" t="n">
        <v>46229</v>
      </c>
      <c r="C10" s="66" t="inlineStr">
        <is>
          <t>일</t>
        </is>
      </c>
      <c r="D10" s="67" t="n"/>
      <c r="E10" s="68" t="n"/>
      <c r="F10" s="67" t="n"/>
      <c r="G10" s="68" t="inlineStr">
        <is>
          <t>주말</t>
        </is>
      </c>
    </row>
    <row r="11" ht="38.8" customHeight="1" s="36">
      <c r="B11" s="61" t="n">
        <v>46230</v>
      </c>
      <c r="C11" s="62" t="inlineStr">
        <is>
          <t>월</t>
        </is>
      </c>
      <c r="D11" s="63" t="n"/>
      <c r="E11" s="63" t="inlineStr">
        <is>
          <t>발주(외주)</t>
        </is>
      </c>
      <c r="F11" s="63" t="n"/>
      <c r="G11" s="63" t="n"/>
    </row>
    <row r="12" ht="31.3" customHeight="1" s="36">
      <c r="B12" s="61" t="n">
        <v>46231</v>
      </c>
      <c r="C12" s="62" t="inlineStr">
        <is>
          <t>화</t>
        </is>
      </c>
      <c r="D12" s="63" t="n"/>
      <c r="E12" s="63" t="inlineStr">
        <is>
          <t>외주호닝(보림시스템, MCT 미사용)</t>
        </is>
      </c>
      <c r="F12" s="63" t="n"/>
      <c r="G12" s="63" t="n"/>
    </row>
    <row r="13" ht="31.3" customHeight="1" s="36">
      <c r="B13" s="61" t="n">
        <v>46232</v>
      </c>
      <c r="C13" s="62" t="inlineStr">
        <is>
          <t>수</t>
        </is>
      </c>
      <c r="D13" s="63" t="n"/>
      <c r="E13" s="63" t="inlineStr">
        <is>
          <t>외주호닝(보림시스템, MCT 미사용)</t>
        </is>
      </c>
      <c r="F13" s="63" t="n"/>
      <c r="G13" s="63" t="n"/>
    </row>
    <row r="14" ht="31.3" customHeight="1" s="36">
      <c r="B14" s="61" t="n">
        <v>46233</v>
      </c>
      <c r="C14" s="62" t="inlineStr">
        <is>
          <t>목</t>
        </is>
      </c>
      <c r="D14" s="63" t="n"/>
      <c r="E14" s="63" t="inlineStr">
        <is>
          <t>외주호닝(보림시스템, MCT 미사용)</t>
        </is>
      </c>
      <c r="F14" s="63" t="n"/>
      <c r="G14" s="63" t="n"/>
    </row>
    <row r="15" ht="31.3" customHeight="1" s="36">
      <c r="B15" s="61" t="n">
        <v>46234</v>
      </c>
      <c r="C15" s="62" t="inlineStr">
        <is>
          <t>금</t>
        </is>
      </c>
      <c r="D15" s="63" t="n"/>
      <c r="E15" s="63" t="inlineStr">
        <is>
          <t>외주호닝(보림시스템, MCT 미사용)</t>
        </is>
      </c>
      <c r="F15" s="63" t="inlineStr">
        <is>
          <t>휠결합·측정</t>
        </is>
      </c>
      <c r="G15" s="63" t="n"/>
    </row>
    <row r="16" ht="31.3" customHeight="1" s="36">
      <c r="B16" s="65" t="n">
        <v>46235</v>
      </c>
      <c r="C16" s="66" t="inlineStr">
        <is>
          <t>토</t>
        </is>
      </c>
      <c r="D16" s="67" t="n"/>
      <c r="E16" s="68" t="n"/>
      <c r="F16" s="67" t="n"/>
      <c r="G16" s="68" t="inlineStr">
        <is>
          <t>주말</t>
        </is>
      </c>
    </row>
    <row r="17" ht="31.3" customHeight="1" s="36">
      <c r="B17" s="65" t="n">
        <v>46236</v>
      </c>
      <c r="C17" s="66" t="inlineStr">
        <is>
          <t>일</t>
        </is>
      </c>
      <c r="D17" s="67" t="n"/>
      <c r="E17" s="68" t="n"/>
      <c r="F17" s="67" t="n"/>
      <c r="G17" s="68" t="inlineStr">
        <is>
          <t>주말</t>
        </is>
      </c>
    </row>
    <row r="18" ht="31.3" customHeight="1" s="36">
      <c r="B18" s="61" t="n">
        <v>46237</v>
      </c>
      <c r="C18" s="62" t="inlineStr">
        <is>
          <t>월</t>
        </is>
      </c>
      <c r="D18" s="63" t="n"/>
      <c r="E18" s="63" t="inlineStr">
        <is>
          <t>외주호닝(보림시스템, MCT 미사용)</t>
        </is>
      </c>
      <c r="F18" s="63" t="inlineStr">
        <is>
          <t>프로그램제작</t>
        </is>
      </c>
      <c r="G18" s="63" t="n"/>
    </row>
    <row r="19">
      <c r="B19" s="69" t="n">
        <v>46238</v>
      </c>
      <c r="C19" s="70" t="inlineStr">
        <is>
          <t>화</t>
        </is>
      </c>
      <c r="E19" s="71" t="inlineStr">
        <is>
          <t>셋팅</t>
        </is>
      </c>
      <c r="F19" s="71" t="inlineStr">
        <is>
          <t>가공위치확인</t>
        </is>
      </c>
    </row>
    <row r="20" ht="20.1" customHeight="1" s="36">
      <c r="B20" s="72" t="n">
        <v>46239</v>
      </c>
      <c r="C20" s="70" t="inlineStr">
        <is>
          <t>수</t>
        </is>
      </c>
      <c r="E20" s="71" t="inlineStr">
        <is>
          <t>가공위치확인</t>
        </is>
      </c>
      <c r="F20" s="71" t="inlineStr">
        <is>
          <t>실제가공</t>
        </is>
      </c>
    </row>
    <row r="21">
      <c r="B21" s="69" t="n">
        <v>46240</v>
      </c>
      <c r="C21" s="70" t="inlineStr">
        <is>
          <t>목</t>
        </is>
      </c>
      <c r="E21" s="71" t="inlineStr">
        <is>
          <t>실제가공</t>
        </is>
      </c>
      <c r="F21" s="71" t="inlineStr">
        <is>
          <t>보고서</t>
        </is>
      </c>
    </row>
    <row r="22">
      <c r="B22" s="69" t="n">
        <v>46241</v>
      </c>
      <c r="C22" s="70" t="inlineStr">
        <is>
          <t>금</t>
        </is>
      </c>
      <c r="E22" s="71" t="inlineStr">
        <is>
          <t>사후확인</t>
        </is>
      </c>
    </row>
    <row r="23">
      <c r="B23" s="69" t="n">
        <v>46242</v>
      </c>
      <c r="C23" s="70" t="inlineStr">
        <is>
          <t>토</t>
        </is>
      </c>
      <c r="G23" s="71" t="inlineStr">
        <is>
          <t>주말</t>
        </is>
      </c>
    </row>
    <row r="24">
      <c r="B24" s="69" t="n">
        <v>46243</v>
      </c>
      <c r="C24" s="70" t="inlineStr">
        <is>
          <t>일</t>
        </is>
      </c>
      <c r="G24" s="71" t="inlineStr">
        <is>
          <t>주말</t>
        </is>
      </c>
    </row>
    <row r="25">
      <c r="B25" s="69" t="n">
        <v>46244</v>
      </c>
      <c r="C25" s="70" t="inlineStr">
        <is>
          <t>월</t>
        </is>
      </c>
      <c r="E25" s="71" t="inlineStr">
        <is>
          <t>보고서</t>
        </is>
      </c>
    </row>
    <row r="27">
      <c r="B27" s="73" t="inlineStr">
        <is>
          <t>①(07-20~22, 변경없음)·②(08-04~06, 구 07-28~30에서 1주 순연)·③(07-31~08-06, 구 07-24~30에서 1주 순연). ①·② MCT 겹침 없음(여유 대폭 확대). ②의 07-27~08-03 외주호닝 구간은 MCT 미사용. 2026-07-24 개정: ①AL엔드밀 실가공 지연으로 ②·③ 각 1주 순연(한경준님 요청).</t>
        </is>
      </c>
    </row>
  </sheetData>
  <mergeCells count="1">
    <mergeCell ref="B27:G27"/>
  </mergeCells>
  <conditionalFormatting sqref="D4:D18">
    <cfRule type="expression" rank="0" priority="2" equalAverage="0" aboveAverage="0" dxfId="0" text="" percent="0" bottom="0">
      <formula>D4&lt;&gt;""</formula>
    </cfRule>
  </conditionalFormatting>
  <conditionalFormatting sqref="E4:E18">
    <cfRule type="expression" rank="0" priority="3" equalAverage="0" aboveAverage="0" dxfId="0" text="" percent="0" bottom="0">
      <formula>AND(E4&lt;&gt;"",ISNUMBER(SEARCH("셋팅",E4))+ISNUMBER(SEARCH("가공",E4))+ISNUMBER(SEARCH("사후",E4))+ISNUMBER(SEARCH("보고서",E4))&gt;0)</formula>
    </cfRule>
  </conditionalFormatting>
  <conditionalFormatting sqref="F4:F18">
    <cfRule type="expression" rank="0" priority="4" equalAverage="0" aboveAverage="0" dxfId="1" text="" percent="0" bottom="0">
      <formula>F4&lt;&gt;""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D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35" min="1" max="1"/>
    <col width="20" customWidth="1" style="35" min="2" max="2"/>
    <col width="45" customWidth="1" style="35" min="3" max="3"/>
    <col width="16" customWidth="1" style="35" min="4" max="4"/>
  </cols>
  <sheetData>
    <row r="1" ht="23.1" customHeight="1" s="36">
      <c r="B1" s="59" t="inlineStr">
        <is>
          <t>① AL엔드밀 추가 테스트(홈가공) — 5영업일</t>
        </is>
      </c>
    </row>
    <row r="2" ht="20.1" customHeight="1" s="36">
      <c r="B2" s="39" t="inlineStr">
        <is>
          <t>07-20(월)~07-24(금), MCT 사용</t>
        </is>
      </c>
    </row>
    <row r="4" ht="35.05" customHeight="1" s="36">
      <c r="B4" s="42" t="inlineStr">
        <is>
          <t>일자</t>
        </is>
      </c>
      <c r="C4" s="42" t="inlineStr">
        <is>
          <t>진행 단계</t>
        </is>
      </c>
      <c r="D4" s="60" t="inlineStr">
        <is>
          <t>MCT/CNC 점유</t>
        </is>
      </c>
    </row>
    <row r="5" ht="57.45" customHeight="1" s="36">
      <c r="B5" s="46" t="inlineStr">
        <is>
          <t>07-20(월)</t>
        </is>
      </c>
      <c r="C5" s="74" t="inlineStr">
        <is>
          <t>1. 코드 작성
2. 제품 형상 확인 및 사진 촬영
3. MCT 피삭재·공구 셋팅</t>
        </is>
      </c>
      <c r="D5" s="75" t="inlineStr">
        <is>
          <t>MCT</t>
        </is>
      </c>
    </row>
    <row r="6" ht="20.1" customHeight="1" s="36">
      <c r="B6" s="46" t="inlineStr">
        <is>
          <t>07-21(화)</t>
        </is>
      </c>
      <c r="C6" s="74" t="inlineStr">
        <is>
          <t>4. 가공 위치 확인</t>
        </is>
      </c>
      <c r="D6" s="75" t="inlineStr">
        <is>
          <t>MCT</t>
        </is>
      </c>
    </row>
    <row r="7" ht="20.1" customHeight="1" s="36">
      <c r="B7" s="46" t="inlineStr">
        <is>
          <t>07-22(수)</t>
        </is>
      </c>
      <c r="C7" s="74" t="inlineStr">
        <is>
          <t>5. 실제 가공</t>
        </is>
      </c>
      <c r="D7" s="75" t="inlineStr">
        <is>
          <t>MCT</t>
        </is>
      </c>
    </row>
    <row r="8" ht="20.1" customHeight="1" s="36">
      <c r="B8" s="46" t="inlineStr">
        <is>
          <t>07-23(목)</t>
        </is>
      </c>
      <c r="C8" s="74" t="inlineStr">
        <is>
          <t>6. 가공 후 형상 확인 및 사진 촬영</t>
        </is>
      </c>
      <c r="D8" s="46" t="n"/>
    </row>
    <row r="9" ht="20.1" customHeight="1" s="36">
      <c r="B9" s="46" t="inlineStr">
        <is>
          <t>07-24(금)</t>
        </is>
      </c>
      <c r="C9" s="74" t="inlineStr">
        <is>
          <t>7. 보고서 작성</t>
        </is>
      </c>
      <c r="D9" s="46" t="n"/>
    </row>
    <row r="11" ht="20.1" customHeight="1" s="36">
      <c r="B11" s="41" t="inlineStr">
        <is>
          <t>확인 필요: 홈가공 세부조건(소재·공구사양·목표 Ra) 지정</t>
        </is>
      </c>
    </row>
  </sheetData>
  <mergeCells count="1">
    <mergeCell ref="B11:D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35" min="1" max="1"/>
    <col width="20" customWidth="1" style="35" min="2" max="2"/>
    <col width="45" customWidth="1" style="35" min="3" max="3"/>
    <col width="16" customWidth="1" style="35" min="4" max="4"/>
  </cols>
  <sheetData>
    <row r="1" ht="23.1" customHeight="1" s="36">
      <c r="B1" s="76" t="inlineStr">
        <is>
          <t>② 드릴·탭 호닝 후 테스트 — 11영업일</t>
        </is>
      </c>
    </row>
    <row r="2" ht="20.1" customHeight="1" s="36">
      <c r="B2" s="39" t="inlineStr">
        <is>
          <t>07-27(월)~08-10(월), MCT 사용 + 외주(보림시스템) 호닝 포함 [2026-07-24 개정: 구 07-20~08-03에서 1주 순연]</t>
        </is>
      </c>
    </row>
    <row r="4" ht="35.05" customHeight="1" s="36">
      <c r="B4" s="42" t="inlineStr">
        <is>
          <t>일자</t>
        </is>
      </c>
      <c r="C4" s="42" t="inlineStr">
        <is>
          <t>진행 단계</t>
        </is>
      </c>
      <c r="D4" s="60" t="inlineStr">
        <is>
          <t>MCT/CNC 점유</t>
        </is>
      </c>
    </row>
    <row r="5" ht="38.8" customHeight="1" s="36">
      <c r="B5" s="46" t="inlineStr">
        <is>
          <t>07-27(월)</t>
        </is>
      </c>
      <c r="C5" s="77" t="inlineStr">
        <is>
          <t>호닝 대상 드릴·탭 규격 선정, 보림시스템 발주(사전 준비)</t>
        </is>
      </c>
      <c r="D5" s="46" t="n"/>
    </row>
    <row r="6" ht="38.8" customHeight="1" s="36">
      <c r="B6" s="46" t="inlineStr">
        <is>
          <t>07-28(화)~08-03(월)</t>
        </is>
      </c>
      <c r="C6" s="74" t="inlineStr">
        <is>
          <t>1. 제품 호닝 진행 (외주, 보림시스템 — 리드타임 5영업일 가정값, 확인 필요)</t>
        </is>
      </c>
      <c r="D6" s="46" t="n"/>
    </row>
    <row r="7" ht="57.45" customHeight="1" s="36">
      <c r="B7" s="46" t="inlineStr">
        <is>
          <t>08-04(화)</t>
        </is>
      </c>
      <c r="C7" s="74" t="inlineStr">
        <is>
          <t>2. 제품 형상 확인, 사진 촬영
3. 코드 작성
4. MCT 피삭재 및 공구 셋팅</t>
        </is>
      </c>
      <c r="D7" s="75" t="inlineStr">
        <is>
          <t>MCT</t>
        </is>
      </c>
    </row>
    <row r="8" ht="20.1" customHeight="1" s="36">
      <c r="B8" s="46" t="inlineStr">
        <is>
          <t>08-05(수)</t>
        </is>
      </c>
      <c r="C8" s="74" t="inlineStr">
        <is>
          <t>5. 가공 위치 확인</t>
        </is>
      </c>
      <c r="D8" s="75" t="inlineStr">
        <is>
          <t>MCT</t>
        </is>
      </c>
    </row>
    <row r="9" ht="20.1" customHeight="1" s="36">
      <c r="B9" s="46" t="inlineStr">
        <is>
          <t>08-06(목)</t>
        </is>
      </c>
      <c r="C9" s="74" t="inlineStr">
        <is>
          <t>6. 실제 가공</t>
        </is>
      </c>
      <c r="D9" s="75" t="inlineStr">
        <is>
          <t>MCT</t>
        </is>
      </c>
    </row>
    <row r="10" ht="20.1" customHeight="1" s="36">
      <c r="B10" s="46" t="inlineStr">
        <is>
          <t>08-07(금)</t>
        </is>
      </c>
      <c r="C10" s="74" t="inlineStr">
        <is>
          <t>7. 가공 후 형상 확인, 사진 촬영</t>
        </is>
      </c>
      <c r="D10" s="46" t="n"/>
    </row>
    <row r="11" ht="20.1" customHeight="1" s="36">
      <c r="B11" s="46" t="inlineStr">
        <is>
          <t>08-10(월)</t>
        </is>
      </c>
      <c r="C11" s="74" t="inlineStr">
        <is>
          <t>8. 보고서 작성</t>
        </is>
      </c>
      <c r="D11" s="46" t="n"/>
    </row>
    <row r="13" ht="20.1" customHeight="1" s="36">
      <c r="B13" s="41" t="inlineStr">
        <is>
          <t>근거: ①과 동일 유형(7단계)이 5영업일 소요된 선례에 맞춰 내부 단계도 동일 페이스로 재산정(기존안 4영업일 대비 1일 연장). 확인 필요: 보림시스템 실제 리드타임, 호닝 사양(R값 등). [2026-07-24 개정: ①AL엔드밀 실가공 지연으로 전체 1주 순연, 구 일정 07-20~08-03]</t>
        </is>
      </c>
    </row>
  </sheetData>
  <mergeCells count="1">
    <mergeCell ref="B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D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35" min="1" max="1"/>
    <col width="20" customWidth="1" style="35" min="2" max="2"/>
    <col width="45" customWidth="1" style="35" min="3" max="3"/>
    <col width="16" customWidth="1" style="35" min="4" max="4"/>
  </cols>
  <sheetData>
    <row r="1" ht="23.1" customHeight="1" s="36">
      <c r="B1" s="76" t="inlineStr">
        <is>
          <t>③ 원통연마 테스트 — 5영업일</t>
        </is>
      </c>
    </row>
    <row r="2" ht="20.1" customHeight="1" s="36">
      <c r="B2" s="39" t="inlineStr">
        <is>
          <t>07-31(금)~08-06(목), CNC 사용(GX7(G) 권장) [2026-07-24 개정: 구 07-24~07-30에서 1주 순연]</t>
        </is>
      </c>
    </row>
    <row r="4" ht="35.05" customHeight="1" s="36">
      <c r="B4" s="42" t="inlineStr">
        <is>
          <t>일자</t>
        </is>
      </c>
      <c r="C4" s="42" t="inlineStr">
        <is>
          <t>진행 단계</t>
        </is>
      </c>
      <c r="D4" s="60" t="inlineStr">
        <is>
          <t>MCT/CNC 점유</t>
        </is>
      </c>
    </row>
    <row r="5" ht="20.1" customHeight="1" s="36">
      <c r="B5" s="46" t="inlineStr">
        <is>
          <t>07-31(금)</t>
        </is>
      </c>
      <c r="C5" s="74" t="inlineStr">
        <is>
          <t>1. 휠 결합 및 측정</t>
        </is>
      </c>
      <c r="D5" s="75" t="inlineStr">
        <is>
          <t>CNC</t>
        </is>
      </c>
    </row>
    <row r="6" ht="20.1" customHeight="1" s="36">
      <c r="B6" s="46" t="inlineStr">
        <is>
          <t>08-03(월)</t>
        </is>
      </c>
      <c r="C6" s="74" t="inlineStr">
        <is>
          <t>2. 가공 프로그램 수치 제어 및 제작</t>
        </is>
      </c>
      <c r="D6" s="46" t="n"/>
    </row>
    <row r="7" ht="20.1" customHeight="1" s="36">
      <c r="B7" s="46" t="inlineStr">
        <is>
          <t>08-04(화)</t>
        </is>
      </c>
      <c r="C7" s="74" t="inlineStr">
        <is>
          <t>3. 가공 위치 확인</t>
        </is>
      </c>
      <c r="D7" s="75" t="inlineStr">
        <is>
          <t>CNC</t>
        </is>
      </c>
    </row>
    <row r="8" ht="20.1" customHeight="1" s="36">
      <c r="B8" s="46" t="inlineStr">
        <is>
          <t>08-05(수)</t>
        </is>
      </c>
      <c r="C8" s="74" t="inlineStr">
        <is>
          <t>4. 실제 가공</t>
        </is>
      </c>
      <c r="D8" s="75" t="inlineStr">
        <is>
          <t>CNC</t>
        </is>
      </c>
    </row>
    <row r="9" ht="20.1" customHeight="1" s="36">
      <c r="B9" s="46" t="inlineStr">
        <is>
          <t>08-06(목)</t>
        </is>
      </c>
      <c r="C9" s="74" t="inlineStr">
        <is>
          <t>5. 보고서 작성</t>
        </is>
      </c>
      <c r="D9" s="46" t="n"/>
    </row>
    <row r="11" ht="20.1" customHeight="1" s="36">
      <c r="B11" s="41" t="inlineStr">
        <is>
          <t>근거: 납기알림_20260716.xlsx 확인 결과 07-17~07-23 구간 납기 부담 집중 → CNC 구간을 07-24 이후로 배치. 재연마_월간생산일지(7월) 실측 기준 GX7(G) 27.75개/일로 F(44개/일) 대비 여유 있어 배정 제안. [2026-07-24 개정: ①AL엔드밀 실가공 지연으로 1주 순연, 구 일정 07-24~07-30]</t>
        </is>
      </c>
    </row>
  </sheetData>
  <mergeCells count="1">
    <mergeCell ref="B11:D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2026-07-16T06:48:42Z</dcterms:created>
  <dcterms:modified xmlns:dcterms="http://purl.org/dc/terms/" xmlns:xsi="http://www.w3.org/2001/XMLSchema-instance" xsi:type="dcterms:W3CDTF">2026-07-23T23:32:39Z</dcterms:modified>
  <cp:revision>0</cp:revision>
</cp:coreProperties>
</file>