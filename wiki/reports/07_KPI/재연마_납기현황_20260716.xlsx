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일자별집계" sheetId="2" state="visible" r:id="rId4"/>
    <sheet name="원본데이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<sst xmlns="http://schemas.openxmlformats.org/spreadsheetml/2006/main" count="508" uniqueCount="299">
  <si>
    <t xml:space="preserve">재연마수주 납기 현황 보고</t>
  </si>
  <si>
    <t xml:space="preserve">기준일</t>
  </si>
  <si>
    <r>
      <rPr>
        <i val="true"/>
        <sz val="13"/>
        <color rgb="FF666666"/>
        <rFont val="맑은 고딕"/>
        <family val="0"/>
        <charset val="1"/>
      </rPr>
      <t xml:space="preserve">(ERP 09:00 </t>
    </r>
    <r>
      <rPr>
        <i val="true"/>
        <sz val="13"/>
        <color rgb="FF666666"/>
        <rFont val="Noto Sans CJK SC"/>
        <family val="2"/>
      </rPr>
      <t xml:space="preserve">자동 갱신 파일 기준</t>
    </r>
    <r>
      <rPr>
        <i val="true"/>
        <sz val="13"/>
        <color rgb="FF666666"/>
        <rFont val="맑은 고딕"/>
        <family val="0"/>
        <charset val="1"/>
      </rPr>
      <t xml:space="preserve">, </t>
    </r>
    <r>
      <rPr>
        <i val="true"/>
        <sz val="13"/>
        <color rgb="FF666666"/>
        <rFont val="Noto Sans CJK SC"/>
        <family val="2"/>
      </rPr>
      <t xml:space="preserve">입력값</t>
    </r>
    <r>
      <rPr>
        <i val="true"/>
        <sz val="13"/>
        <color rgb="FF666666"/>
        <rFont val="맑은 고딕"/>
        <family val="0"/>
        <charset val="1"/>
      </rPr>
      <t xml:space="preserve">)</t>
    </r>
  </si>
  <si>
    <t xml:space="preserve">구분</t>
  </si>
  <si>
    <t xml:space="preserve">값</t>
  </si>
  <si>
    <t xml:space="preserve">단위</t>
  </si>
  <si>
    <t xml:space="preserve">총 수주 건수</t>
  </si>
  <si>
    <t xml:space="preserve">건</t>
  </si>
  <si>
    <t xml:space="preserve">총 수주수량</t>
  </si>
  <si>
    <t xml:space="preserve">개</t>
  </si>
  <si>
    <t xml:space="preserve">총 출고수량</t>
  </si>
  <si>
    <t xml:space="preserve">총 미출고 잔량</t>
  </si>
  <si>
    <r>
      <rPr>
        <sz val="13"/>
        <rFont val="Noto Sans CJK SC"/>
        <family val="2"/>
      </rPr>
      <t xml:space="preserve">연체 건수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기준일 이전 납기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미출고</t>
    </r>
    <r>
      <rPr>
        <sz val="13"/>
        <rFont val="맑은 고딕"/>
        <family val="0"/>
        <charset val="1"/>
      </rPr>
      <t xml:space="preserve">)</t>
    </r>
  </si>
  <si>
    <t xml:space="preserve">연체 잔량</t>
  </si>
  <si>
    <t xml:space="preserve">상태코드별 요약</t>
  </si>
  <si>
    <t xml:space="preserve">상태코드</t>
  </si>
  <si>
    <t xml:space="preserve">상태명</t>
  </si>
  <si>
    <t xml:space="preserve">건수</t>
  </si>
  <si>
    <t xml:space="preserve">수주수량</t>
  </si>
  <si>
    <t xml:space="preserve">출고수량</t>
  </si>
  <si>
    <t xml:space="preserve">잔량</t>
  </si>
  <si>
    <t xml:space="preserve">SD200000</t>
  </si>
  <si>
    <r>
      <rPr>
        <sz val="13"/>
        <rFont val="Noto Sans CJK SC"/>
        <family val="2"/>
      </rPr>
      <t xml:space="preserve">미착수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신규접수</t>
    </r>
    <r>
      <rPr>
        <sz val="13"/>
        <rFont val="맑은 고딕"/>
        <family val="0"/>
        <charset val="1"/>
      </rPr>
      <t xml:space="preserve">)</t>
    </r>
  </si>
  <si>
    <t xml:space="preserve">SD200100</t>
  </si>
  <si>
    <t xml:space="preserve">진행중</t>
  </si>
  <si>
    <t xml:space="preserve">SD200300</t>
  </si>
  <si>
    <t xml:space="preserve">부분출고</t>
  </si>
  <si>
    <t xml:space="preserve">SD200500</t>
  </si>
  <si>
    <t xml:space="preserve">출고완료</t>
  </si>
  <si>
    <r>
      <rPr>
        <i val="true"/>
        <sz val="13"/>
        <color rgb="FF666666"/>
        <rFont val="Noto Sans CJK SC"/>
        <family val="2"/>
      </rPr>
      <t xml:space="preserve">근거</t>
    </r>
    <r>
      <rPr>
        <i val="true"/>
        <sz val="13"/>
        <color rgb="FF666666"/>
        <rFont val="맑은 고딕"/>
        <family val="0"/>
        <charset val="1"/>
      </rPr>
      <t xml:space="preserve">: </t>
    </r>
    <r>
      <rPr>
        <i val="true"/>
        <sz val="13"/>
        <color rgb="FF666666"/>
        <rFont val="Noto Sans CJK SC"/>
        <family val="2"/>
      </rPr>
      <t xml:space="preserve">미착수</t>
    </r>
    <r>
      <rPr>
        <i val="true"/>
        <sz val="13"/>
        <color rgb="FF666666"/>
        <rFont val="맑은 고딕"/>
        <family val="0"/>
        <charset val="1"/>
      </rPr>
      <t xml:space="preserve">(SD200000)·</t>
    </r>
    <r>
      <rPr>
        <i val="true"/>
        <sz val="13"/>
        <color rgb="FF666666"/>
        <rFont val="Noto Sans CJK SC"/>
        <family val="2"/>
      </rPr>
      <t xml:space="preserve">진행중</t>
    </r>
    <r>
      <rPr>
        <i val="true"/>
        <sz val="13"/>
        <color rgb="FF666666"/>
        <rFont val="맑은 고딕"/>
        <family val="0"/>
        <charset val="1"/>
      </rPr>
      <t xml:space="preserve">(SD200100)·</t>
    </r>
    <r>
      <rPr>
        <i val="true"/>
        <sz val="13"/>
        <color rgb="FF666666"/>
        <rFont val="Noto Sans CJK SC"/>
        <family val="2"/>
      </rPr>
      <t xml:space="preserve">부분출고</t>
    </r>
    <r>
      <rPr>
        <i val="true"/>
        <sz val="13"/>
        <color rgb="FF666666"/>
        <rFont val="맑은 고딕"/>
        <family val="0"/>
        <charset val="1"/>
      </rPr>
      <t xml:space="preserve">(SD200300) 3</t>
    </r>
    <r>
      <rPr>
        <i val="true"/>
        <sz val="13"/>
        <color rgb="FF666666"/>
        <rFont val="Noto Sans CJK SC"/>
        <family val="2"/>
      </rPr>
      <t xml:space="preserve">개 상태는 실제 미출고 잔량이 남아 있음</t>
    </r>
    <r>
      <rPr>
        <i val="true"/>
        <sz val="13"/>
        <color rgb="FF666666"/>
        <rFont val="맑은 고딕"/>
        <family val="0"/>
        <charset val="1"/>
      </rPr>
      <t xml:space="preserve">. </t>
    </r>
    <r>
      <rPr>
        <i val="true"/>
        <sz val="13"/>
        <color rgb="FF666666"/>
        <rFont val="Noto Sans CJK SC"/>
        <family val="2"/>
      </rPr>
      <t xml:space="preserve">출고완료</t>
    </r>
    <r>
      <rPr>
        <i val="true"/>
        <sz val="13"/>
        <color rgb="FF666666"/>
        <rFont val="맑은 고딕"/>
        <family val="0"/>
        <charset val="1"/>
      </rPr>
      <t xml:space="preserve">(SD200500)</t>
    </r>
    <r>
      <rPr>
        <i val="true"/>
        <sz val="13"/>
        <color rgb="FF666666"/>
        <rFont val="Noto Sans CJK SC"/>
        <family val="2"/>
      </rPr>
      <t xml:space="preserve">는 잔량이 </t>
    </r>
    <r>
      <rPr>
        <i val="true"/>
        <sz val="13"/>
        <color rgb="FF666666"/>
        <rFont val="맑은 고딕"/>
        <family val="0"/>
        <charset val="1"/>
      </rPr>
      <t xml:space="preserve">0</t>
    </r>
    <r>
      <rPr>
        <i val="true"/>
        <sz val="13"/>
        <color rgb="FF666666"/>
        <rFont val="Noto Sans CJK SC"/>
        <family val="2"/>
      </rPr>
      <t xml:space="preserve">에 수렴</t>
    </r>
    <r>
      <rPr>
        <i val="true"/>
        <sz val="13"/>
        <color rgb="FF666666"/>
        <rFont val="맑은 고딕"/>
        <family val="0"/>
        <charset val="1"/>
      </rPr>
      <t xml:space="preserve">(</t>
    </r>
    <r>
      <rPr>
        <i val="true"/>
        <sz val="13"/>
        <color rgb="FF666666"/>
        <rFont val="Noto Sans CJK SC"/>
        <family val="2"/>
      </rPr>
      <t xml:space="preserve">반올림 오차 제외</t>
    </r>
    <r>
      <rPr>
        <i val="true"/>
        <sz val="13"/>
        <color rgb="FF666666"/>
        <rFont val="맑은 고딕"/>
        <family val="0"/>
        <charset val="1"/>
      </rPr>
      <t xml:space="preserve">) — </t>
    </r>
    <r>
      <rPr>
        <i val="true"/>
        <sz val="13"/>
        <color rgb="FF666666"/>
        <rFont val="Noto Sans CJK SC"/>
        <family val="2"/>
      </rPr>
      <t xml:space="preserve">사실상 종결</t>
    </r>
    <r>
      <rPr>
        <i val="true"/>
        <sz val="13"/>
        <color rgb="FF666666"/>
        <rFont val="맑은 고딕"/>
        <family val="0"/>
        <charset val="1"/>
      </rPr>
      <t xml:space="preserve">.</t>
    </r>
  </si>
  <si>
    <r>
      <rPr>
        <i val="true"/>
        <sz val="13"/>
        <color rgb="FFC00000"/>
        <rFont val="Noto Sans CJK SC"/>
        <family val="2"/>
      </rPr>
      <t xml:space="preserve">신뢰도</t>
    </r>
    <r>
      <rPr>
        <i val="true"/>
        <sz val="13"/>
        <color rgb="FFC00000"/>
        <rFont val="맑은 고딕"/>
        <family val="0"/>
        <charset val="1"/>
      </rPr>
      <t xml:space="preserve">: </t>
    </r>
    <r>
      <rPr>
        <i val="true"/>
        <sz val="13"/>
        <color rgb="FFC00000"/>
        <rFont val="Noto Sans CJK SC"/>
        <family val="2"/>
      </rPr>
      <t xml:space="preserve">실측 검증</t>
    </r>
    <r>
      <rPr>
        <i val="true"/>
        <sz val="13"/>
        <color rgb="FFC00000"/>
        <rFont val="맑은 고딕"/>
        <family val="0"/>
        <charset val="1"/>
      </rPr>
      <t xml:space="preserve">(ERP </t>
    </r>
    <r>
      <rPr>
        <i val="true"/>
        <sz val="13"/>
        <color rgb="FFC00000"/>
        <rFont val="Noto Sans CJK SC"/>
        <family val="2"/>
      </rPr>
      <t xml:space="preserve">원본 데이터 직접 계산</t>
    </r>
    <r>
      <rPr>
        <i val="true"/>
        <sz val="13"/>
        <color rgb="FFC00000"/>
        <rFont val="맑은 고딕"/>
        <family val="0"/>
        <charset val="1"/>
      </rPr>
      <t xml:space="preserve">). daily_dlv_alert.py</t>
    </r>
    <r>
      <rPr>
        <i val="true"/>
        <sz val="13"/>
        <color rgb="FFC00000"/>
        <rFont val="Noto Sans CJK SC"/>
        <family val="2"/>
      </rPr>
      <t xml:space="preserve">의 완료 제외 필터</t>
    </r>
    <r>
      <rPr>
        <i val="true"/>
        <sz val="13"/>
        <color rgb="FFC00000"/>
        <rFont val="맑은 고딕"/>
        <family val="0"/>
        <charset val="1"/>
      </rPr>
      <t xml:space="preserve">(DONE_STAT)</t>
    </r>
    <r>
      <rPr>
        <i val="true"/>
        <sz val="13"/>
        <color rgb="FFC00000"/>
        <rFont val="Noto Sans CJK SC"/>
        <family val="2"/>
      </rPr>
      <t xml:space="preserve">가 실제 상태코드와 불일치하는 버그가 있어</t>
    </r>
    <r>
      <rPr>
        <i val="true"/>
        <sz val="13"/>
        <color rgb="FFC00000"/>
        <rFont val="맑은 고딕"/>
        <family val="0"/>
        <charset val="1"/>
      </rPr>
      <t xml:space="preserve">(</t>
    </r>
    <r>
      <rPr>
        <i val="true"/>
        <sz val="13"/>
        <color rgb="FFC00000"/>
        <rFont val="Noto Sans CJK SC"/>
        <family val="2"/>
      </rPr>
      <t xml:space="preserve">확인됨</t>
    </r>
    <r>
      <rPr>
        <i val="true"/>
        <sz val="13"/>
        <color rgb="FFC00000"/>
        <rFont val="맑은 고딕"/>
        <family val="0"/>
        <charset val="1"/>
      </rPr>
      <t xml:space="preserve">), </t>
    </r>
    <r>
      <rPr>
        <i val="true"/>
        <sz val="13"/>
        <color rgb="FFC00000"/>
        <rFont val="Noto Sans CJK SC"/>
        <family val="2"/>
      </rPr>
      <t xml:space="preserve">본 보고서는 상태코드 기준으로 별도 재계산함</t>
    </r>
    <r>
      <rPr>
        <i val="true"/>
        <sz val="13"/>
        <color rgb="FFC00000"/>
        <rFont val="맑은 고딕"/>
        <family val="0"/>
        <charset val="1"/>
      </rPr>
      <t xml:space="preserve">.</t>
    </r>
  </si>
  <si>
    <r>
      <rPr>
        <i val="true"/>
        <sz val="13"/>
        <color rgb="FF666666"/>
        <rFont val="Noto Sans CJK SC"/>
        <family val="2"/>
      </rPr>
      <t xml:space="preserve">출처</t>
    </r>
    <r>
      <rPr>
        <i val="true"/>
        <sz val="13"/>
        <color rgb="FF666666"/>
        <rFont val="맑은 고딕"/>
        <family val="0"/>
        <charset val="1"/>
      </rPr>
      <t xml:space="preserve">: outputs/dlv_alerts/</t>
    </r>
    <r>
      <rPr>
        <i val="true"/>
        <sz val="13"/>
        <color rgb="FF666666"/>
        <rFont val="Noto Sans CJK SC"/>
        <family val="2"/>
      </rPr>
      <t xml:space="preserve">납기알림</t>
    </r>
    <r>
      <rPr>
        <i val="true"/>
        <sz val="13"/>
        <color rgb="FF666666"/>
        <rFont val="맑은 고딕"/>
        <family val="0"/>
        <charset val="1"/>
      </rPr>
      <t xml:space="preserve">_20260716.xlsx (ERP </t>
    </r>
    <r>
      <rPr>
        <i val="true"/>
        <sz val="13"/>
        <color rgb="FF666666"/>
        <rFont val="Noto Sans CJK SC"/>
        <family val="2"/>
      </rPr>
      <t xml:space="preserve">재연마수주 등록 조회</t>
    </r>
    <r>
      <rPr>
        <i val="true"/>
        <sz val="13"/>
        <color rgb="FF666666"/>
        <rFont val="맑은 고딕"/>
        <family val="0"/>
        <charset val="1"/>
      </rPr>
      <t xml:space="preserve">, 2026-07-16 09:00 </t>
    </r>
    <r>
      <rPr>
        <i val="true"/>
        <sz val="13"/>
        <color rgb="FF666666"/>
        <rFont val="Noto Sans CJK SC"/>
        <family val="2"/>
      </rPr>
      <t xml:space="preserve">자동 생성</t>
    </r>
    <r>
      <rPr>
        <i val="true"/>
        <sz val="13"/>
        <color rgb="FF666666"/>
        <rFont val="맑은 고딕"/>
        <family val="0"/>
        <charset val="1"/>
      </rPr>
      <t xml:space="preserve">)</t>
    </r>
  </si>
  <si>
    <t xml:space="preserve">납기일</t>
  </si>
  <si>
    <t xml:space="preserve">비고</t>
  </si>
  <si>
    <t xml:space="preserve">수주번호</t>
  </si>
  <si>
    <t xml:space="preserve">수주일</t>
  </si>
  <si>
    <t xml:space="preserve">거래처</t>
  </si>
  <si>
    <t xml:space="preserve">발주처</t>
  </si>
  <si>
    <t xml:space="preserve">품목명</t>
  </si>
  <si>
    <t xml:space="preserve">연체여부</t>
  </si>
  <si>
    <t xml:space="preserve">2607150230</t>
  </si>
  <si>
    <t xml:space="preserve">덕원종합상사</t>
  </si>
  <si>
    <t xml:space="preserve">바른정밀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</si>
  <si>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</si>
  <si>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2607150209</t>
  </si>
  <si>
    <r>
      <rPr>
        <sz val="13"/>
        <rFont val="Noto Sans CJK SC"/>
        <family val="2"/>
      </rPr>
      <t xml:space="preserve">공구백화점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미산동</t>
    </r>
    <r>
      <rPr>
        <sz val="13"/>
        <rFont val="맑은 고딕"/>
        <family val="0"/>
        <charset val="1"/>
      </rPr>
      <t xml:space="preserve">)</t>
    </r>
  </si>
  <si>
    <t xml:space="preserve">재연마</t>
  </si>
  <si>
    <t xml:space="preserve">2607150190</t>
  </si>
  <si>
    <r>
      <rPr>
        <sz val="13"/>
        <rFont val="Noto Sans CJK SC"/>
        <family val="2"/>
      </rPr>
      <t xml:space="preserve">원영공구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구</t>
    </r>
    <r>
      <rPr>
        <sz val="13"/>
        <rFont val="맑은 고딕"/>
        <family val="0"/>
        <charset val="1"/>
      </rPr>
      <t xml:space="preserve">,</t>
    </r>
    <r>
      <rPr>
        <sz val="13"/>
        <rFont val="Noto Sans CJK SC"/>
        <family val="2"/>
      </rPr>
      <t xml:space="preserve">원영상사</t>
    </r>
    <r>
      <rPr>
        <sz val="13"/>
        <rFont val="맑은 고딕"/>
        <family val="0"/>
        <charset val="1"/>
      </rPr>
      <t xml:space="preserve">)</t>
    </r>
  </si>
  <si>
    <t xml:space="preserve">에이치에스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</si>
  <si>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</si>
  <si>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2607150180</t>
  </si>
  <si>
    <t xml:space="preserve">동아기계</t>
  </si>
  <si>
    <t xml:space="preserve">2607150174</t>
  </si>
  <si>
    <t xml:space="preserve">일월종합</t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</si>
  <si>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</si>
  <si>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2607150163</t>
  </si>
  <si>
    <t xml:space="preserve">일반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</si>
  <si>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</si>
  <si>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2607130194</t>
  </si>
  <si>
    <t xml:space="preserve">아신상사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</si>
  <si>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</si>
  <si>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2607130057</t>
  </si>
  <si>
    <r>
      <rPr>
        <sz val="13"/>
        <rFont val="Noto Sans CJK SC"/>
        <family val="2"/>
      </rPr>
      <t xml:space="preserve">영우툴링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창성툴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</si>
  <si>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Noto Sans CJK SC"/>
        <family val="2"/>
      </rPr>
      <t xml:space="preserve">코팅만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  <r>
      <rPr>
        <sz val="13"/>
        <rFont val="맑은 고딕"/>
        <family val="0"/>
        <charset val="1"/>
      </rPr>
      <t xml:space="preserve">/16MM</t>
    </r>
    <r>
      <rPr>
        <sz val="13"/>
        <rFont val="Noto Sans CJK SC"/>
        <family val="2"/>
      </rPr>
      <t xml:space="preserve">이하</t>
    </r>
  </si>
  <si>
    <t xml:space="preserve">2607100191</t>
  </si>
  <si>
    <r>
      <rPr>
        <sz val="13"/>
        <rFont val="Noto Sans CJK SC"/>
        <family val="2"/>
      </rPr>
      <t xml:space="preserve">건영테크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광주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</si>
  <si>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</si>
  <si>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2607100183</t>
  </si>
  <si>
    <t xml:space="preserve">아이티공구</t>
  </si>
  <si>
    <t xml:space="preserve">주은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</si>
  <si>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</si>
  <si>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2607100176</t>
  </si>
  <si>
    <r>
      <rPr>
        <sz val="13"/>
        <rFont val="Noto Sans CJK SC"/>
        <family val="2"/>
      </rPr>
      <t xml:space="preserve">동명</t>
    </r>
    <r>
      <rPr>
        <sz val="13"/>
        <rFont val="맑은 고딕"/>
        <family val="0"/>
        <charset val="1"/>
      </rPr>
      <t xml:space="preserve">ENG-</t>
    </r>
    <r>
      <rPr>
        <sz val="13"/>
        <rFont val="Noto Sans CJK SC"/>
        <family val="2"/>
      </rPr>
      <t xml:space="preserve">코고툴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재연마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</si>
  <si>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</si>
  <si>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t xml:space="preserve">2607100175</t>
  </si>
  <si>
    <t xml:space="preserve">반석공구</t>
  </si>
  <si>
    <t xml:space="preserve">코스맥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</si>
  <si>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</si>
  <si>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2607100173</t>
  </si>
  <si>
    <t xml:space="preserve">삼호</t>
  </si>
  <si>
    <t xml:space="preserve">2607100170</t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</si>
  <si>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</si>
  <si>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2607100148</t>
  </si>
  <si>
    <t xml:space="preserve">알제이코리아</t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</si>
  <si>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리머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</si>
  <si>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2607100117</t>
  </si>
  <si>
    <t xml:space="preserve">대우툴링</t>
  </si>
  <si>
    <t xml:space="preserve">한테크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</si>
  <si>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</si>
  <si>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2607090103</t>
  </si>
  <si>
    <r>
      <rPr>
        <sz val="13"/>
        <rFont val="Noto Sans CJK SC"/>
        <family val="2"/>
      </rPr>
      <t xml:space="preserve">유진상사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문래</t>
    </r>
    <r>
      <rPr>
        <sz val="13"/>
        <rFont val="맑은 고딕"/>
        <family val="0"/>
        <charset val="1"/>
      </rPr>
      <t xml:space="preserve">)</t>
    </r>
  </si>
  <si>
    <t xml:space="preserve">2607090099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</si>
  <si>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</si>
  <si>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2607090060</t>
  </si>
  <si>
    <r>
      <rPr>
        <sz val="13"/>
        <rFont val="Noto Sans CJK SC"/>
        <family val="2"/>
      </rPr>
      <t xml:space="preserve">초경툴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구</t>
    </r>
    <r>
      <rPr>
        <sz val="13"/>
        <rFont val="맑은 고딕"/>
        <family val="0"/>
        <charset val="1"/>
      </rPr>
      <t xml:space="preserve">,</t>
    </r>
    <r>
      <rPr>
        <sz val="13"/>
        <rFont val="Noto Sans CJK SC"/>
        <family val="2"/>
      </rPr>
      <t xml:space="preserve">성민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</si>
  <si>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</si>
  <si>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2607080053</t>
  </si>
  <si>
    <t xml:space="preserve">JS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</si>
  <si>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고경도코팅</t>
    </r>
  </si>
  <si>
    <t xml:space="preserve">2607080050</t>
  </si>
  <si>
    <t xml:space="preserve">2607080028</t>
  </si>
  <si>
    <r>
      <rPr>
        <sz val="13"/>
        <rFont val="Noto Sans CJK SC"/>
        <family val="2"/>
      </rPr>
      <t xml:space="preserve">강민툴링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비봉</t>
    </r>
    <r>
      <rPr>
        <sz val="13"/>
        <rFont val="맑은 고딕"/>
        <family val="0"/>
        <charset val="1"/>
      </rPr>
      <t xml:space="preserve">)</t>
    </r>
  </si>
  <si>
    <t xml:space="preserve">대일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</si>
  <si>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</si>
  <si>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2607080026</t>
  </si>
  <si>
    <r>
      <rPr>
        <sz val="13"/>
        <rFont val="Noto Sans CJK SC"/>
        <family val="2"/>
      </rPr>
      <t xml:space="preserve">서원</t>
    </r>
    <r>
      <rPr>
        <sz val="13"/>
        <rFont val="맑은 고딕"/>
        <family val="0"/>
        <charset val="1"/>
      </rPr>
      <t xml:space="preserve">IND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</si>
  <si>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</si>
  <si>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2607070100</t>
  </si>
  <si>
    <t xml:space="preserve">유진</t>
  </si>
  <si>
    <t xml:space="preserve">2607060074</t>
  </si>
  <si>
    <t xml:space="preserve">왕삼아공구</t>
  </si>
  <si>
    <t xml:space="preserve">2607060059</t>
  </si>
  <si>
    <t xml:space="preserve">유비툴</t>
  </si>
  <si>
    <t xml:space="preserve">A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</si>
  <si>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</si>
  <si>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2607060057</t>
  </si>
  <si>
    <t xml:space="preserve">N.</t>
  </si>
  <si>
    <t xml:space="preserve">2607030127</t>
  </si>
  <si>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주</t>
    </r>
    <r>
      <rPr>
        <sz val="13"/>
        <rFont val="맑은 고딕"/>
        <family val="0"/>
        <charset val="1"/>
      </rPr>
      <t xml:space="preserve">)</t>
    </r>
    <r>
      <rPr>
        <sz val="13"/>
        <rFont val="Noto Sans CJK SC"/>
        <family val="2"/>
      </rPr>
      <t xml:space="preserve">세종종합상사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미산동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</si>
  <si>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</si>
  <si>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2607030099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</si>
  <si>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</si>
  <si>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2607030097</t>
  </si>
  <si>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주</t>
    </r>
    <r>
      <rPr>
        <sz val="13"/>
        <rFont val="맑은 고딕"/>
        <family val="0"/>
        <charset val="1"/>
      </rPr>
      <t xml:space="preserve">)</t>
    </r>
    <r>
      <rPr>
        <sz val="13"/>
        <rFont val="Noto Sans CJK SC"/>
        <family val="2"/>
      </rPr>
      <t xml:space="preserve">공화공구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</si>
  <si>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</si>
  <si>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2607020157</t>
  </si>
  <si>
    <t xml:space="preserve">에이치씨라인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</si>
  <si>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</si>
  <si>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2607020142</t>
  </si>
  <si>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주</t>
    </r>
    <r>
      <rPr>
        <sz val="13"/>
        <rFont val="맑은 고딕"/>
        <family val="0"/>
        <charset val="1"/>
      </rPr>
      <t xml:space="preserve">)</t>
    </r>
    <r>
      <rPr>
        <sz val="13"/>
        <rFont val="Noto Sans CJK SC"/>
        <family val="2"/>
      </rPr>
      <t xml:space="preserve">금형티에스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</si>
  <si>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</si>
  <si>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2607020137</t>
  </si>
  <si>
    <t xml:space="preserve">대륙기계공구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</si>
  <si>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</si>
  <si>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2607010006</t>
  </si>
  <si>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주</t>
    </r>
    <r>
      <rPr>
        <sz val="13"/>
        <rFont val="맑은 고딕"/>
        <family val="0"/>
        <charset val="1"/>
      </rPr>
      <t xml:space="preserve">)</t>
    </r>
    <r>
      <rPr>
        <sz val="13"/>
        <rFont val="Noto Sans CJK SC"/>
        <family val="2"/>
      </rPr>
      <t xml:space="preserve">전진공구</t>
    </r>
  </si>
  <si>
    <t xml:space="preserve">2606300308</t>
  </si>
  <si>
    <t xml:space="preserve">디오프론</t>
  </si>
  <si>
    <t xml:space="preserve">2606300307</t>
  </si>
  <si>
    <t xml:space="preserve">범양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</si>
  <si>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</si>
  <si>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2606300306</t>
  </si>
  <si>
    <r>
      <rPr>
        <sz val="13"/>
        <rFont val="Noto Sans CJK SC"/>
        <family val="2"/>
      </rPr>
      <t xml:space="preserve">동남종합상사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주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</si>
  <si>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</si>
  <si>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2606300305</t>
  </si>
  <si>
    <t xml:space="preserve">HS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</si>
  <si>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</si>
  <si>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2606290026</t>
  </si>
  <si>
    <r>
      <rPr>
        <sz val="13"/>
        <rFont val="Noto Sans CJK SC"/>
        <family val="2"/>
      </rPr>
      <t xml:space="preserve">코팅만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  <r>
      <rPr>
        <sz val="13"/>
        <rFont val="맑은 고딕"/>
        <family val="0"/>
        <charset val="1"/>
      </rPr>
      <t xml:space="preserve">/35MM</t>
    </r>
  </si>
  <si>
    <t xml:space="preserve">2606260138</t>
  </si>
  <si>
    <t xml:space="preserve">3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</si>
  <si>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</si>
  <si>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2606260134</t>
  </si>
  <si>
    <t xml:space="preserve">2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</si>
  <si>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</si>
  <si>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2606260132</t>
  </si>
  <si>
    <t xml:space="preserve">1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</si>
  <si>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/11mm/HSS/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</si>
  <si>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2606260122</t>
  </si>
  <si>
    <t xml:space="preserve">세이버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</si>
  <si>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</si>
  <si>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2606260114</t>
  </si>
  <si>
    <t xml:space="preserve">신성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</si>
  <si>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</si>
  <si>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2606250139</t>
  </si>
  <si>
    <t xml:space="preserve">에버다임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</si>
  <si>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</si>
  <si>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2606250098</t>
  </si>
  <si>
    <t xml:space="preserve">제일정밀</t>
  </si>
  <si>
    <t xml:space="preserve">2606250094</t>
  </si>
  <si>
    <t xml:space="preserve">유성종합공구</t>
  </si>
  <si>
    <t xml:space="preserve">세림기공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</si>
  <si>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</si>
  <si>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2606250093</t>
  </si>
  <si>
    <t xml:space="preserve">하나테크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</si>
  <si>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</si>
  <si>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2606250091</t>
  </si>
  <si>
    <t xml:space="preserve">서림툴링</t>
  </si>
  <si>
    <t xml:space="preserve">2606240092</t>
  </si>
  <si>
    <t xml:space="preserve">아림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</si>
  <si>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</si>
  <si>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2606240090</t>
  </si>
  <si>
    <t xml:space="preserve">유성상공사</t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</si>
  <si>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/35MM/HSS/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</si>
  <si>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t xml:space="preserve">2606240089</t>
  </si>
  <si>
    <t xml:space="preserve">대한초경공구</t>
  </si>
  <si>
    <t xml:space="preserve">경민</t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</si>
  <si>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</si>
  <si>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2606230112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</si>
  <si>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</si>
  <si>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2606230064</t>
  </si>
  <si>
    <r>
      <rPr>
        <sz val="13"/>
        <rFont val="맑은 고딕"/>
        <family val="0"/>
        <charset val="1"/>
      </rPr>
      <t xml:space="preserve">Y.K </t>
    </r>
    <r>
      <rPr>
        <sz val="13"/>
        <rFont val="Noto Sans CJK SC"/>
        <family val="2"/>
      </rPr>
      <t xml:space="preserve">정밀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</si>
  <si>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</si>
  <si>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2606230054</t>
  </si>
  <si>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주</t>
    </r>
    <r>
      <rPr>
        <sz val="13"/>
        <rFont val="맑은 고딕"/>
        <family val="0"/>
        <charset val="1"/>
      </rPr>
      <t xml:space="preserve">)</t>
    </r>
    <r>
      <rPr>
        <sz val="13"/>
        <rFont val="Noto Sans CJK SC"/>
        <family val="2"/>
      </rPr>
      <t xml:space="preserve">바로공구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정남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</si>
  <si>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</si>
  <si>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t xml:space="preserve">2606230052</t>
  </si>
  <si>
    <r>
      <rPr>
        <sz val="13"/>
        <rFont val="Noto Sans CJK SC"/>
        <family val="2"/>
      </rPr>
      <t xml:space="preserve">코팅만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  <r>
      <rPr>
        <sz val="13"/>
        <rFont val="맑은 고딕"/>
        <family val="0"/>
        <charset val="1"/>
      </rPr>
      <t xml:space="preserve">/12MM</t>
    </r>
    <r>
      <rPr>
        <sz val="13"/>
        <rFont val="Noto Sans CJK SC"/>
        <family val="2"/>
      </rPr>
      <t xml:space="preserve">이하</t>
    </r>
  </si>
  <si>
    <t xml:space="preserve">2606220093</t>
  </si>
  <si>
    <t xml:space="preserve">2606220055</t>
  </si>
  <si>
    <t xml:space="preserve">맨날툴이야</t>
  </si>
  <si>
    <t xml:space="preserve">지산</t>
  </si>
  <si>
    <t xml:space="preserve">2606220053</t>
  </si>
  <si>
    <t xml:space="preserve">신우툴스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</si>
  <si>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</si>
  <si>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2606190102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</si>
  <si>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고경도코팅</t>
    </r>
  </si>
  <si>
    <t xml:space="preserve">2606190082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</si>
  <si>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</si>
  <si>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2606190076</t>
  </si>
  <si>
    <t xml:space="preserve">달비</t>
  </si>
  <si>
    <t xml:space="preserve">2606190058</t>
  </si>
  <si>
    <r>
      <rPr>
        <sz val="13"/>
        <rFont val="Noto Sans CJK SC"/>
        <family val="2"/>
      </rPr>
      <t xml:space="preserve">연성기공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주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</si>
  <si>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</si>
  <si>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2606180174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</si>
  <si>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</si>
  <si>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2606180165</t>
  </si>
  <si>
    <r>
      <rPr>
        <sz val="13"/>
        <rFont val="맑은 고딕"/>
        <family val="0"/>
        <charset val="1"/>
      </rPr>
      <t xml:space="preserve">E-tech(</t>
    </r>
    <r>
      <rPr>
        <sz val="13"/>
        <rFont val="Noto Sans CJK SC"/>
        <family val="2"/>
      </rPr>
      <t xml:space="preserve">이테크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</si>
  <si>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/30mm/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</si>
  <si>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2606180154</t>
  </si>
  <si>
    <t xml:space="preserve">2606170293</t>
  </si>
  <si>
    <t xml:space="preserve">세운상사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</si>
  <si>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/30MM/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</si>
  <si>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2606170177</t>
  </si>
  <si>
    <t xml:space="preserve">신우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</si>
  <si>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</si>
  <si>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2606170149</t>
  </si>
  <si>
    <t xml:space="preserve">유인산업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</si>
  <si>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</si>
  <si>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2606160244</t>
  </si>
  <si>
    <t xml:space="preserve">엔드밀케이스</t>
  </si>
  <si>
    <t xml:space="preserve">2606160136</t>
  </si>
  <si>
    <r>
      <rPr>
        <sz val="13"/>
        <rFont val="Noto Sans CJK SC"/>
        <family val="2"/>
      </rPr>
      <t xml:space="preserve">코팅만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  <r>
      <rPr>
        <sz val="13"/>
        <rFont val="맑은 고딕"/>
        <family val="0"/>
        <charset val="1"/>
      </rPr>
      <t xml:space="preserve">/10MM</t>
    </r>
    <r>
      <rPr>
        <sz val="13"/>
        <rFont val="Noto Sans CJK SC"/>
        <family val="2"/>
      </rPr>
      <t xml:space="preserve">이하</t>
    </r>
  </si>
  <si>
    <t xml:space="preserve">2606150224</t>
  </si>
  <si>
    <t xml:space="preserve">케이엠툴링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</si>
  <si>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</si>
  <si>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2606150197</t>
  </si>
  <si>
    <t xml:space="preserve">인코테크 포승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</si>
  <si>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</si>
  <si>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t xml:space="preserve">2606150190</t>
  </si>
  <si>
    <t xml:space="preserve">2606150188</t>
  </si>
  <si>
    <t xml:space="preserve">2606150179</t>
  </si>
  <si>
    <t xml:space="preserve">2606120229</t>
  </si>
  <si>
    <t xml:space="preserve">한탑</t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</si>
  <si>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</si>
  <si>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2606120219</t>
  </si>
  <si>
    <t xml:space="preserve">상현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</si>
  <si>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</si>
  <si>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2606120179</t>
  </si>
  <si>
    <t xml:space="preserve">엠테크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</si>
  <si>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</si>
  <si>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2606120156</t>
  </si>
  <si>
    <t xml:space="preserve">2606120134</t>
  </si>
  <si>
    <t xml:space="preserve">하이테크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</si>
  <si>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</si>
  <si>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2606120123</t>
  </si>
  <si>
    <t xml:space="preserve">코끼리공구</t>
  </si>
  <si>
    <t xml:space="preserve">2606120121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</si>
  <si>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</si>
  <si>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2606100304</t>
  </si>
  <si>
    <r>
      <rPr>
        <sz val="13"/>
        <rFont val="Noto Sans CJK SC"/>
        <family val="2"/>
      </rPr>
      <t xml:space="preserve">코팅만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  <r>
      <rPr>
        <sz val="13"/>
        <rFont val="맑은 고딕"/>
        <family val="0"/>
        <charset val="1"/>
      </rPr>
      <t xml:space="preserve">/6MM</t>
    </r>
    <r>
      <rPr>
        <sz val="13"/>
        <rFont val="Noto Sans CJK SC"/>
        <family val="2"/>
      </rPr>
      <t xml:space="preserve">이하</t>
    </r>
  </si>
  <si>
    <t xml:space="preserve">2606100132</t>
  </si>
  <si>
    <t xml:space="preserve">2606100061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</si>
  <si>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</si>
  <si>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2606090275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</si>
  <si>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</si>
  <si>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2606090274</t>
  </si>
  <si>
    <r>
      <rPr>
        <sz val="13"/>
        <rFont val="Noto Sans CJK SC"/>
        <family val="2"/>
      </rPr>
      <t xml:space="preserve">지니툴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구로</t>
    </r>
    <r>
      <rPr>
        <sz val="13"/>
        <rFont val="맑은 고딕"/>
        <family val="0"/>
        <charset val="1"/>
      </rPr>
      <t xml:space="preserve">)_</t>
    </r>
    <r>
      <rPr>
        <sz val="13"/>
        <rFont val="Noto Sans CJK SC"/>
        <family val="2"/>
      </rPr>
      <t xml:space="preserve">코고툴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</si>
  <si>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</si>
  <si>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2606090273</t>
  </si>
  <si>
    <t xml:space="preserve">영창툴링</t>
  </si>
  <si>
    <t xml:space="preserve">2606090162</t>
  </si>
  <si>
    <t xml:space="preserve">다영툴링</t>
  </si>
  <si>
    <t xml:space="preserve">허남덕</t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</si>
  <si>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</si>
  <si>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2606080286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</si>
  <si>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/15.5mm/HSS/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</si>
  <si>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2606050302</t>
  </si>
  <si>
    <t xml:space="preserve">2606050208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</si>
  <si>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</si>
  <si>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2606040164</t>
  </si>
  <si>
    <t xml:space="preserve">대진테크</t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</si>
  <si>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</si>
  <si>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2606040160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</si>
  <si>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</si>
  <si>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t xml:space="preserve">2606020155</t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</si>
  <si>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</si>
  <si>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2606020153</t>
  </si>
  <si>
    <t xml:space="preserve">다현테크</t>
  </si>
  <si>
    <t xml:space="preserve">2606020151</t>
  </si>
  <si>
    <t xml:space="preserve">개인</t>
  </si>
  <si>
    <t xml:space="preserve">2606020125</t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</si>
  <si>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/35MM/HSS/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</si>
  <si>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t xml:space="preserve">2606020110</t>
  </si>
  <si>
    <t xml:space="preserve">2606020075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</si>
  <si>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</si>
  <si>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t xml:space="preserve">2606010103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</si>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</sst>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4E78"/>
      <name val="Noto Sans CJK SC"/>
      <family val="2"/>
    </font>
    <font>
      <b val="true"/>
      <sz val="13"/>
      <name val="Noto Sans CJK SC"/>
      <family val="2"/>
    </font>
    <font>
      <b val="true"/>
      <sz val="13"/>
      <color rgb="FF0000FF"/>
      <name val="맑은 고딕"/>
      <family val="0"/>
      <charset val="1"/>
    </font>
    <font>
      <i val="true"/>
      <sz val="13"/>
      <color rgb="FF666666"/>
      <name val="맑은 고딕"/>
      <family val="0"/>
      <charset val="1"/>
    </font>
    <font>
      <i val="true"/>
      <sz val="13"/>
      <color rgb="FF666666"/>
      <name val="Noto Sans CJK SC"/>
      <family val="2"/>
    </font>
    <font>
      <b val="true"/>
      <sz val="13"/>
      <color rgb="FFFFFFFF"/>
      <name val="Noto Sans CJK SC"/>
      <family val="2"/>
    </font>
    <font>
      <sz val="13"/>
      <name val="Noto Sans CJK SC"/>
      <family val="2"/>
    </font>
    <font>
      <b val="true"/>
      <sz val="13"/>
      <name val="맑은 고딕"/>
      <family val="0"/>
      <charset val="1"/>
    </font>
    <font>
      <sz val="13"/>
      <color rgb="FF666666"/>
      <name val="Noto Sans CJK SC"/>
      <family val="2"/>
    </font>
    <font>
      <sz val="13"/>
      <name val="맑은 고딕"/>
      <family val="0"/>
      <charset val="1"/>
    </font>
    <font>
      <b val="true"/>
      <sz val="13"/>
      <color rgb="FFC00000"/>
      <name val="맑은 고딕"/>
      <family val="0"/>
      <charset val="1"/>
    </font>
    <font>
      <b val="true"/>
      <sz val="15"/>
      <color rgb="FF1F4E78"/>
      <name val="Noto Sans CJK SC"/>
      <family val="2"/>
    </font>
    <font>
      <i val="true"/>
      <sz val="13"/>
      <color rgb="FFC00000"/>
      <name val="Noto Sans CJK SC"/>
      <family val="2"/>
    </font>
    <font>
      <i val="true"/>
      <sz val="13"/>
      <color rgb="FFC00000"/>
      <name val="맑은 고딕"/>
      <family val="0"/>
      <charset val="1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DE9E9"/>
        </patternFill>
      </fill>
    </dxf>
    <dxf>
      <fill>
        <patternFill>
          <bgColor rgb="FFFFF3C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7" min="4" style="0" width="14"/>
  </cols>
  <sheetData>
    <row r="2" customFormat="false" ht="26.8" hidden="false" customHeight="false" outlineLevel="0" collapsed="false">
      <c r="B2" s="1" t="s">
        <v>0</v>
      </c>
    </row>
    <row r="4" customFormat="false" ht="20.1" hidden="false" customHeight="false" outlineLevel="0" collapsed="false">
      <c r="B4" s="2" t="s">
        <v>1</v>
      </c>
      <c r="C4" s="3" t="n">
        <v>46219</v>
      </c>
      <c r="D4" s="4" t="s">
        <v>2</v>
      </c>
    </row>
    <row r="6" customFormat="false" ht="16.15" hidden="false" customHeight="false" outlineLevel="0" collapsed="false">
      <c r="B6" s="5" t="s">
        <v>3</v>
      </c>
      <c r="C6" s="5" t="s">
        <v>4</v>
      </c>
      <c r="D6" s="5" t="s">
        <v>5</v>
      </c>
    </row>
    <row r="7" customFormat="false" ht="16.15" hidden="false" customHeight="false" outlineLevel="0" collapsed="false">
      <c r="B7" s="6" t="s">
        <v>6</v>
      </c>
      <c r="C7" s="7" t="n">
        <f aca="false">COUNTA(원본데이터!A3:A200)</f>
        <v>102</v>
      </c>
      <c r="D7" s="8" t="s">
        <v>7</v>
      </c>
    </row>
    <row r="8" customFormat="false" ht="16.15" hidden="false" customHeight="false" outlineLevel="0" collapsed="false">
      <c r="B8" s="6" t="s">
        <v>8</v>
      </c>
      <c r="C8" s="7" t="n">
        <f aca="false">SUM(원본데이터!G3:G200)</f>
        <v>3429</v>
      </c>
      <c r="D8" s="8" t="s">
        <v>9</v>
      </c>
    </row>
    <row r="9" customFormat="false" ht="16.15" hidden="false" customHeight="false" outlineLevel="0" collapsed="false">
      <c r="B9" s="6" t="s">
        <v>10</v>
      </c>
      <c r="C9" s="7" t="n">
        <f aca="false">SUM(원본데이터!H3:H200)</f>
        <v>2112</v>
      </c>
      <c r="D9" s="8" t="s">
        <v>9</v>
      </c>
    </row>
    <row r="10" customFormat="false" ht="16.15" hidden="false" customHeight="false" outlineLevel="0" collapsed="false">
      <c r="B10" s="6" t="s">
        <v>11</v>
      </c>
      <c r="C10" s="7" t="n">
        <f aca="false">SUM(원본데이터!I3:I200)</f>
        <v>1317</v>
      </c>
      <c r="D10" s="8" t="s">
        <v>9</v>
      </c>
    </row>
    <row r="11" customFormat="false" ht="20.1" hidden="false" customHeight="false" outlineLevel="0" collapsed="false">
      <c r="B11" s="6" t="s">
        <v>12</v>
      </c>
      <c r="C11" s="9" t="n">
        <f aca="false">COUNTIF(원본데이터!L3:L200,"연체")</f>
        <v>13</v>
      </c>
      <c r="D11" s="8" t="s">
        <v>7</v>
      </c>
    </row>
    <row r="12" customFormat="false" ht="16.15" hidden="false" customHeight="false" outlineLevel="0" collapsed="false">
      <c r="B12" s="6" t="s">
        <v>13</v>
      </c>
      <c r="C12" s="9" t="n">
        <f aca="false">SUMIF(원본데이터!L3:L200,"연체",원본데이터!I3:I200)</f>
        <v>412</v>
      </c>
      <c r="D12" s="8" t="s">
        <v>9</v>
      </c>
    </row>
    <row r="15" customFormat="false" ht="18.55" hidden="false" customHeight="false" outlineLevel="0" collapsed="false">
      <c r="B15" s="10" t="s">
        <v>14</v>
      </c>
    </row>
    <row r="16" customFormat="false" ht="20.1" hidden="false" customHeight="false" outlineLevel="0" collapsed="false">
      <c r="B16" s="11" t="s">
        <v>15</v>
      </c>
      <c r="C16" s="11" t="s">
        <v>16</v>
      </c>
      <c r="D16" s="11" t="s">
        <v>17</v>
      </c>
      <c r="E16" s="11" t="s">
        <v>18</v>
      </c>
      <c r="F16" s="11" t="s">
        <v>19</v>
      </c>
      <c r="G16" s="11" t="s">
        <v>20</v>
      </c>
    </row>
    <row r="17" customFormat="false" ht="20.1" hidden="false" customHeight="false" outlineLevel="0" collapsed="false">
      <c r="B17" s="12" t="s">
        <v>21</v>
      </c>
      <c r="C17" s="13" t="s">
        <v>22</v>
      </c>
      <c r="D17" s="14" t="n">
        <f aca="false">COUNTIF(원본데이터!$J$3:$J$200,B17)</f>
        <v>31</v>
      </c>
      <c r="E17" s="14" t="n">
        <f aca="false">SUMIF(원본데이터!$J$3:$J$200,B17,원본데이터!$G$3:$G$200)</f>
        <v>1127</v>
      </c>
      <c r="F17" s="14" t="n">
        <f aca="false">SUMIF(원본데이터!$J$3:$J$200,B17,원본데이터!$H$3:$H$200)</f>
        <v>0</v>
      </c>
      <c r="G17" s="14" t="n">
        <f aca="false">SUMIF(원본데이터!$J$3:$J$200,B17,원본데이터!$I$3:$I$200)</f>
        <v>1127</v>
      </c>
    </row>
    <row r="18" customFormat="false" ht="16.15" hidden="false" customHeight="false" outlineLevel="0" collapsed="false">
      <c r="B18" s="12" t="s">
        <v>23</v>
      </c>
      <c r="C18" s="13" t="s">
        <v>24</v>
      </c>
      <c r="D18" s="14" t="n">
        <f aca="false">COUNTIF(원본데이터!$J$3:$J$200,B18)</f>
        <v>5</v>
      </c>
      <c r="E18" s="14" t="n">
        <f aca="false">SUMIF(원본데이터!$J$3:$J$200,B18,원본데이터!$G$3:$G$200)</f>
        <v>170</v>
      </c>
      <c r="F18" s="14" t="n">
        <f aca="false">SUMIF(원본데이터!$J$3:$J$200,B18,원본데이터!$H$3:$H$200)</f>
        <v>0</v>
      </c>
      <c r="G18" s="14" t="n">
        <f aca="false">SUMIF(원본데이터!$J$3:$J$200,B18,원본데이터!$I$3:$I$200)</f>
        <v>170</v>
      </c>
    </row>
    <row r="19" customFormat="false" ht="16.15" hidden="false" customHeight="false" outlineLevel="0" collapsed="false">
      <c r="B19" s="12" t="s">
        <v>25</v>
      </c>
      <c r="C19" s="13" t="s">
        <v>26</v>
      </c>
      <c r="D19" s="14" t="n">
        <f aca="false">COUNTIF(원본데이터!$J$3:$J$200,B19)</f>
        <v>2</v>
      </c>
      <c r="E19" s="14" t="n">
        <f aca="false">SUMIF(원본데이터!$J$3:$J$200,B19,원본데이터!$G$3:$G$200)</f>
        <v>30</v>
      </c>
      <c r="F19" s="14" t="n">
        <f aca="false">SUMIF(원본데이터!$J$3:$J$200,B19,원본데이터!$H$3:$H$200)</f>
        <v>7</v>
      </c>
      <c r="G19" s="14" t="n">
        <f aca="false">SUMIF(원본데이터!$J$3:$J$200,B19,원본데이터!$I$3:$I$200)</f>
        <v>23</v>
      </c>
    </row>
    <row r="20" customFormat="false" ht="16.15" hidden="false" customHeight="false" outlineLevel="0" collapsed="false">
      <c r="B20" s="12" t="s">
        <v>27</v>
      </c>
      <c r="C20" s="13" t="s">
        <v>28</v>
      </c>
      <c r="D20" s="14" t="n">
        <f aca="false">COUNTIF(원본데이터!$J$3:$J$200,B20)</f>
        <v>64</v>
      </c>
      <c r="E20" s="14" t="n">
        <f aca="false">SUMIF(원본데이터!$J$3:$J$200,B20,원본데이터!$G$3:$G$200)</f>
        <v>2102</v>
      </c>
      <c r="F20" s="14" t="n">
        <f aca="false">SUMIF(원본데이터!$J$3:$J$200,B20,원본데이터!$H$3:$H$200)</f>
        <v>2105</v>
      </c>
      <c r="G20" s="14" t="n">
        <f aca="false">SUMIF(원본데이터!$J$3:$J$200,B20,원본데이터!$I$3:$I$200)</f>
        <v>-3</v>
      </c>
    </row>
    <row r="22" customFormat="false" ht="20.1" hidden="false" customHeight="false" outlineLevel="0" collapsed="false">
      <c r="B22" s="15" t="s">
        <v>29</v>
      </c>
    </row>
    <row r="23" customFormat="false" ht="20.1" hidden="false" customHeight="false" outlineLevel="0" collapsed="false">
      <c r="B23" s="16" t="s">
        <v>30</v>
      </c>
    </row>
    <row r="24" customFormat="false" ht="20.1" hidden="false" customHeight="false" outlineLevel="0" collapsed="false">
      <c r="B24" s="1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6" min="2" style="0" width="12"/>
  </cols>
  <sheetData>
    <row r="1" customFormat="false" ht="18.55" hidden="false" customHeight="false" outlineLevel="0" collapsed="false">
      <c r="A1" s="10" t="s">
        <v>32</v>
      </c>
    </row>
    <row r="3" customFormat="false" ht="20.1" hidden="false" customHeight="false" outlineLevel="0" collapsed="false">
      <c r="A3" s="11" t="s">
        <v>32</v>
      </c>
      <c r="B3" s="11" t="s">
        <v>17</v>
      </c>
      <c r="C3" s="11" t="s">
        <v>18</v>
      </c>
      <c r="D3" s="11" t="s">
        <v>19</v>
      </c>
      <c r="E3" s="11" t="s">
        <v>20</v>
      </c>
      <c r="F3" s="11" t="s">
        <v>33</v>
      </c>
    </row>
    <row r="4" customFormat="false" ht="17.15" hidden="false" customHeight="false" outlineLevel="0" collapsed="false">
      <c r="A4" s="17" t="n">
        <v>46175</v>
      </c>
      <c r="B4" s="14" t="n">
        <f aca="false">COUNTIF(원본데이터!$C$3:$C$200,A4)</f>
        <v>2</v>
      </c>
      <c r="C4" s="14" t="n">
        <f aca="false">SUMIF(원본데이터!$C$3:$C$200,A4,원본데이터!$G$3:$G$200)</f>
        <v>94</v>
      </c>
      <c r="D4" s="14" t="n">
        <f aca="false">SUMIF(원본데이터!$C$3:$C$200,A4,원본데이터!$H$3:$H$200)</f>
        <v>94</v>
      </c>
      <c r="E4" s="14" t="n">
        <f aca="false">SUMIF(원본데이터!$C$3:$C$200,A4,원본데이터!$I$3:$I$200)</f>
        <v>0</v>
      </c>
      <c r="F4" s="18" t="str">
        <f aca="false">IF(A4&lt;요약!$C$4,IF(E4&gt;0,"연체","완료"),IF(E4&gt;0,"임박/예정",""))</f>
        <v>완료</v>
      </c>
    </row>
    <row r="5" customFormat="false" ht="17.15" hidden="false" customHeight="false" outlineLevel="0" collapsed="false">
      <c r="A5" s="17" t="n">
        <v>46184</v>
      </c>
      <c r="B5" s="14" t="n">
        <f aca="false">COUNTIF(원본데이터!$C$3:$C$200,A5)</f>
        <v>1</v>
      </c>
      <c r="C5" s="14" t="n">
        <f aca="false">SUMIF(원본데이터!$C$3:$C$200,A5,원본데이터!$G$3:$G$200)</f>
        <v>35</v>
      </c>
      <c r="D5" s="14" t="n">
        <f aca="false">SUMIF(원본데이터!$C$3:$C$200,A5,원본데이터!$H$3:$H$200)</f>
        <v>35</v>
      </c>
      <c r="E5" s="14" t="n">
        <f aca="false">SUMIF(원본데이터!$C$3:$C$200,A5,원본데이터!$I$3:$I$200)</f>
        <v>0</v>
      </c>
      <c r="F5" s="18" t="str">
        <f aca="false">IF(A5&lt;요약!$C$4,IF(E5&gt;0,"연체","완료"),IF(E5&gt;0,"임박/예정",""))</f>
        <v>완료</v>
      </c>
    </row>
    <row r="6" customFormat="false" ht="17.15" hidden="false" customHeight="false" outlineLevel="0" collapsed="false">
      <c r="A6" s="17" t="n">
        <v>46185</v>
      </c>
      <c r="B6" s="14" t="n">
        <f aca="false">COUNTIF(원본데이터!$C$3:$C$200,A6)</f>
        <v>4</v>
      </c>
      <c r="C6" s="14" t="n">
        <f aca="false">SUMIF(원본데이터!$C$3:$C$200,A6,원본데이터!$G$3:$G$200)</f>
        <v>70</v>
      </c>
      <c r="D6" s="14" t="n">
        <f aca="false">SUMIF(원본데이터!$C$3:$C$200,A6,원본데이터!$H$3:$H$200)</f>
        <v>70</v>
      </c>
      <c r="E6" s="14" t="n">
        <f aca="false">SUMIF(원본데이터!$C$3:$C$200,A6,원본데이터!$I$3:$I$200)</f>
        <v>0</v>
      </c>
      <c r="F6" s="18" t="str">
        <f aca="false">IF(A6&lt;요약!$C$4,IF(E6&gt;0,"연체","완료"),IF(E6&gt;0,"임박/예정",""))</f>
        <v>완료</v>
      </c>
    </row>
    <row r="7" customFormat="false" ht="17.15" hidden="false" customHeight="false" outlineLevel="0" collapsed="false">
      <c r="A7" s="17" t="n">
        <v>46187</v>
      </c>
      <c r="B7" s="14" t="n">
        <f aca="false">COUNTIF(원본데이터!$C$3:$C$200,A7)</f>
        <v>2</v>
      </c>
      <c r="C7" s="14" t="n">
        <f aca="false">SUMIF(원본데이터!$C$3:$C$200,A7,원본데이터!$G$3:$G$200)</f>
        <v>10</v>
      </c>
      <c r="D7" s="14" t="n">
        <f aca="false">SUMIF(원본데이터!$C$3:$C$200,A7,원본데이터!$H$3:$H$200)</f>
        <v>10</v>
      </c>
      <c r="E7" s="14" t="n">
        <f aca="false">SUMIF(원본데이터!$C$3:$C$200,A7,원본데이터!$I$3:$I$200)</f>
        <v>0</v>
      </c>
      <c r="F7" s="18" t="str">
        <f aca="false">IF(A7&lt;요약!$C$4,IF(E7&gt;0,"연체","완료"),IF(E7&gt;0,"임박/예정",""))</f>
        <v>완료</v>
      </c>
    </row>
    <row r="8" customFormat="false" ht="17.15" hidden="false" customHeight="false" outlineLevel="0" collapsed="false">
      <c r="A8" s="17" t="n">
        <v>46188</v>
      </c>
      <c r="B8" s="14" t="n">
        <f aca="false">COUNTIF(원본데이터!$C$3:$C$200,A8)</f>
        <v>3</v>
      </c>
      <c r="C8" s="14" t="n">
        <f aca="false">SUMIF(원본데이터!$C$3:$C$200,A8,원본데이터!$G$3:$G$200)</f>
        <v>35</v>
      </c>
      <c r="D8" s="14" t="n">
        <f aca="false">SUMIF(원본데이터!$C$3:$C$200,A8,원본데이터!$H$3:$H$200)</f>
        <v>35</v>
      </c>
      <c r="E8" s="14" t="n">
        <f aca="false">SUMIF(원본데이터!$C$3:$C$200,A8,원본데이터!$I$3:$I$200)</f>
        <v>0</v>
      </c>
      <c r="F8" s="18" t="str">
        <f aca="false">IF(A8&lt;요약!$C$4,IF(E8&gt;0,"연체","완료"),IF(E8&gt;0,"임박/예정",""))</f>
        <v>완료</v>
      </c>
    </row>
    <row r="9" customFormat="false" ht="17.15" hidden="false" customHeight="false" outlineLevel="0" collapsed="false">
      <c r="A9" s="17" t="n">
        <v>46189</v>
      </c>
      <c r="B9" s="14" t="n">
        <f aca="false">COUNTIF(원본데이터!$C$3:$C$200,A9)</f>
        <v>1</v>
      </c>
      <c r="C9" s="14" t="n">
        <f aca="false">SUMIF(원본데이터!$C$3:$C$200,A9,원본데이터!$G$3:$G$200)</f>
        <v>10</v>
      </c>
      <c r="D9" s="14" t="n">
        <f aca="false">SUMIF(원본데이터!$C$3:$C$200,A9,원본데이터!$H$3:$H$200)</f>
        <v>10</v>
      </c>
      <c r="E9" s="14" t="n">
        <f aca="false">SUMIF(원본데이터!$C$3:$C$200,A9,원본데이터!$I$3:$I$200)</f>
        <v>0</v>
      </c>
      <c r="F9" s="18" t="str">
        <f aca="false">IF(A9&lt;요약!$C$4,IF(E9&gt;0,"연체","완료"),IF(E9&gt;0,"임박/예정",""))</f>
        <v>완료</v>
      </c>
    </row>
    <row r="10" customFormat="false" ht="17.15" hidden="false" customHeight="false" outlineLevel="0" collapsed="false">
      <c r="A10" s="17" t="n">
        <v>46191</v>
      </c>
      <c r="B10" s="14" t="n">
        <f aca="false">COUNTIF(원본데이터!$C$3:$C$200,A10)</f>
        <v>2</v>
      </c>
      <c r="C10" s="14" t="n">
        <f aca="false">SUMIF(원본데이터!$C$3:$C$200,A10,원본데이터!$G$3:$G$200)</f>
        <v>23</v>
      </c>
      <c r="D10" s="14" t="n">
        <f aca="false">SUMIF(원본데이터!$C$3:$C$200,A10,원본데이터!$H$3:$H$200)</f>
        <v>3</v>
      </c>
      <c r="E10" s="14" t="n">
        <f aca="false">SUMIF(원본데이터!$C$3:$C$200,A10,원본데이터!$I$3:$I$200)</f>
        <v>20</v>
      </c>
      <c r="F10" s="18" t="str">
        <f aca="false">IF(A10&lt;요약!$C$4,IF(E10&gt;0,"연체","완료"),IF(E10&gt;0,"임박/예정",""))</f>
        <v>연체</v>
      </c>
    </row>
    <row r="11" customFormat="false" ht="17.15" hidden="false" customHeight="false" outlineLevel="0" collapsed="false">
      <c r="A11" s="17" t="n">
        <v>46192</v>
      </c>
      <c r="B11" s="14" t="n">
        <f aca="false">COUNTIF(원본데이터!$C$3:$C$200,A11)</f>
        <v>3</v>
      </c>
      <c r="C11" s="14" t="n">
        <f aca="false">SUMIF(원본데이터!$C$3:$C$200,A11,원본데이터!$G$3:$G$200)</f>
        <v>105</v>
      </c>
      <c r="D11" s="14" t="n">
        <f aca="false">SUMIF(원본데이터!$C$3:$C$200,A11,원본데이터!$H$3:$H$200)</f>
        <v>105</v>
      </c>
      <c r="E11" s="14" t="n">
        <f aca="false">SUMIF(원본데이터!$C$3:$C$200,A11,원본데이터!$I$3:$I$200)</f>
        <v>0</v>
      </c>
      <c r="F11" s="18" t="str">
        <f aca="false">IF(A11&lt;요약!$C$4,IF(E11&gt;0,"연체","완료"),IF(E11&gt;0,"임박/예정",""))</f>
        <v>완료</v>
      </c>
    </row>
    <row r="12" customFormat="false" ht="17.15" hidden="false" customHeight="false" outlineLevel="0" collapsed="false">
      <c r="A12" s="17" t="n">
        <v>46193</v>
      </c>
      <c r="B12" s="14" t="n">
        <f aca="false">COUNTIF(원본데이터!$C$3:$C$200,A12)</f>
        <v>2</v>
      </c>
      <c r="C12" s="14" t="n">
        <f aca="false">SUMIF(원본데이터!$C$3:$C$200,A12,원본데이터!$G$3:$G$200)</f>
        <v>50</v>
      </c>
      <c r="D12" s="14" t="n">
        <f aca="false">SUMIF(원본데이터!$C$3:$C$200,A12,원본데이터!$H$3:$H$200)</f>
        <v>50</v>
      </c>
      <c r="E12" s="14" t="n">
        <f aca="false">SUMIF(원본데이터!$C$3:$C$200,A12,원본데이터!$I$3:$I$200)</f>
        <v>0</v>
      </c>
      <c r="F12" s="18" t="str">
        <f aca="false">IF(A12&lt;요약!$C$4,IF(E12&gt;0,"연체","완료"),IF(E12&gt;0,"임박/예정",""))</f>
        <v>완료</v>
      </c>
    </row>
    <row r="13" customFormat="false" ht="17.15" hidden="false" customHeight="false" outlineLevel="0" collapsed="false">
      <c r="A13" s="17" t="n">
        <v>46195</v>
      </c>
      <c r="B13" s="14" t="n">
        <f aca="false">COUNTIF(원본데이터!$C$3:$C$200,A13)</f>
        <v>7</v>
      </c>
      <c r="C13" s="14" t="n">
        <f aca="false">SUMIF(원본데이터!$C$3:$C$200,A13,원본데이터!$G$3:$G$200)</f>
        <v>492</v>
      </c>
      <c r="D13" s="14" t="n">
        <f aca="false">SUMIF(원본데이터!$C$3:$C$200,A13,원본데이터!$H$3:$H$200)</f>
        <v>492</v>
      </c>
      <c r="E13" s="14" t="n">
        <f aca="false">SUMIF(원본데이터!$C$3:$C$200,A13,원본데이터!$I$3:$I$200)</f>
        <v>0</v>
      </c>
      <c r="F13" s="18" t="str">
        <f aca="false">IF(A13&lt;요약!$C$4,IF(E13&gt;0,"연체","완료"),IF(E13&gt;0,"임박/예정",""))</f>
        <v>완료</v>
      </c>
    </row>
    <row r="14" customFormat="false" ht="17.15" hidden="false" customHeight="false" outlineLevel="0" collapsed="false">
      <c r="A14" s="17" t="n">
        <v>46198</v>
      </c>
      <c r="B14" s="14" t="n">
        <f aca="false">COUNTIF(원본데이터!$C$3:$C$200,A14)</f>
        <v>5</v>
      </c>
      <c r="C14" s="14" t="n">
        <f aca="false">SUMIF(원본데이터!$C$3:$C$200,A14,원본데이터!$G$3:$G$200)</f>
        <v>130</v>
      </c>
      <c r="D14" s="14" t="n">
        <f aca="false">SUMIF(원본데이터!$C$3:$C$200,A14,원본데이터!$H$3:$H$200)</f>
        <v>130</v>
      </c>
      <c r="E14" s="14" t="n">
        <f aca="false">SUMIF(원본데이터!$C$3:$C$200,A14,원본데이터!$I$3:$I$200)</f>
        <v>0</v>
      </c>
      <c r="F14" s="18" t="str">
        <f aca="false">IF(A14&lt;요약!$C$4,IF(E14&gt;0,"연체","완료"),IF(E14&gt;0,"임박/예정",""))</f>
        <v>완료</v>
      </c>
    </row>
    <row r="15" customFormat="false" ht="17.15" hidden="false" customHeight="false" outlineLevel="0" collapsed="false">
      <c r="A15" s="17" t="n">
        <v>46199</v>
      </c>
      <c r="B15" s="14" t="n">
        <f aca="false">COUNTIF(원본데이터!$C$3:$C$200,A15)</f>
        <v>1</v>
      </c>
      <c r="C15" s="14" t="n">
        <f aca="false">SUMIF(원본데이터!$C$3:$C$200,A15,원본데이터!$G$3:$G$200)</f>
        <v>1</v>
      </c>
      <c r="D15" s="14" t="n">
        <f aca="false">SUMIF(원본데이터!$C$3:$C$200,A15,원본데이터!$H$3:$H$200)</f>
        <v>1</v>
      </c>
      <c r="E15" s="14" t="n">
        <f aca="false">SUMIF(원본데이터!$C$3:$C$200,A15,원본데이터!$I$3:$I$200)</f>
        <v>0</v>
      </c>
      <c r="F15" s="18" t="str">
        <f aca="false">IF(A15&lt;요약!$C$4,IF(E15&gt;0,"연체","완료"),IF(E15&gt;0,"임박/예정",""))</f>
        <v>완료</v>
      </c>
    </row>
    <row r="16" customFormat="false" ht="17.15" hidden="false" customHeight="false" outlineLevel="0" collapsed="false">
      <c r="A16" s="17" t="n">
        <v>46200</v>
      </c>
      <c r="B16" s="14" t="n">
        <f aca="false">COUNTIF(원본데이터!$C$3:$C$200,A16)</f>
        <v>3</v>
      </c>
      <c r="C16" s="14" t="n">
        <f aca="false">SUMIF(원본데이터!$C$3:$C$200,A16,원본데이터!$G$3:$G$200)</f>
        <v>298</v>
      </c>
      <c r="D16" s="14" t="n">
        <f aca="false">SUMIF(원본데이터!$C$3:$C$200,A16,원본데이터!$H$3:$H$200)</f>
        <v>298</v>
      </c>
      <c r="E16" s="14" t="n">
        <f aca="false">SUMIF(원본데이터!$C$3:$C$200,A16,원본데이터!$I$3:$I$200)</f>
        <v>0</v>
      </c>
      <c r="F16" s="18" t="str">
        <f aca="false">IF(A16&lt;요약!$C$4,IF(E16&gt;0,"연체","완료"),IF(E16&gt;0,"임박/예정",""))</f>
        <v>완료</v>
      </c>
    </row>
    <row r="17" customFormat="false" ht="17.15" hidden="false" customHeight="false" outlineLevel="0" collapsed="false">
      <c r="A17" s="17" t="n">
        <v>46201</v>
      </c>
      <c r="B17" s="14" t="n">
        <f aca="false">COUNTIF(원본데이터!$C$3:$C$200,A17)</f>
        <v>3</v>
      </c>
      <c r="C17" s="14" t="n">
        <f aca="false">SUMIF(원본데이터!$C$3:$C$200,A17,원본데이터!$G$3:$G$200)</f>
        <v>28</v>
      </c>
      <c r="D17" s="14" t="n">
        <f aca="false">SUMIF(원본데이터!$C$3:$C$200,A17,원본데이터!$H$3:$H$200)</f>
        <v>28</v>
      </c>
      <c r="E17" s="14" t="n">
        <f aca="false">SUMIF(원본데이터!$C$3:$C$200,A17,원본데이터!$I$3:$I$200)</f>
        <v>0</v>
      </c>
      <c r="F17" s="18" t="str">
        <f aca="false">IF(A17&lt;요약!$C$4,IF(E17&gt;0,"연체","완료"),IF(E17&gt;0,"임박/예정",""))</f>
        <v>완료</v>
      </c>
    </row>
    <row r="18" customFormat="false" ht="17.15" hidden="false" customHeight="false" outlineLevel="0" collapsed="false">
      <c r="A18" s="17" t="n">
        <v>46202</v>
      </c>
      <c r="B18" s="14" t="n">
        <f aca="false">COUNTIF(원본데이터!$C$3:$C$200,A18)</f>
        <v>4</v>
      </c>
      <c r="C18" s="14" t="n">
        <f aca="false">SUMIF(원본데이터!$C$3:$C$200,A18,원본데이터!$G$3:$G$200)</f>
        <v>223</v>
      </c>
      <c r="D18" s="14" t="n">
        <f aca="false">SUMIF(원본데이터!$C$3:$C$200,A18,원본데이터!$H$3:$H$200)</f>
        <v>223</v>
      </c>
      <c r="E18" s="14" t="n">
        <f aca="false">SUMIF(원본데이터!$C$3:$C$200,A18,원본데이터!$I$3:$I$200)</f>
        <v>0</v>
      </c>
      <c r="F18" s="18" t="str">
        <f aca="false">IF(A18&lt;요약!$C$4,IF(E18&gt;0,"연체","완료"),IF(E18&gt;0,"임박/예정",""))</f>
        <v>완료</v>
      </c>
    </row>
    <row r="19" customFormat="false" ht="17.15" hidden="false" customHeight="false" outlineLevel="0" collapsed="false">
      <c r="A19" s="17" t="n">
        <v>46204</v>
      </c>
      <c r="B19" s="14" t="n">
        <f aca="false">COUNTIF(원본데이터!$C$3:$C$200,A19)</f>
        <v>2</v>
      </c>
      <c r="C19" s="14" t="n">
        <f aca="false">SUMIF(원본데이터!$C$3:$C$200,A19,원본데이터!$G$3:$G$200)</f>
        <v>11</v>
      </c>
      <c r="D19" s="14" t="n">
        <f aca="false">SUMIF(원본데이터!$C$3:$C$200,A19,원본데이터!$H$3:$H$200)</f>
        <v>2</v>
      </c>
      <c r="E19" s="14" t="n">
        <f aca="false">SUMIF(원본데이터!$C$3:$C$200,A19,원본데이터!$I$3:$I$200)</f>
        <v>9</v>
      </c>
      <c r="F19" s="18" t="str">
        <f aca="false">IF(A19&lt;요약!$C$4,IF(E19&gt;0,"연체","완료"),IF(E19&gt;0,"임박/예정",""))</f>
        <v>연체</v>
      </c>
    </row>
    <row r="20" customFormat="false" ht="17.15" hidden="false" customHeight="false" outlineLevel="0" collapsed="false">
      <c r="A20" s="17" t="n">
        <v>46205</v>
      </c>
      <c r="B20" s="14" t="n">
        <f aca="false">COUNTIF(원본데이터!$C$3:$C$200,A20)</f>
        <v>3</v>
      </c>
      <c r="C20" s="14" t="n">
        <f aca="false">SUMIF(원본데이터!$C$3:$C$200,A20,원본데이터!$G$3:$G$200)</f>
        <v>252</v>
      </c>
      <c r="D20" s="14" t="n">
        <f aca="false">SUMIF(원본데이터!$C$3:$C$200,A20,원본데이터!$H$3:$H$200)</f>
        <v>252</v>
      </c>
      <c r="E20" s="14" t="n">
        <f aca="false">SUMIF(원본데이터!$C$3:$C$200,A20,원본데이터!$I$3:$I$200)</f>
        <v>0</v>
      </c>
      <c r="F20" s="18" t="str">
        <f aca="false">IF(A20&lt;요약!$C$4,IF(E20&gt;0,"연체","완료"),IF(E20&gt;0,"임박/예정",""))</f>
        <v>완료</v>
      </c>
    </row>
    <row r="21" customFormat="false" ht="17.15" hidden="false" customHeight="false" outlineLevel="0" collapsed="false">
      <c r="A21" s="17" t="n">
        <v>46206</v>
      </c>
      <c r="B21" s="14" t="n">
        <f aca="false">COUNTIF(원본데이터!$C$3:$C$200,A21)</f>
        <v>4</v>
      </c>
      <c r="C21" s="14" t="n">
        <f aca="false">SUMIF(원본데이터!$C$3:$C$200,A21,원본데이터!$G$3:$G$200)</f>
        <v>101</v>
      </c>
      <c r="D21" s="14" t="n">
        <f aca="false">SUMIF(원본데이터!$C$3:$C$200,A21,원본데이터!$H$3:$H$200)</f>
        <v>72</v>
      </c>
      <c r="E21" s="14" t="n">
        <f aca="false">SUMIF(원본데이터!$C$3:$C$200,A21,원본데이터!$I$3:$I$200)</f>
        <v>29</v>
      </c>
      <c r="F21" s="18" t="str">
        <f aca="false">IF(A21&lt;요약!$C$4,IF(E21&gt;0,"연체","완료"),IF(E21&gt;0,"임박/예정",""))</f>
        <v>연체</v>
      </c>
    </row>
    <row r="22" customFormat="false" ht="17.15" hidden="false" customHeight="false" outlineLevel="0" collapsed="false">
      <c r="A22" s="17" t="n">
        <v>46207</v>
      </c>
      <c r="B22" s="14" t="n">
        <f aca="false">COUNTIF(원본데이터!$C$3:$C$200,A22)</f>
        <v>3</v>
      </c>
      <c r="C22" s="14" t="n">
        <f aca="false">SUMIF(원본데이터!$C$3:$C$200,A22,원본데이터!$G$3:$G$200)</f>
        <v>26</v>
      </c>
      <c r="D22" s="14" t="n">
        <f aca="false">SUMIF(원본데이터!$C$3:$C$200,A22,원본데이터!$H$3:$H$200)</f>
        <v>29</v>
      </c>
      <c r="E22" s="14" t="n">
        <f aca="false">SUMIF(원본데이터!$C$3:$C$200,A22,원본데이터!$I$3:$I$200)</f>
        <v>-3</v>
      </c>
      <c r="F22" s="18" t="str">
        <f aca="false">IF(A22&lt;요약!$C$4,IF(E22&gt;0,"연체","완료"),IF(E22&gt;0,"임박/예정",""))</f>
        <v>완료</v>
      </c>
    </row>
    <row r="23" customFormat="false" ht="17.15" hidden="false" customHeight="false" outlineLevel="0" collapsed="false">
      <c r="A23" s="17" t="n">
        <v>46208</v>
      </c>
      <c r="B23" s="14" t="n">
        <f aca="false">COUNTIF(원본데이터!$C$3:$C$200,A23)</f>
        <v>5</v>
      </c>
      <c r="C23" s="14" t="n">
        <f aca="false">SUMIF(원본데이터!$C$3:$C$200,A23,원본데이터!$G$3:$G$200)</f>
        <v>188</v>
      </c>
      <c r="D23" s="14" t="n">
        <f aca="false">SUMIF(원본데이터!$C$3:$C$200,A23,원본데이터!$H$3:$H$200)</f>
        <v>38</v>
      </c>
      <c r="E23" s="14" t="n">
        <f aca="false">SUMIF(원본데이터!$C$3:$C$200,A23,원본데이터!$I$3:$I$200)</f>
        <v>150</v>
      </c>
      <c r="F23" s="18" t="str">
        <f aca="false">IF(A23&lt;요약!$C$4,IF(E23&gt;0,"연체","완료"),IF(E23&gt;0,"임박/예정",""))</f>
        <v>연체</v>
      </c>
    </row>
    <row r="24" customFormat="false" ht="17.15" hidden="false" customHeight="false" outlineLevel="0" collapsed="false">
      <c r="A24" s="17" t="n">
        <v>46209</v>
      </c>
      <c r="B24" s="14" t="n">
        <f aca="false">COUNTIF(원본데이터!$C$3:$C$200,A24)</f>
        <v>5</v>
      </c>
      <c r="C24" s="14" t="n">
        <f aca="false">SUMIF(원본데이터!$C$3:$C$200,A24,원본데이터!$G$3:$G$200)</f>
        <v>130</v>
      </c>
      <c r="D24" s="14" t="n">
        <f aca="false">SUMIF(원본데이터!$C$3:$C$200,A24,원본데이터!$H$3:$H$200)</f>
        <v>84</v>
      </c>
      <c r="E24" s="14" t="n">
        <f aca="false">SUMIF(원본데이터!$C$3:$C$200,A24,원본데이터!$I$3:$I$200)</f>
        <v>46</v>
      </c>
      <c r="F24" s="18" t="str">
        <f aca="false">IF(A24&lt;요약!$C$4,IF(E24&gt;0,"연체","완료"),IF(E24&gt;0,"임박/예정",""))</f>
        <v>연체</v>
      </c>
    </row>
    <row r="25" customFormat="false" ht="17.15" hidden="false" customHeight="false" outlineLevel="0" collapsed="false">
      <c r="A25" s="17" t="n">
        <v>46212</v>
      </c>
      <c r="B25" s="14" t="n">
        <f aca="false">COUNTIF(원본데이터!$C$3:$C$200,A25)</f>
        <v>1</v>
      </c>
      <c r="C25" s="14" t="n">
        <f aca="false">SUMIF(원본데이터!$C$3:$C$200,A25,원본데이터!$G$3:$G$200)</f>
        <v>1</v>
      </c>
      <c r="D25" s="14" t="n">
        <f aca="false">SUMIF(원본데이터!$C$3:$C$200,A25,원본데이터!$H$3:$H$200)</f>
        <v>1</v>
      </c>
      <c r="E25" s="14" t="n">
        <f aca="false">SUMIF(원본데이터!$C$3:$C$200,A25,원본데이터!$I$3:$I$200)</f>
        <v>0</v>
      </c>
      <c r="F25" s="18" t="str">
        <f aca="false">IF(A25&lt;요약!$C$4,IF(E25&gt;0,"연체","완료"),IF(E25&gt;0,"임박/예정",""))</f>
        <v>완료</v>
      </c>
    </row>
    <row r="26" customFormat="false" ht="17.15" hidden="false" customHeight="false" outlineLevel="0" collapsed="false">
      <c r="A26" s="17" t="n">
        <v>46213</v>
      </c>
      <c r="B26" s="14" t="n">
        <f aca="false">COUNTIF(원본데이터!$C$3:$C$200,A26)</f>
        <v>3</v>
      </c>
      <c r="C26" s="14" t="n">
        <f aca="false">SUMIF(원본데이터!$C$3:$C$200,A26,원본데이터!$G$3:$G$200)</f>
        <v>40</v>
      </c>
      <c r="D26" s="14" t="n">
        <f aca="false">SUMIF(원본데이터!$C$3:$C$200,A26,원본데이터!$H$3:$H$200)</f>
        <v>28</v>
      </c>
      <c r="E26" s="14" t="n">
        <f aca="false">SUMIF(원본데이터!$C$3:$C$200,A26,원본데이터!$I$3:$I$200)</f>
        <v>12</v>
      </c>
      <c r="F26" s="18" t="str">
        <f aca="false">IF(A26&lt;요약!$C$4,IF(E26&gt;0,"연체","완료"),IF(E26&gt;0,"임박/예정",""))</f>
        <v>연체</v>
      </c>
    </row>
    <row r="27" customFormat="false" ht="17.15" hidden="false" customHeight="false" outlineLevel="0" collapsed="false">
      <c r="A27" s="17" t="n">
        <v>46215</v>
      </c>
      <c r="B27" s="14" t="n">
        <f aca="false">COUNTIF(원본데이터!$C$3:$C$200,A27)</f>
        <v>3</v>
      </c>
      <c r="C27" s="14" t="n">
        <f aca="false">SUMIF(원본데이터!$C$3:$C$200,A27,원본데이터!$G$3:$G$200)</f>
        <v>17</v>
      </c>
      <c r="D27" s="14" t="n">
        <f aca="false">SUMIF(원본데이터!$C$3:$C$200,A27,원본데이터!$H$3:$H$200)</f>
        <v>6</v>
      </c>
      <c r="E27" s="14" t="n">
        <f aca="false">SUMIF(원본데이터!$C$3:$C$200,A27,원본데이터!$I$3:$I$200)</f>
        <v>11</v>
      </c>
      <c r="F27" s="18" t="str">
        <f aca="false">IF(A27&lt;요약!$C$4,IF(E27&gt;0,"연체","완료"),IF(E27&gt;0,"임박/예정",""))</f>
        <v>연체</v>
      </c>
    </row>
    <row r="28" customFormat="false" ht="17.15" hidden="false" customHeight="false" outlineLevel="0" collapsed="false">
      <c r="A28" s="17" t="n">
        <v>46216</v>
      </c>
      <c r="B28" s="14" t="n">
        <f aca="false">COUNTIF(원본데이터!$C$3:$C$200,A28)</f>
        <v>3</v>
      </c>
      <c r="C28" s="14" t="n">
        <f aca="false">SUMIF(원본데이터!$C$3:$C$200,A28,원본데이터!$G$3:$G$200)</f>
        <v>140</v>
      </c>
      <c r="D28" s="14" t="n">
        <f aca="false">SUMIF(원본데이터!$C$3:$C$200,A28,원본데이터!$H$3:$H$200)</f>
        <v>5</v>
      </c>
      <c r="E28" s="14" t="n">
        <f aca="false">SUMIF(원본데이터!$C$3:$C$200,A28,원본데이터!$I$3:$I$200)</f>
        <v>135</v>
      </c>
      <c r="F28" s="18" t="str">
        <f aca="false">IF(A28&lt;요약!$C$4,IF(E28&gt;0,"연체","완료"),IF(E28&gt;0,"임박/예정",""))</f>
        <v>연체</v>
      </c>
    </row>
    <row r="29" customFormat="false" ht="17.15" hidden="false" customHeight="false" outlineLevel="0" collapsed="false">
      <c r="A29" s="17" t="n">
        <v>46219</v>
      </c>
      <c r="B29" s="14" t="n">
        <f aca="false">COUNTIF(원본데이터!$C$3:$C$200,A29)</f>
        <v>3</v>
      </c>
      <c r="C29" s="14" t="n">
        <f aca="false">SUMIF(원본데이터!$C$3:$C$200,A29,원본데이터!$G$3:$G$200)</f>
        <v>27</v>
      </c>
      <c r="D29" s="14" t="n">
        <f aca="false">SUMIF(원본데이터!$C$3:$C$200,A29,원본데이터!$H$3:$H$200)</f>
        <v>0</v>
      </c>
      <c r="E29" s="14" t="n">
        <f aca="false">SUMIF(원본데이터!$C$3:$C$200,A29,원본데이터!$I$3:$I$200)</f>
        <v>27</v>
      </c>
      <c r="F29" s="18" t="str">
        <f aca="false">IF(A29&lt;요약!$C$4,IF(E29&gt;0,"연체","완료"),IF(E29&gt;0,"임박/예정",""))</f>
        <v>임박/예정</v>
      </c>
    </row>
    <row r="30" customFormat="false" ht="17.15" hidden="false" customHeight="false" outlineLevel="0" collapsed="false">
      <c r="A30" s="17" t="n">
        <v>46220</v>
      </c>
      <c r="B30" s="14" t="n">
        <f aca="false">COUNTIF(원본데이터!$C$3:$C$200,A30)</f>
        <v>1</v>
      </c>
      <c r="C30" s="14" t="n">
        <f aca="false">SUMIF(원본데이터!$C$3:$C$200,A30,원본데이터!$G$3:$G$200)</f>
        <v>7</v>
      </c>
      <c r="D30" s="14" t="n">
        <f aca="false">SUMIF(원본데이터!$C$3:$C$200,A30,원본데이터!$H$3:$H$200)</f>
        <v>0</v>
      </c>
      <c r="E30" s="14" t="n">
        <f aca="false">SUMIF(원본데이터!$C$3:$C$200,A30,원본데이터!$I$3:$I$200)</f>
        <v>7</v>
      </c>
      <c r="F30" s="18" t="str">
        <f aca="false">IF(A30&lt;요약!$C$4,IF(E30&gt;0,"연체","완료"),IF(E30&gt;0,"임박/예정",""))</f>
        <v>임박/예정</v>
      </c>
    </row>
    <row r="31" customFormat="false" ht="17.15" hidden="false" customHeight="false" outlineLevel="0" collapsed="false">
      <c r="A31" s="17" t="n">
        <v>46221</v>
      </c>
      <c r="B31" s="14" t="n">
        <f aca="false">COUNTIF(원본데이터!$C$3:$C$200,A31)</f>
        <v>4</v>
      </c>
      <c r="C31" s="14" t="n">
        <f aca="false">SUMIF(원본데이터!$C$3:$C$200,A31,원본데이터!$G$3:$G$200)</f>
        <v>42</v>
      </c>
      <c r="D31" s="14" t="n">
        <f aca="false">SUMIF(원본데이터!$C$3:$C$200,A31,원본데이터!$H$3:$H$200)</f>
        <v>6</v>
      </c>
      <c r="E31" s="14" t="n">
        <f aca="false">SUMIF(원본데이터!$C$3:$C$200,A31,원본데이터!$I$3:$I$200)</f>
        <v>36</v>
      </c>
      <c r="F31" s="18" t="str">
        <f aca="false">IF(A31&lt;요약!$C$4,IF(E31&gt;0,"연체","완료"),IF(E31&gt;0,"임박/예정",""))</f>
        <v>임박/예정</v>
      </c>
    </row>
    <row r="32" customFormat="false" ht="17.15" hidden="false" customHeight="false" outlineLevel="0" collapsed="false">
      <c r="A32" s="17" t="n">
        <v>46222</v>
      </c>
      <c r="B32" s="14" t="n">
        <f aca="false">COUNTIF(원본데이터!$C$3:$C$200,A32)</f>
        <v>3</v>
      </c>
      <c r="C32" s="14" t="n">
        <f aca="false">SUMIF(원본데이터!$C$3:$C$200,A32,원본데이터!$G$3:$G$200)</f>
        <v>321</v>
      </c>
      <c r="D32" s="14" t="n">
        <f aca="false">SUMIF(원본데이터!$C$3:$C$200,A32,원본데이터!$H$3:$H$200)</f>
        <v>0</v>
      </c>
      <c r="E32" s="14" t="n">
        <f aca="false">SUMIF(원본데이터!$C$3:$C$200,A32,원본데이터!$I$3:$I$200)</f>
        <v>321</v>
      </c>
      <c r="F32" s="18" t="str">
        <f aca="false">IF(A32&lt;요약!$C$4,IF(E32&gt;0,"연체","완료"),IF(E32&gt;0,"임박/예정",""))</f>
        <v>임박/예정</v>
      </c>
    </row>
    <row r="33" customFormat="false" ht="17.15" hidden="false" customHeight="false" outlineLevel="0" collapsed="false">
      <c r="A33" s="17" t="n">
        <v>46223</v>
      </c>
      <c r="B33" s="14" t="n">
        <f aca="false">COUNTIF(원본데이터!$C$3:$C$200,A33)</f>
        <v>8</v>
      </c>
      <c r="C33" s="14" t="n">
        <f aca="false">SUMIF(원본데이터!$C$3:$C$200,A33,원본데이터!$G$3:$G$200)</f>
        <v>264</v>
      </c>
      <c r="D33" s="14" t="n">
        <f aca="false">SUMIF(원본데이터!$C$3:$C$200,A33,원본데이터!$H$3:$H$200)</f>
        <v>0</v>
      </c>
      <c r="E33" s="14" t="n">
        <f aca="false">SUMIF(원본데이터!$C$3:$C$200,A33,원본데이터!$I$3:$I$200)</f>
        <v>264</v>
      </c>
      <c r="F33" s="18" t="str">
        <f aca="false">IF(A33&lt;요약!$C$4,IF(E33&gt;0,"연체","완료"),IF(E33&gt;0,"임박/예정",""))</f>
        <v>임박/예정</v>
      </c>
    </row>
    <row r="34" customFormat="false" ht="17.15" hidden="false" customHeight="false" outlineLevel="0" collapsed="false">
      <c r="A34" s="17" t="n">
        <v>46226</v>
      </c>
      <c r="B34" s="14" t="n">
        <f aca="false">COUNTIF(원본데이터!$C$3:$C$200,A34)</f>
        <v>2</v>
      </c>
      <c r="C34" s="14" t="n">
        <f aca="false">SUMIF(원본데이터!$C$3:$C$200,A34,원본데이터!$G$3:$G$200)</f>
        <v>149</v>
      </c>
      <c r="D34" s="14" t="n">
        <f aca="false">SUMIF(원본데이터!$C$3:$C$200,A34,원본데이터!$H$3:$H$200)</f>
        <v>5</v>
      </c>
      <c r="E34" s="14" t="n">
        <f aca="false">SUMIF(원본데이터!$C$3:$C$200,A34,원본데이터!$I$3:$I$200)</f>
        <v>144</v>
      </c>
      <c r="F34" s="18" t="str">
        <f aca="false">IF(A34&lt;요약!$C$4,IF(E34&gt;0,"연체","완료"),IF(E34&gt;0,"임박/예정",""))</f>
        <v>임박/예정</v>
      </c>
    </row>
    <row r="35" customFormat="false" ht="17.15" hidden="false" customHeight="false" outlineLevel="0" collapsed="false">
      <c r="A35" s="17" t="n">
        <v>46228</v>
      </c>
      <c r="B35" s="14" t="n">
        <f aca="false">COUNTIF(원본데이터!$C$3:$C$200,A35)</f>
        <v>6</v>
      </c>
      <c r="C35" s="14" t="n">
        <f aca="false">SUMIF(원본데이터!$C$3:$C$200,A35,원본데이터!$G$3:$G$200)</f>
        <v>109</v>
      </c>
      <c r="D35" s="14" t="n">
        <f aca="false">SUMIF(원본데이터!$C$3:$C$200,A35,원본데이터!$H$3:$H$200)</f>
        <v>0</v>
      </c>
      <c r="E35" s="14" t="n">
        <f aca="false">SUMIF(원본데이터!$C$3:$C$200,A35,원본데이터!$I$3:$I$200)</f>
        <v>109</v>
      </c>
      <c r="F35" s="18" t="str">
        <f aca="false">IF(A35&lt;요약!$C$4,IF(E35&gt;0,"연체","완료"),IF(E35&gt;0,"임박/예정",""))</f>
        <v>임박/예정</v>
      </c>
    </row>
  </sheetData>
  <conditionalFormatting sqref="F4:F35">
    <cfRule type="cellIs" priority="2" operator="equal" aboveAverage="0" equalAverage="0" bottom="0" percent="0" rank="0" text="" dxfId="0">
      <formula>"연체"</formula>
    </cfRule>
    <cfRule type="cellIs" priority="3" operator="equal" aboveAverage="0" equalAverage="0" bottom="0" percent="0" rank="0" text="" dxfId="1">
      <formula>"임박/예정"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4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38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11"/>
  </cols>
  <sheetData>
    <row r="2" customFormat="false" ht="20.1" hidden="false" customHeight="false" outlineLevel="0" collapsed="false">
      <c r="A2" s="11" t="s">
        <v>34</v>
      </c>
      <c r="B2" s="11" t="s">
        <v>35</v>
      </c>
      <c r="C2" s="11" t="s">
        <v>32</v>
      </c>
      <c r="D2" s="11" t="s">
        <v>36</v>
      </c>
      <c r="E2" s="11" t="s">
        <v>37</v>
      </c>
      <c r="F2" s="11" t="s">
        <v>38</v>
      </c>
      <c r="G2" s="11" t="s">
        <v>18</v>
      </c>
      <c r="H2" s="11" t="s">
        <v>19</v>
      </c>
      <c r="I2" s="11" t="s">
        <v>20</v>
      </c>
      <c r="J2" s="11" t="s">
        <v>15</v>
      </c>
      <c r="K2" s="11" t="s">
        <v>16</v>
      </c>
      <c r="L2" s="11" t="s">
        <v>39</v>
      </c>
    </row>
    <row r="3" customFormat="false" ht="20.1" hidden="false" customHeight="false" outlineLevel="0" collapsed="false">
      <c r="A3" s="19" t="s">
        <v>40</v>
      </c>
      <c r="B3" s="20" t="n">
        <v>46218</v>
      </c>
      <c r="C3" s="20" t="n">
        <v>46228</v>
      </c>
      <c r="D3" s="6" t="s">
        <v>41</v>
      </c>
      <c r="E3" s="6" t="s">
        <v>42</v>
      </c>
      <c r="F3" s="19" t="s">
        <v>43</v>
      </c>
      <c r="G3" s="21" t="n">
        <v>67</v>
      </c>
      <c r="H3" s="21" t="n">
        <v>0</v>
      </c>
      <c r="I3" s="21" t="n">
        <f aca="false">G3-H3</f>
        <v>67</v>
      </c>
      <c r="J3" s="19" t="s">
        <v>21</v>
      </c>
      <c r="K3" s="6" t="str">
        <f aca="false">IFERROR(INDEX({"미착수(신규접수)","진행중","부분출고","출고완료"},MATCH(J3,{"SD200000","SD200100","SD200300","SD200500"},0)),"미확인")</f>
        <v>미착수(신규접수)</v>
      </c>
      <c r="L3" s="19" t="str">
        <f aca="false">IF(AND(C3&lt;요약!$C$4,I3&gt;0),"연체","")</f>
        <v/>
      </c>
    </row>
    <row r="4" customFormat="false" ht="20.1" hidden="false" customHeight="false" outlineLevel="0" collapsed="false">
      <c r="A4" s="19" t="s">
        <v>44</v>
      </c>
      <c r="B4" s="20" t="n">
        <v>46218</v>
      </c>
      <c r="C4" s="20" t="n">
        <v>46228</v>
      </c>
      <c r="D4" s="6" t="s">
        <v>45</v>
      </c>
      <c r="E4" s="6"/>
      <c r="F4" s="6" t="s">
        <v>46</v>
      </c>
      <c r="G4" s="21" t="n">
        <v>3</v>
      </c>
      <c r="H4" s="21" t="n">
        <v>0</v>
      </c>
      <c r="I4" s="21" t="n">
        <f aca="false">G4-H4</f>
        <v>3</v>
      </c>
      <c r="J4" s="19" t="s">
        <v>21</v>
      </c>
      <c r="K4" s="6" t="str">
        <f aca="false">IFERROR(INDEX({"미착수(신규접수)","진행중","부분출고","출고완료"},MATCH(J4,{"SD200000","SD200100","SD200300","SD200500"},0)),"미확인")</f>
        <v>미착수(신규접수)</v>
      </c>
      <c r="L4" s="19" t="str">
        <f aca="false">IF(AND(C4&lt;요약!$C$4,I4&gt;0),"연체","")</f>
        <v/>
      </c>
    </row>
    <row r="5" customFormat="false" ht="20.1" hidden="false" customHeight="false" outlineLevel="0" collapsed="false">
      <c r="A5" s="19" t="s">
        <v>47</v>
      </c>
      <c r="B5" s="20" t="n">
        <v>46218</v>
      </c>
      <c r="C5" s="20" t="n">
        <v>46228</v>
      </c>
      <c r="D5" s="6" t="s">
        <v>48</v>
      </c>
      <c r="E5" s="6" t="s">
        <v>49</v>
      </c>
      <c r="F5" s="19" t="s">
        <v>50</v>
      </c>
      <c r="G5" s="21" t="n">
        <v>26</v>
      </c>
      <c r="H5" s="21" t="n">
        <v>0</v>
      </c>
      <c r="I5" s="21" t="n">
        <f aca="false">G5-H5</f>
        <v>26</v>
      </c>
      <c r="J5" s="19" t="s">
        <v>21</v>
      </c>
      <c r="K5" s="6" t="str">
        <f aca="false">IFERROR(INDEX({"미착수(신규접수)","진행중","부분출고","출고완료"},MATCH(J5,{"SD200000","SD200100","SD200300","SD200500"},0)),"미확인")</f>
        <v>미착수(신규접수)</v>
      </c>
      <c r="L5" s="19" t="str">
        <f aca="false">IF(AND(C5&lt;요약!$C$4,I5&gt;0),"연체","")</f>
        <v/>
      </c>
    </row>
    <row r="6" customFormat="false" ht="20.1" hidden="false" customHeight="false" outlineLevel="0" collapsed="false">
      <c r="A6" s="19" t="s">
        <v>51</v>
      </c>
      <c r="B6" s="20" t="n">
        <v>46218</v>
      </c>
      <c r="C6" s="20" t="n">
        <v>46228</v>
      </c>
      <c r="D6" s="6" t="s">
        <v>48</v>
      </c>
      <c r="E6" s="6" t="s">
        <v>52</v>
      </c>
      <c r="F6" s="6" t="s">
        <v>46</v>
      </c>
      <c r="G6" s="21" t="n">
        <v>1</v>
      </c>
      <c r="H6" s="21" t="n">
        <v>0</v>
      </c>
      <c r="I6" s="21" t="n">
        <f aca="false">G6-H6</f>
        <v>1</v>
      </c>
      <c r="J6" s="19" t="s">
        <v>21</v>
      </c>
      <c r="K6" s="6" t="str">
        <f aca="false">IFERROR(INDEX({"미착수(신규접수)","진행중","부분출고","출고완료"},MATCH(J6,{"SD200000","SD200100","SD200300","SD200500"},0)),"미확인")</f>
        <v>미착수(신규접수)</v>
      </c>
      <c r="L6" s="19" t="str">
        <f aca="false">IF(AND(C6&lt;요약!$C$4,I6&gt;0),"연체","")</f>
        <v/>
      </c>
    </row>
    <row r="7" customFormat="false" ht="20.1" hidden="false" customHeight="false" outlineLevel="0" collapsed="false">
      <c r="A7" s="19" t="s">
        <v>53</v>
      </c>
      <c r="B7" s="20" t="n">
        <v>46218</v>
      </c>
      <c r="C7" s="20" t="n">
        <v>46228</v>
      </c>
      <c r="D7" s="6" t="s">
        <v>48</v>
      </c>
      <c r="E7" s="6" t="s">
        <v>54</v>
      </c>
      <c r="F7" s="19" t="s">
        <v>55</v>
      </c>
      <c r="G7" s="21" t="n">
        <v>3</v>
      </c>
      <c r="H7" s="21" t="n">
        <v>0</v>
      </c>
      <c r="I7" s="21" t="n">
        <f aca="false">G7-H7</f>
        <v>3</v>
      </c>
      <c r="J7" s="19" t="s">
        <v>21</v>
      </c>
      <c r="K7" s="6" t="str">
        <f aca="false">IFERROR(INDEX({"미착수(신규접수)","진행중","부분출고","출고완료"},MATCH(J7,{"SD200000","SD200100","SD200300","SD200500"},0)),"미확인")</f>
        <v>미착수(신규접수)</v>
      </c>
      <c r="L7" s="19" t="str">
        <f aca="false">IF(AND(C7&lt;요약!$C$4,I7&gt;0),"연체","")</f>
        <v/>
      </c>
    </row>
    <row r="8" customFormat="false" ht="20.1" hidden="false" customHeight="false" outlineLevel="0" collapsed="false">
      <c r="A8" s="19" t="s">
        <v>56</v>
      </c>
      <c r="B8" s="20" t="n">
        <v>46218</v>
      </c>
      <c r="C8" s="20" t="n">
        <v>46228</v>
      </c>
      <c r="D8" s="6" t="s">
        <v>48</v>
      </c>
      <c r="E8" s="6" t="s">
        <v>57</v>
      </c>
      <c r="F8" s="19" t="s">
        <v>58</v>
      </c>
      <c r="G8" s="21" t="n">
        <v>9</v>
      </c>
      <c r="H8" s="21" t="n">
        <v>0</v>
      </c>
      <c r="I8" s="21" t="n">
        <f aca="false">G8-H8</f>
        <v>9</v>
      </c>
      <c r="J8" s="19" t="s">
        <v>21</v>
      </c>
      <c r="K8" s="6" t="str">
        <f aca="false">IFERROR(INDEX({"미착수(신규접수)","진행중","부분출고","출고완료"},MATCH(J8,{"SD200000","SD200100","SD200300","SD200500"},0)),"미확인")</f>
        <v>미착수(신규접수)</v>
      </c>
      <c r="L8" s="19" t="str">
        <f aca="false">IF(AND(C8&lt;요약!$C$4,I8&gt;0),"연체","")</f>
        <v/>
      </c>
    </row>
    <row r="9" customFormat="false" ht="20.1" hidden="false" customHeight="false" outlineLevel="0" collapsed="false">
      <c r="A9" s="19" t="s">
        <v>59</v>
      </c>
      <c r="B9" s="20" t="n">
        <v>46216</v>
      </c>
      <c r="C9" s="20" t="n">
        <v>46226</v>
      </c>
      <c r="D9" s="6" t="s">
        <v>60</v>
      </c>
      <c r="E9" s="6"/>
      <c r="F9" s="19" t="s">
        <v>61</v>
      </c>
      <c r="G9" s="21" t="n">
        <v>144</v>
      </c>
      <c r="H9" s="21" t="n">
        <v>0</v>
      </c>
      <c r="I9" s="21" t="n">
        <f aca="false">G9-H9</f>
        <v>144</v>
      </c>
      <c r="J9" s="19" t="s">
        <v>21</v>
      </c>
      <c r="K9" s="6" t="str">
        <f aca="false">IFERROR(INDEX({"미착수(신규접수)","진행중","부분출고","출고완료"},MATCH(J9,{"SD200000","SD200100","SD200300","SD200500"},0)),"미확인")</f>
        <v>미착수(신규접수)</v>
      </c>
      <c r="L9" s="19" t="str">
        <f aca="false">IF(AND(C9&lt;요약!$C$4,I9&gt;0),"연체","")</f>
        <v/>
      </c>
    </row>
    <row r="10" customFormat="false" ht="20.1" hidden="false" customHeight="false" outlineLevel="0" collapsed="false">
      <c r="A10" s="19" t="s">
        <v>62</v>
      </c>
      <c r="B10" s="20" t="n">
        <v>46216</v>
      </c>
      <c r="C10" s="20" t="n">
        <v>46226</v>
      </c>
      <c r="D10" s="6" t="s">
        <v>63</v>
      </c>
      <c r="E10" s="6"/>
      <c r="F10" s="6" t="s">
        <v>64</v>
      </c>
      <c r="G10" s="21" t="n">
        <v>5</v>
      </c>
      <c r="H10" s="21" t="n">
        <v>5</v>
      </c>
      <c r="I10" s="21" t="n">
        <f aca="false">G10-H10</f>
        <v>0</v>
      </c>
      <c r="J10" s="19" t="s">
        <v>27</v>
      </c>
      <c r="K10" s="6" t="str">
        <f aca="false">IFERROR(INDEX({"미착수(신규접수)","진행중","부분출고","출고완료"},MATCH(J10,{"SD200000","SD200100","SD200300","SD200500"},0)),"미확인")</f>
        <v>출고완료</v>
      </c>
      <c r="L10" s="19" t="str">
        <f aca="false">IF(AND(C10&lt;요약!$C$4,I10&gt;0),"연체","")</f>
        <v/>
      </c>
    </row>
    <row r="11" customFormat="false" ht="20.1" hidden="false" customHeight="false" outlineLevel="0" collapsed="false">
      <c r="A11" s="19" t="s">
        <v>65</v>
      </c>
      <c r="B11" s="20" t="n">
        <v>46213</v>
      </c>
      <c r="C11" s="20" t="n">
        <v>46223</v>
      </c>
      <c r="D11" s="6" t="s">
        <v>66</v>
      </c>
      <c r="E11" s="6"/>
      <c r="F11" s="19" t="s">
        <v>67</v>
      </c>
      <c r="G11" s="21" t="n">
        <v>79</v>
      </c>
      <c r="H11" s="21" t="n">
        <v>0</v>
      </c>
      <c r="I11" s="21" t="n">
        <f aca="false">G11-H11</f>
        <v>79</v>
      </c>
      <c r="J11" s="19" t="s">
        <v>21</v>
      </c>
      <c r="K11" s="6" t="str">
        <f aca="false">IFERROR(INDEX({"미착수(신규접수)","진행중","부분출고","출고완료"},MATCH(J11,{"SD200000","SD200100","SD200300","SD200500"},0)),"미확인")</f>
        <v>미착수(신규접수)</v>
      </c>
      <c r="L11" s="19" t="str">
        <f aca="false">IF(AND(C11&lt;요약!$C$4,I11&gt;0),"연체","")</f>
        <v/>
      </c>
    </row>
    <row r="12" customFormat="false" ht="20.1" hidden="false" customHeight="false" outlineLevel="0" collapsed="false">
      <c r="A12" s="19" t="s">
        <v>68</v>
      </c>
      <c r="B12" s="20" t="n">
        <v>46213</v>
      </c>
      <c r="C12" s="20" t="n">
        <v>46223</v>
      </c>
      <c r="D12" s="6" t="s">
        <v>69</v>
      </c>
      <c r="E12" s="6" t="s">
        <v>70</v>
      </c>
      <c r="F12" s="19" t="s">
        <v>71</v>
      </c>
      <c r="G12" s="21" t="n">
        <v>3</v>
      </c>
      <c r="H12" s="21" t="n">
        <v>0</v>
      </c>
      <c r="I12" s="21" t="n">
        <f aca="false">G12-H12</f>
        <v>3</v>
      </c>
      <c r="J12" s="19" t="s">
        <v>23</v>
      </c>
      <c r="K12" s="6" t="str">
        <f aca="false">IFERROR(INDEX({"미착수(신규접수)","진행중","부분출고","출고완료"},MATCH(J12,{"SD200000","SD200100","SD200300","SD200500"},0)),"미확인")</f>
        <v>진행중</v>
      </c>
      <c r="L12" s="19" t="str">
        <f aca="false">IF(AND(C12&lt;요약!$C$4,I12&gt;0),"연체","")</f>
        <v/>
      </c>
    </row>
    <row r="13" customFormat="false" ht="20.1" hidden="false" customHeight="false" outlineLevel="0" collapsed="false">
      <c r="A13" s="19" t="s">
        <v>72</v>
      </c>
      <c r="B13" s="20" t="n">
        <v>46213</v>
      </c>
      <c r="C13" s="20" t="n">
        <v>46223</v>
      </c>
      <c r="D13" s="6" t="s">
        <v>73</v>
      </c>
      <c r="E13" s="6"/>
      <c r="F13" s="19" t="s">
        <v>74</v>
      </c>
      <c r="G13" s="21" t="n">
        <v>86</v>
      </c>
      <c r="H13" s="21" t="n">
        <v>0</v>
      </c>
      <c r="I13" s="21" t="n">
        <f aca="false">G13-H13</f>
        <v>86</v>
      </c>
      <c r="J13" s="19" t="s">
        <v>21</v>
      </c>
      <c r="K13" s="6" t="str">
        <f aca="false">IFERROR(INDEX({"미착수(신규접수)","진행중","부분출고","출고완료"},MATCH(J13,{"SD200000","SD200100","SD200300","SD200500"},0)),"미확인")</f>
        <v>미착수(신규접수)</v>
      </c>
      <c r="L13" s="19" t="str">
        <f aca="false">IF(AND(C13&lt;요약!$C$4,I13&gt;0),"연체","")</f>
        <v/>
      </c>
    </row>
    <row r="14" customFormat="false" ht="20.1" hidden="false" customHeight="false" outlineLevel="0" collapsed="false">
      <c r="A14" s="19" t="s">
        <v>75</v>
      </c>
      <c r="B14" s="20" t="n">
        <v>46213</v>
      </c>
      <c r="C14" s="20" t="n">
        <v>46223</v>
      </c>
      <c r="D14" s="6" t="s">
        <v>76</v>
      </c>
      <c r="E14" s="6" t="s">
        <v>77</v>
      </c>
      <c r="F14" s="19" t="s">
        <v>78</v>
      </c>
      <c r="G14" s="21" t="n">
        <v>6</v>
      </c>
      <c r="H14" s="21" t="n">
        <v>0</v>
      </c>
      <c r="I14" s="21" t="n">
        <f aca="false">G14-H14</f>
        <v>6</v>
      </c>
      <c r="J14" s="19" t="s">
        <v>21</v>
      </c>
      <c r="K14" s="6" t="str">
        <f aca="false">IFERROR(INDEX({"미착수(신규접수)","진행중","부분출고","출고완료"},MATCH(J14,{"SD200000","SD200100","SD200300","SD200500"},0)),"미확인")</f>
        <v>미착수(신규접수)</v>
      </c>
      <c r="L14" s="19" t="str">
        <f aca="false">IF(AND(C14&lt;요약!$C$4,I14&gt;0),"연체","")</f>
        <v/>
      </c>
    </row>
    <row r="15" customFormat="false" ht="20.1" hidden="false" customHeight="false" outlineLevel="0" collapsed="false">
      <c r="A15" s="19" t="s">
        <v>79</v>
      </c>
      <c r="B15" s="20" t="n">
        <v>46213</v>
      </c>
      <c r="C15" s="20" t="n">
        <v>46223</v>
      </c>
      <c r="D15" s="6" t="s">
        <v>76</v>
      </c>
      <c r="E15" s="6" t="s">
        <v>80</v>
      </c>
      <c r="F15" s="19" t="s">
        <v>78</v>
      </c>
      <c r="G15" s="21" t="n">
        <v>28</v>
      </c>
      <c r="H15" s="21" t="n">
        <v>0</v>
      </c>
      <c r="I15" s="21" t="n">
        <f aca="false">G15-H15</f>
        <v>28</v>
      </c>
      <c r="J15" s="19" t="s">
        <v>21</v>
      </c>
      <c r="K15" s="6" t="str">
        <f aca="false">IFERROR(INDEX({"미착수(신규접수)","진행중","부분출고","출고완료"},MATCH(J15,{"SD200000","SD200100","SD200300","SD200500"},0)),"미확인")</f>
        <v>미착수(신규접수)</v>
      </c>
      <c r="L15" s="19" t="str">
        <f aca="false">IF(AND(C15&lt;요약!$C$4,I15&gt;0),"연체","")</f>
        <v/>
      </c>
    </row>
    <row r="16" customFormat="false" ht="20.1" hidden="false" customHeight="false" outlineLevel="0" collapsed="false">
      <c r="A16" s="19" t="s">
        <v>81</v>
      </c>
      <c r="B16" s="20" t="n">
        <v>46213</v>
      </c>
      <c r="C16" s="20" t="n">
        <v>46223</v>
      </c>
      <c r="D16" s="6" t="s">
        <v>76</v>
      </c>
      <c r="E16" s="6"/>
      <c r="F16" s="19" t="s">
        <v>82</v>
      </c>
      <c r="G16" s="21" t="n">
        <v>2</v>
      </c>
      <c r="H16" s="21" t="n">
        <v>0</v>
      </c>
      <c r="I16" s="21" t="n">
        <f aca="false">G16-H16</f>
        <v>2</v>
      </c>
      <c r="J16" s="19" t="s">
        <v>21</v>
      </c>
      <c r="K16" s="6" t="str">
        <f aca="false">IFERROR(INDEX({"미착수(신규접수)","진행중","부분출고","출고완료"},MATCH(J16,{"SD200000","SD200100","SD200300","SD200500"},0)),"미확인")</f>
        <v>미착수(신규접수)</v>
      </c>
      <c r="L16" s="19" t="str">
        <f aca="false">IF(AND(C16&lt;요약!$C$4,I16&gt;0),"연체","")</f>
        <v/>
      </c>
    </row>
    <row r="17" customFormat="false" ht="20.1" hidden="false" customHeight="false" outlineLevel="0" collapsed="false">
      <c r="A17" s="19" t="s">
        <v>83</v>
      </c>
      <c r="B17" s="20" t="n">
        <v>46213</v>
      </c>
      <c r="C17" s="20" t="n">
        <v>46223</v>
      </c>
      <c r="D17" s="6" t="s">
        <v>84</v>
      </c>
      <c r="E17" s="6"/>
      <c r="F17" s="19" t="s">
        <v>85</v>
      </c>
      <c r="G17" s="21" t="n">
        <v>50</v>
      </c>
      <c r="H17" s="21" t="n">
        <v>0</v>
      </c>
      <c r="I17" s="21" t="n">
        <f aca="false">G17-H17</f>
        <v>50</v>
      </c>
      <c r="J17" s="19" t="s">
        <v>21</v>
      </c>
      <c r="K17" s="6" t="str">
        <f aca="false">IFERROR(INDEX({"미착수(신규접수)","진행중","부분출고","출고완료"},MATCH(J17,{"SD200000","SD200100","SD200300","SD200500"},0)),"미확인")</f>
        <v>미착수(신규접수)</v>
      </c>
      <c r="L17" s="19" t="str">
        <f aca="false">IF(AND(C17&lt;요약!$C$4,I17&gt;0),"연체","")</f>
        <v/>
      </c>
    </row>
    <row r="18" customFormat="false" ht="20.1" hidden="false" customHeight="false" outlineLevel="0" collapsed="false">
      <c r="A18" s="19" t="s">
        <v>86</v>
      </c>
      <c r="B18" s="20" t="n">
        <v>46213</v>
      </c>
      <c r="C18" s="20" t="n">
        <v>46223</v>
      </c>
      <c r="D18" s="6" t="s">
        <v>87</v>
      </c>
      <c r="E18" s="6" t="s">
        <v>88</v>
      </c>
      <c r="F18" s="19" t="s">
        <v>89</v>
      </c>
      <c r="G18" s="21" t="n">
        <v>10</v>
      </c>
      <c r="H18" s="21" t="n">
        <v>0</v>
      </c>
      <c r="I18" s="21" t="n">
        <f aca="false">G18-H18</f>
        <v>10</v>
      </c>
      <c r="J18" s="19" t="s">
        <v>21</v>
      </c>
      <c r="K18" s="6" t="str">
        <f aca="false">IFERROR(INDEX({"미착수(신규접수)","진행중","부분출고","출고완료"},MATCH(J18,{"SD200000","SD200100","SD200300","SD200500"},0)),"미확인")</f>
        <v>미착수(신규접수)</v>
      </c>
      <c r="L18" s="19" t="str">
        <f aca="false">IF(AND(C18&lt;요약!$C$4,I18&gt;0),"연체","")</f>
        <v/>
      </c>
    </row>
    <row r="19" customFormat="false" ht="20.1" hidden="false" customHeight="false" outlineLevel="0" collapsed="false">
      <c r="A19" s="19" t="s">
        <v>90</v>
      </c>
      <c r="B19" s="20" t="n">
        <v>46212</v>
      </c>
      <c r="C19" s="20" t="n">
        <v>46222</v>
      </c>
      <c r="D19" s="6" t="s">
        <v>91</v>
      </c>
      <c r="E19" s="6"/>
      <c r="F19" s="6" t="s">
        <v>46</v>
      </c>
      <c r="G19" s="21" t="n">
        <v>1</v>
      </c>
      <c r="H19" s="21" t="n">
        <v>0</v>
      </c>
      <c r="I19" s="21" t="n">
        <f aca="false">G19-H19</f>
        <v>1</v>
      </c>
      <c r="J19" s="19" t="s">
        <v>21</v>
      </c>
      <c r="K19" s="6" t="str">
        <f aca="false">IFERROR(INDEX({"미착수(신규접수)","진행중","부분출고","출고완료"},MATCH(J19,{"SD200000","SD200100","SD200300","SD200500"},0)),"미확인")</f>
        <v>미착수(신규접수)</v>
      </c>
      <c r="L19" s="19" t="str">
        <f aca="false">IF(AND(C19&lt;요약!$C$4,I19&gt;0),"연체","")</f>
        <v/>
      </c>
    </row>
    <row r="20" customFormat="false" ht="20.1" hidden="false" customHeight="false" outlineLevel="0" collapsed="false">
      <c r="A20" s="19" t="s">
        <v>92</v>
      </c>
      <c r="B20" s="20" t="n">
        <v>46212</v>
      </c>
      <c r="C20" s="20" t="n">
        <v>46222</v>
      </c>
      <c r="D20" s="6" t="s">
        <v>66</v>
      </c>
      <c r="E20" s="6"/>
      <c r="F20" s="19" t="s">
        <v>93</v>
      </c>
      <c r="G20" s="21" t="n">
        <v>119</v>
      </c>
      <c r="H20" s="21" t="n">
        <v>0</v>
      </c>
      <c r="I20" s="21" t="n">
        <f aca="false">G20-H20</f>
        <v>119</v>
      </c>
      <c r="J20" s="19" t="s">
        <v>21</v>
      </c>
      <c r="K20" s="6" t="str">
        <f aca="false">IFERROR(INDEX({"미착수(신규접수)","진행중","부분출고","출고완료"},MATCH(J20,{"SD200000","SD200100","SD200300","SD200500"},0)),"미확인")</f>
        <v>미착수(신규접수)</v>
      </c>
      <c r="L20" s="19" t="str">
        <f aca="false">IF(AND(C20&lt;요약!$C$4,I20&gt;0),"연체","")</f>
        <v/>
      </c>
    </row>
    <row r="21" customFormat="false" ht="20.1" hidden="false" customHeight="false" outlineLevel="0" collapsed="false">
      <c r="A21" s="19" t="s">
        <v>94</v>
      </c>
      <c r="B21" s="20" t="n">
        <v>46212</v>
      </c>
      <c r="C21" s="20" t="n">
        <v>46222</v>
      </c>
      <c r="D21" s="6" t="s">
        <v>95</v>
      </c>
      <c r="E21" s="6"/>
      <c r="F21" s="19" t="s">
        <v>96</v>
      </c>
      <c r="G21" s="21" t="n">
        <v>201</v>
      </c>
      <c r="H21" s="21" t="n">
        <v>0</v>
      </c>
      <c r="I21" s="21" t="n">
        <f aca="false">G21-H21</f>
        <v>201</v>
      </c>
      <c r="J21" s="19" t="s">
        <v>21</v>
      </c>
      <c r="K21" s="6" t="str">
        <f aca="false">IFERROR(INDEX({"미착수(신규접수)","진행중","부분출고","출고완료"},MATCH(J21,{"SD200000","SD200100","SD200300","SD200500"},0)),"미확인")</f>
        <v>미착수(신규접수)</v>
      </c>
      <c r="L21" s="19" t="str">
        <f aca="false">IF(AND(C21&lt;요약!$C$4,I21&gt;0),"연체","")</f>
        <v/>
      </c>
    </row>
    <row r="22" customFormat="false" ht="20.1" hidden="false" customHeight="false" outlineLevel="0" collapsed="false">
      <c r="A22" s="19" t="s">
        <v>97</v>
      </c>
      <c r="B22" s="20" t="n">
        <v>46211</v>
      </c>
      <c r="C22" s="20" t="n">
        <v>46221</v>
      </c>
      <c r="D22" s="6" t="s">
        <v>41</v>
      </c>
      <c r="E22" s="19" t="s">
        <v>98</v>
      </c>
      <c r="F22" s="19" t="s">
        <v>99</v>
      </c>
      <c r="G22" s="21" t="n">
        <v>20</v>
      </c>
      <c r="H22" s="21" t="n">
        <v>5</v>
      </c>
      <c r="I22" s="21" t="n">
        <f aca="false">G22-H22</f>
        <v>15</v>
      </c>
      <c r="J22" s="19" t="s">
        <v>25</v>
      </c>
      <c r="K22" s="6" t="str">
        <f aca="false">IFERROR(INDEX({"미착수(신규접수)","진행중","부분출고","출고완료"},MATCH(J22,{"SD200000","SD200100","SD200300","SD200500"},0)),"미확인")</f>
        <v>부분출고</v>
      </c>
      <c r="L22" s="19" t="str">
        <f aca="false">IF(AND(C22&lt;요약!$C$4,I22&gt;0),"연체","")</f>
        <v/>
      </c>
    </row>
    <row r="23" customFormat="false" ht="20.1" hidden="false" customHeight="false" outlineLevel="0" collapsed="false">
      <c r="A23" s="19" t="s">
        <v>100</v>
      </c>
      <c r="B23" s="20" t="n">
        <v>46211</v>
      </c>
      <c r="C23" s="20" t="n">
        <v>46221</v>
      </c>
      <c r="D23" s="6" t="s">
        <v>41</v>
      </c>
      <c r="E23" s="19" t="s">
        <v>98</v>
      </c>
      <c r="F23" s="19" t="s">
        <v>99</v>
      </c>
      <c r="G23" s="21" t="n">
        <v>18</v>
      </c>
      <c r="H23" s="21" t="n">
        <v>0</v>
      </c>
      <c r="I23" s="21" t="n">
        <f aca="false">G23-H23</f>
        <v>18</v>
      </c>
      <c r="J23" s="19" t="s">
        <v>21</v>
      </c>
      <c r="K23" s="6" t="str">
        <f aca="false">IFERROR(INDEX({"미착수(신규접수)","진행중","부분출고","출고완료"},MATCH(J23,{"SD200000","SD200100","SD200300","SD200500"},0)),"미확인")</f>
        <v>미착수(신규접수)</v>
      </c>
      <c r="L23" s="19" t="str">
        <f aca="false">IF(AND(C23&lt;요약!$C$4,I23&gt;0),"연체","")</f>
        <v/>
      </c>
    </row>
    <row r="24" customFormat="false" ht="20.1" hidden="false" customHeight="false" outlineLevel="0" collapsed="false">
      <c r="A24" s="19" t="s">
        <v>101</v>
      </c>
      <c r="B24" s="20" t="n">
        <v>46211</v>
      </c>
      <c r="C24" s="20" t="n">
        <v>46221</v>
      </c>
      <c r="D24" s="6" t="s">
        <v>102</v>
      </c>
      <c r="E24" s="6" t="s">
        <v>103</v>
      </c>
      <c r="F24" s="19" t="s">
        <v>104</v>
      </c>
      <c r="G24" s="21" t="n">
        <v>3</v>
      </c>
      <c r="H24" s="21" t="n">
        <v>0</v>
      </c>
      <c r="I24" s="21" t="n">
        <f aca="false">G24-H24</f>
        <v>3</v>
      </c>
      <c r="J24" s="19" t="s">
        <v>21</v>
      </c>
      <c r="K24" s="6" t="str">
        <f aca="false">IFERROR(INDEX({"미착수(신규접수)","진행중","부분출고","출고완료"},MATCH(J24,{"SD200000","SD200100","SD200300","SD200500"},0)),"미확인")</f>
        <v>미착수(신규접수)</v>
      </c>
      <c r="L24" s="19" t="str">
        <f aca="false">IF(AND(C24&lt;요약!$C$4,I24&gt;0),"연체","")</f>
        <v/>
      </c>
    </row>
    <row r="25" customFormat="false" ht="20.1" hidden="false" customHeight="false" outlineLevel="0" collapsed="false">
      <c r="A25" s="19" t="s">
        <v>105</v>
      </c>
      <c r="B25" s="20" t="n">
        <v>46211</v>
      </c>
      <c r="C25" s="20" t="n">
        <v>46221</v>
      </c>
      <c r="D25" s="6" t="s">
        <v>102</v>
      </c>
      <c r="E25" s="6" t="s">
        <v>106</v>
      </c>
      <c r="F25" s="19" t="s">
        <v>107</v>
      </c>
      <c r="G25" s="21" t="n">
        <v>1</v>
      </c>
      <c r="H25" s="21" t="n">
        <v>1</v>
      </c>
      <c r="I25" s="21" t="n">
        <f aca="false">G25-H25</f>
        <v>0</v>
      </c>
      <c r="J25" s="19" t="s">
        <v>27</v>
      </c>
      <c r="K25" s="6" t="str">
        <f aca="false">IFERROR(INDEX({"미착수(신규접수)","진행중","부분출고","출고완료"},MATCH(J25,{"SD200000","SD200100","SD200300","SD200500"},0)),"미확인")</f>
        <v>출고완료</v>
      </c>
      <c r="L25" s="19" t="str">
        <f aca="false">IF(AND(C25&lt;요약!$C$4,I25&gt;0),"연체","")</f>
        <v/>
      </c>
    </row>
    <row r="26" customFormat="false" ht="20.1" hidden="false" customHeight="false" outlineLevel="0" collapsed="false">
      <c r="A26" s="19" t="s">
        <v>108</v>
      </c>
      <c r="B26" s="20" t="n">
        <v>46210</v>
      </c>
      <c r="C26" s="20" t="n">
        <v>46220</v>
      </c>
      <c r="D26" s="6" t="s">
        <v>69</v>
      </c>
      <c r="E26" s="6" t="s">
        <v>109</v>
      </c>
      <c r="F26" s="6" t="s">
        <v>46</v>
      </c>
      <c r="G26" s="21" t="n">
        <v>7</v>
      </c>
      <c r="H26" s="21" t="n">
        <v>0</v>
      </c>
      <c r="I26" s="21" t="n">
        <f aca="false">G26-H26</f>
        <v>7</v>
      </c>
      <c r="J26" s="19" t="s">
        <v>21</v>
      </c>
      <c r="K26" s="6" t="str">
        <f aca="false">IFERROR(INDEX({"미착수(신규접수)","진행중","부분출고","출고완료"},MATCH(J26,{"SD200000","SD200100","SD200300","SD200500"},0)),"미확인")</f>
        <v>미착수(신규접수)</v>
      </c>
      <c r="L26" s="19" t="str">
        <f aca="false">IF(AND(C26&lt;요약!$C$4,I26&gt;0),"연체","")</f>
        <v/>
      </c>
    </row>
    <row r="27" customFormat="false" ht="20.1" hidden="false" customHeight="false" outlineLevel="0" collapsed="false">
      <c r="A27" s="19" t="s">
        <v>110</v>
      </c>
      <c r="B27" s="20" t="n">
        <v>46209</v>
      </c>
      <c r="C27" s="20" t="n">
        <v>46219</v>
      </c>
      <c r="D27" s="6" t="s">
        <v>111</v>
      </c>
      <c r="E27" s="6"/>
      <c r="F27" s="19" t="s">
        <v>78</v>
      </c>
      <c r="G27" s="21" t="n">
        <v>10</v>
      </c>
      <c r="H27" s="21" t="n">
        <v>0</v>
      </c>
      <c r="I27" s="21" t="n">
        <f aca="false">G27-H27</f>
        <v>10</v>
      </c>
      <c r="J27" s="19" t="s">
        <v>21</v>
      </c>
      <c r="K27" s="6" t="str">
        <f aca="false">IFERROR(INDEX({"미착수(신규접수)","진행중","부분출고","출고완료"},MATCH(J27,{"SD200000","SD200100","SD200300","SD200500"},0)),"미확인")</f>
        <v>미착수(신규접수)</v>
      </c>
      <c r="L27" s="19" t="str">
        <f aca="false">IF(AND(C27&lt;요약!$C$4,I27&gt;0),"연체","")</f>
        <v/>
      </c>
    </row>
    <row r="28" customFormat="false" ht="20.1" hidden="false" customHeight="false" outlineLevel="0" collapsed="false">
      <c r="A28" s="19" t="s">
        <v>112</v>
      </c>
      <c r="B28" s="20" t="n">
        <v>46209</v>
      </c>
      <c r="C28" s="20" t="n">
        <v>46219</v>
      </c>
      <c r="D28" s="6" t="s">
        <v>113</v>
      </c>
      <c r="E28" s="19" t="s">
        <v>114</v>
      </c>
      <c r="F28" s="19" t="s">
        <v>115</v>
      </c>
      <c r="G28" s="21" t="n">
        <v>15</v>
      </c>
      <c r="H28" s="21" t="n">
        <v>0</v>
      </c>
      <c r="I28" s="21" t="n">
        <f aca="false">G28-H28</f>
        <v>15</v>
      </c>
      <c r="J28" s="19" t="s">
        <v>21</v>
      </c>
      <c r="K28" s="6" t="str">
        <f aca="false">IFERROR(INDEX({"미착수(신규접수)","진행중","부분출고","출고완료"},MATCH(J28,{"SD200000","SD200100","SD200300","SD200500"},0)),"미확인")</f>
        <v>미착수(신규접수)</v>
      </c>
      <c r="L28" s="19" t="str">
        <f aca="false">IF(AND(C28&lt;요약!$C$4,I28&gt;0),"연체","")</f>
        <v/>
      </c>
    </row>
    <row r="29" customFormat="false" ht="20.1" hidden="false" customHeight="false" outlineLevel="0" collapsed="false">
      <c r="A29" s="19" t="s">
        <v>116</v>
      </c>
      <c r="B29" s="20" t="n">
        <v>46209</v>
      </c>
      <c r="C29" s="20" t="n">
        <v>46219</v>
      </c>
      <c r="D29" s="19" t="s">
        <v>117</v>
      </c>
      <c r="E29" s="6"/>
      <c r="F29" s="6" t="s">
        <v>46</v>
      </c>
      <c r="G29" s="21" t="n">
        <v>2</v>
      </c>
      <c r="H29" s="21" t="n">
        <v>0</v>
      </c>
      <c r="I29" s="21" t="n">
        <f aca="false">G29-H29</f>
        <v>2</v>
      </c>
      <c r="J29" s="19" t="s">
        <v>21</v>
      </c>
      <c r="K29" s="6" t="str">
        <f aca="false">IFERROR(INDEX({"미착수(신규접수)","진행중","부분출고","출고완료"},MATCH(J29,{"SD200000","SD200100","SD200300","SD200500"},0)),"미확인")</f>
        <v>미착수(신규접수)</v>
      </c>
      <c r="L29" s="19" t="str">
        <f aca="false">IF(AND(C29&lt;요약!$C$4,I29&gt;0),"연체","")</f>
        <v/>
      </c>
    </row>
    <row r="30" customFormat="false" ht="20.1" hidden="false" customHeight="false" outlineLevel="0" collapsed="false">
      <c r="A30" s="19" t="s">
        <v>118</v>
      </c>
      <c r="B30" s="20" t="n">
        <v>46206</v>
      </c>
      <c r="C30" s="20" t="n">
        <v>46216</v>
      </c>
      <c r="D30" s="19" t="s">
        <v>119</v>
      </c>
      <c r="E30" s="6"/>
      <c r="F30" s="19" t="s">
        <v>120</v>
      </c>
      <c r="G30" s="21" t="n">
        <v>134</v>
      </c>
      <c r="H30" s="21" t="n">
        <v>0</v>
      </c>
      <c r="I30" s="21" t="n">
        <f aca="false">G30-H30</f>
        <v>134</v>
      </c>
      <c r="J30" s="19" t="s">
        <v>21</v>
      </c>
      <c r="K30" s="6" t="str">
        <f aca="false">IFERROR(INDEX({"미착수(신규접수)","진행중","부분출고","출고완료"},MATCH(J30,{"SD200000","SD200100","SD200300","SD200500"},0)),"미확인")</f>
        <v>미착수(신규접수)</v>
      </c>
      <c r="L30" s="19" t="str">
        <f aca="false">IF(AND(C30&lt;요약!$C$4,I30&gt;0),"연체","")</f>
        <v>연체</v>
      </c>
    </row>
    <row r="31" customFormat="false" ht="20.1" hidden="false" customHeight="false" outlineLevel="0" collapsed="false">
      <c r="A31" s="19" t="s">
        <v>121</v>
      </c>
      <c r="B31" s="20" t="n">
        <v>46206</v>
      </c>
      <c r="C31" s="20" t="n">
        <v>46216</v>
      </c>
      <c r="D31" s="6" t="s">
        <v>91</v>
      </c>
      <c r="E31" s="6"/>
      <c r="F31" s="19" t="s">
        <v>122</v>
      </c>
      <c r="G31" s="21" t="n">
        <v>1</v>
      </c>
      <c r="H31" s="21" t="n">
        <v>0</v>
      </c>
      <c r="I31" s="21" t="n">
        <f aca="false">G31-H31</f>
        <v>1</v>
      </c>
      <c r="J31" s="19" t="s">
        <v>21</v>
      </c>
      <c r="K31" s="6" t="str">
        <f aca="false">IFERROR(INDEX({"미착수(신규접수)","진행중","부분출고","출고완료"},MATCH(J31,{"SD200000","SD200100","SD200300","SD200500"},0)),"미확인")</f>
        <v>미착수(신규접수)</v>
      </c>
      <c r="L31" s="19" t="str">
        <f aca="false">IF(AND(C31&lt;요약!$C$4,I31&gt;0),"연체","")</f>
        <v>연체</v>
      </c>
    </row>
    <row r="32" customFormat="false" ht="20.1" hidden="false" customHeight="false" outlineLevel="0" collapsed="false">
      <c r="A32" s="19" t="s">
        <v>123</v>
      </c>
      <c r="B32" s="20" t="n">
        <v>46206</v>
      </c>
      <c r="C32" s="20" t="n">
        <v>46216</v>
      </c>
      <c r="D32" s="19" t="s">
        <v>124</v>
      </c>
      <c r="E32" s="6"/>
      <c r="F32" s="19" t="s">
        <v>125</v>
      </c>
      <c r="G32" s="21" t="n">
        <v>5</v>
      </c>
      <c r="H32" s="21" t="n">
        <v>5</v>
      </c>
      <c r="I32" s="21" t="n">
        <f aca="false">G32-H32</f>
        <v>0</v>
      </c>
      <c r="J32" s="19" t="s">
        <v>27</v>
      </c>
      <c r="K32" s="6" t="str">
        <f aca="false">IFERROR(INDEX({"미착수(신규접수)","진행중","부분출고","출고완료"},MATCH(J32,{"SD200000","SD200100","SD200300","SD200500"},0)),"미확인")</f>
        <v>출고완료</v>
      </c>
      <c r="L32" s="19" t="str">
        <f aca="false">IF(AND(C32&lt;요약!$C$4,I32&gt;0),"연체","")</f>
        <v/>
      </c>
    </row>
    <row r="33" customFormat="false" ht="20.1" hidden="false" customHeight="false" outlineLevel="0" collapsed="false">
      <c r="A33" s="19" t="s">
        <v>126</v>
      </c>
      <c r="B33" s="20" t="n">
        <v>46205</v>
      </c>
      <c r="C33" s="20" t="n">
        <v>46215</v>
      </c>
      <c r="D33" s="6" t="s">
        <v>63</v>
      </c>
      <c r="E33" s="6" t="s">
        <v>127</v>
      </c>
      <c r="F33" s="19" t="s">
        <v>128</v>
      </c>
      <c r="G33" s="21" t="n">
        <v>6</v>
      </c>
      <c r="H33" s="21" t="n">
        <v>6</v>
      </c>
      <c r="I33" s="21" t="n">
        <f aca="false">G33-H33</f>
        <v>0</v>
      </c>
      <c r="J33" s="19" t="s">
        <v>27</v>
      </c>
      <c r="K33" s="6" t="str">
        <f aca="false">IFERROR(INDEX({"미착수(신규접수)","진행중","부분출고","출고완료"},MATCH(J33,{"SD200000","SD200100","SD200300","SD200500"},0)),"미확인")</f>
        <v>출고완료</v>
      </c>
      <c r="L33" s="19" t="str">
        <f aca="false">IF(AND(C33&lt;요약!$C$4,I33&gt;0),"연체","")</f>
        <v/>
      </c>
    </row>
    <row r="34" customFormat="false" ht="20.1" hidden="false" customHeight="false" outlineLevel="0" collapsed="false">
      <c r="A34" s="19" t="s">
        <v>129</v>
      </c>
      <c r="B34" s="20" t="n">
        <v>46205</v>
      </c>
      <c r="C34" s="20" t="n">
        <v>46215</v>
      </c>
      <c r="D34" s="19" t="s">
        <v>130</v>
      </c>
      <c r="E34" s="6"/>
      <c r="F34" s="19" t="s">
        <v>131</v>
      </c>
      <c r="G34" s="21" t="n">
        <v>9</v>
      </c>
      <c r="H34" s="21" t="n">
        <v>0</v>
      </c>
      <c r="I34" s="21" t="n">
        <f aca="false">G34-H34</f>
        <v>9</v>
      </c>
      <c r="J34" s="19" t="s">
        <v>21</v>
      </c>
      <c r="K34" s="6" t="str">
        <f aca="false">IFERROR(INDEX({"미착수(신규접수)","진행중","부분출고","출고완료"},MATCH(J34,{"SD200000","SD200100","SD200300","SD200500"},0)),"미확인")</f>
        <v>미착수(신규접수)</v>
      </c>
      <c r="L34" s="19" t="str">
        <f aca="false">IF(AND(C34&lt;요약!$C$4,I34&gt;0),"연체","")</f>
        <v>연체</v>
      </c>
    </row>
    <row r="35" customFormat="false" ht="20.1" hidden="false" customHeight="false" outlineLevel="0" collapsed="false">
      <c r="A35" s="19" t="s">
        <v>132</v>
      </c>
      <c r="B35" s="20" t="n">
        <v>46205</v>
      </c>
      <c r="C35" s="20" t="n">
        <v>46215</v>
      </c>
      <c r="D35" s="6" t="s">
        <v>133</v>
      </c>
      <c r="E35" s="6"/>
      <c r="F35" s="19" t="s">
        <v>134</v>
      </c>
      <c r="G35" s="21" t="n">
        <v>2</v>
      </c>
      <c r="H35" s="21" t="n">
        <v>0</v>
      </c>
      <c r="I35" s="21" t="n">
        <f aca="false">G35-H35</f>
        <v>2</v>
      </c>
      <c r="J35" s="19" t="s">
        <v>21</v>
      </c>
      <c r="K35" s="6" t="str">
        <f aca="false">IFERROR(INDEX({"미착수(신규접수)","진행중","부분출고","출고완료"},MATCH(J35,{"SD200000","SD200100","SD200300","SD200500"},0)),"미확인")</f>
        <v>미착수(신규접수)</v>
      </c>
      <c r="L35" s="19" t="str">
        <f aca="false">IF(AND(C35&lt;요약!$C$4,I35&gt;0),"연체","")</f>
        <v>연체</v>
      </c>
    </row>
    <row r="36" customFormat="false" ht="20.1" hidden="false" customHeight="false" outlineLevel="0" collapsed="false">
      <c r="A36" s="19" t="s">
        <v>135</v>
      </c>
      <c r="B36" s="20" t="n">
        <v>46204</v>
      </c>
      <c r="C36" s="20" t="n">
        <v>46204</v>
      </c>
      <c r="D36" s="19" t="s">
        <v>136</v>
      </c>
      <c r="E36" s="6"/>
      <c r="F36" s="6" t="s">
        <v>46</v>
      </c>
      <c r="G36" s="21" t="n">
        <v>2</v>
      </c>
      <c r="H36" s="21" t="n">
        <v>2</v>
      </c>
      <c r="I36" s="21" t="n">
        <f aca="false">G36-H36</f>
        <v>0</v>
      </c>
      <c r="J36" s="19" t="s">
        <v>27</v>
      </c>
      <c r="K36" s="6" t="str">
        <f aca="false">IFERROR(INDEX({"미착수(신규접수)","진행중","부분출고","출고완료"},MATCH(J36,{"SD200000","SD200100","SD200300","SD200500"},0)),"미확인")</f>
        <v>출고완료</v>
      </c>
      <c r="L36" s="19" t="str">
        <f aca="false">IF(AND(C36&lt;요약!$C$4,I36&gt;0),"연체","")</f>
        <v/>
      </c>
    </row>
    <row r="37" customFormat="false" ht="20.1" hidden="false" customHeight="false" outlineLevel="0" collapsed="false">
      <c r="A37" s="19" t="s">
        <v>137</v>
      </c>
      <c r="B37" s="20" t="n">
        <v>46203</v>
      </c>
      <c r="C37" s="20" t="n">
        <v>46213</v>
      </c>
      <c r="D37" s="6" t="s">
        <v>76</v>
      </c>
      <c r="E37" s="6" t="s">
        <v>138</v>
      </c>
      <c r="F37" s="19" t="s">
        <v>55</v>
      </c>
      <c r="G37" s="21" t="n">
        <v>4</v>
      </c>
      <c r="H37" s="21" t="n">
        <v>4</v>
      </c>
      <c r="I37" s="21" t="n">
        <f aca="false">G37-H37</f>
        <v>0</v>
      </c>
      <c r="J37" s="19" t="s">
        <v>27</v>
      </c>
      <c r="K37" s="6" t="str">
        <f aca="false">IFERROR(INDEX({"미착수(신규접수)","진행중","부분출고","출고완료"},MATCH(J37,{"SD200000","SD200100","SD200300","SD200500"},0)),"미확인")</f>
        <v>출고완료</v>
      </c>
      <c r="L37" s="19" t="str">
        <f aca="false">IF(AND(C37&lt;요약!$C$4,I37&gt;0),"연체","")</f>
        <v/>
      </c>
    </row>
    <row r="38" customFormat="false" ht="20.1" hidden="false" customHeight="false" outlineLevel="0" collapsed="false">
      <c r="A38" s="19" t="s">
        <v>139</v>
      </c>
      <c r="B38" s="20" t="n">
        <v>46203</v>
      </c>
      <c r="C38" s="20" t="n">
        <v>46213</v>
      </c>
      <c r="D38" s="6" t="s">
        <v>69</v>
      </c>
      <c r="E38" s="6" t="s">
        <v>140</v>
      </c>
      <c r="F38" s="19" t="s">
        <v>141</v>
      </c>
      <c r="G38" s="21" t="n">
        <v>12</v>
      </c>
      <c r="H38" s="21" t="n">
        <v>0</v>
      </c>
      <c r="I38" s="21" t="n">
        <f aca="false">G38-H38</f>
        <v>12</v>
      </c>
      <c r="J38" s="19" t="s">
        <v>23</v>
      </c>
      <c r="K38" s="6" t="str">
        <f aca="false">IFERROR(INDEX({"미착수(신규접수)","진행중","부분출고","출고완료"},MATCH(J38,{"SD200000","SD200100","SD200300","SD200500"},0)),"미확인")</f>
        <v>진행중</v>
      </c>
      <c r="L38" s="19" t="str">
        <f aca="false">IF(AND(C38&lt;요약!$C$4,I38&gt;0),"연체","")</f>
        <v>연체</v>
      </c>
    </row>
    <row r="39" customFormat="false" ht="20.1" hidden="false" customHeight="false" outlineLevel="0" collapsed="false">
      <c r="A39" s="19" t="s">
        <v>142</v>
      </c>
      <c r="B39" s="20" t="n">
        <v>46203</v>
      </c>
      <c r="C39" s="20" t="n">
        <v>46204</v>
      </c>
      <c r="D39" s="6" t="s">
        <v>143</v>
      </c>
      <c r="E39" s="6"/>
      <c r="F39" s="19" t="s">
        <v>144</v>
      </c>
      <c r="G39" s="21" t="n">
        <v>9</v>
      </c>
      <c r="H39" s="21" t="n">
        <v>0</v>
      </c>
      <c r="I39" s="21" t="n">
        <f aca="false">G39-H39</f>
        <v>9</v>
      </c>
      <c r="J39" s="19" t="s">
        <v>21</v>
      </c>
      <c r="K39" s="6" t="str">
        <f aca="false">IFERROR(INDEX({"미착수(신규접수)","진행중","부분출고","출고완료"},MATCH(J39,{"SD200000","SD200100","SD200300","SD200500"},0)),"미확인")</f>
        <v>미착수(신규접수)</v>
      </c>
      <c r="L39" s="19" t="str">
        <f aca="false">IF(AND(C39&lt;요약!$C$4,I39&gt;0),"연체","")</f>
        <v>연체</v>
      </c>
    </row>
    <row r="40" customFormat="false" ht="20.1" hidden="false" customHeight="false" outlineLevel="0" collapsed="false">
      <c r="A40" s="19" t="s">
        <v>145</v>
      </c>
      <c r="B40" s="20" t="n">
        <v>46203</v>
      </c>
      <c r="C40" s="20" t="n">
        <v>46213</v>
      </c>
      <c r="D40" s="6" t="s">
        <v>48</v>
      </c>
      <c r="E40" s="19" t="s">
        <v>146</v>
      </c>
      <c r="F40" s="19" t="s">
        <v>147</v>
      </c>
      <c r="G40" s="21" t="n">
        <v>24</v>
      </c>
      <c r="H40" s="21" t="n">
        <v>24</v>
      </c>
      <c r="I40" s="21" t="n">
        <f aca="false">G40-H40</f>
        <v>0</v>
      </c>
      <c r="J40" s="19" t="s">
        <v>27</v>
      </c>
      <c r="K40" s="6" t="str">
        <f aca="false">IFERROR(INDEX({"미착수(신규접수)","진행중","부분출고","출고완료"},MATCH(J40,{"SD200000","SD200100","SD200300","SD200500"},0)),"미확인")</f>
        <v>출고완료</v>
      </c>
      <c r="L40" s="19" t="str">
        <f aca="false">IF(AND(C40&lt;요약!$C$4,I40&gt;0),"연체","")</f>
        <v/>
      </c>
    </row>
    <row r="41" customFormat="false" ht="20.1" hidden="false" customHeight="false" outlineLevel="0" collapsed="false">
      <c r="A41" s="19" t="s">
        <v>148</v>
      </c>
      <c r="B41" s="20" t="n">
        <v>46202</v>
      </c>
      <c r="C41" s="20" t="n">
        <v>46212</v>
      </c>
      <c r="D41" s="6" t="s">
        <v>63</v>
      </c>
      <c r="E41" s="6"/>
      <c r="F41" s="6" t="s">
        <v>149</v>
      </c>
      <c r="G41" s="21" t="n">
        <v>1</v>
      </c>
      <c r="H41" s="21" t="n">
        <v>1</v>
      </c>
      <c r="I41" s="21" t="n">
        <f aca="false">G41-H41</f>
        <v>0</v>
      </c>
      <c r="J41" s="19" t="s">
        <v>27</v>
      </c>
      <c r="K41" s="6" t="str">
        <f aca="false">IFERROR(INDEX({"미착수(신규접수)","진행중","부분출고","출고완료"},MATCH(J41,{"SD200000","SD200100","SD200300","SD200500"},0)),"미확인")</f>
        <v>출고완료</v>
      </c>
      <c r="L41" s="19" t="str">
        <f aca="false">IF(AND(C41&lt;요약!$C$4,I41&gt;0),"연체","")</f>
        <v/>
      </c>
    </row>
    <row r="42" customFormat="false" ht="20.1" hidden="false" customHeight="false" outlineLevel="0" collapsed="false">
      <c r="A42" s="19" t="s">
        <v>150</v>
      </c>
      <c r="B42" s="20" t="n">
        <v>46199</v>
      </c>
      <c r="C42" s="20" t="n">
        <v>46209</v>
      </c>
      <c r="D42" s="19" t="s">
        <v>124</v>
      </c>
      <c r="E42" s="19" t="s">
        <v>151</v>
      </c>
      <c r="F42" s="19" t="s">
        <v>152</v>
      </c>
      <c r="G42" s="21" t="n">
        <v>6</v>
      </c>
      <c r="H42" s="21" t="n">
        <v>0</v>
      </c>
      <c r="I42" s="21" t="n">
        <f aca="false">G42-H42</f>
        <v>6</v>
      </c>
      <c r="J42" s="19" t="s">
        <v>23</v>
      </c>
      <c r="K42" s="6" t="str">
        <f aca="false">IFERROR(INDEX({"미착수(신규접수)","진행중","부분출고","출고완료"},MATCH(J42,{"SD200000","SD200100","SD200300","SD200500"},0)),"미확인")</f>
        <v>진행중</v>
      </c>
      <c r="L42" s="19" t="str">
        <f aca="false">IF(AND(C42&lt;요약!$C$4,I42&gt;0),"연체","")</f>
        <v>연체</v>
      </c>
    </row>
    <row r="43" customFormat="false" ht="20.1" hidden="false" customHeight="false" outlineLevel="0" collapsed="false">
      <c r="A43" s="19" t="s">
        <v>153</v>
      </c>
      <c r="B43" s="20" t="n">
        <v>46199</v>
      </c>
      <c r="C43" s="20" t="n">
        <v>46209</v>
      </c>
      <c r="D43" s="19" t="s">
        <v>124</v>
      </c>
      <c r="E43" s="19" t="s">
        <v>154</v>
      </c>
      <c r="F43" s="19" t="s">
        <v>155</v>
      </c>
      <c r="G43" s="21" t="n">
        <v>48</v>
      </c>
      <c r="H43" s="21" t="n">
        <v>48</v>
      </c>
      <c r="I43" s="21" t="n">
        <f aca="false">G43-H43</f>
        <v>0</v>
      </c>
      <c r="J43" s="19" t="s">
        <v>27</v>
      </c>
      <c r="K43" s="6" t="str">
        <f aca="false">IFERROR(INDEX({"미착수(신규접수)","진행중","부분출고","출고완료"},MATCH(J43,{"SD200000","SD200100","SD200300","SD200500"},0)),"미확인")</f>
        <v>출고완료</v>
      </c>
      <c r="L43" s="19" t="str">
        <f aca="false">IF(AND(C43&lt;요약!$C$4,I43&gt;0),"연체","")</f>
        <v/>
      </c>
    </row>
    <row r="44" customFormat="false" ht="20.1" hidden="false" customHeight="false" outlineLevel="0" collapsed="false">
      <c r="A44" s="19" t="s">
        <v>156</v>
      </c>
      <c r="B44" s="20" t="n">
        <v>46199</v>
      </c>
      <c r="C44" s="20" t="n">
        <v>46209</v>
      </c>
      <c r="D44" s="19" t="s">
        <v>124</v>
      </c>
      <c r="E44" s="19" t="s">
        <v>157</v>
      </c>
      <c r="F44" s="19" t="s">
        <v>158</v>
      </c>
      <c r="G44" s="21" t="n">
        <v>31</v>
      </c>
      <c r="H44" s="21" t="n">
        <v>31</v>
      </c>
      <c r="I44" s="21" t="n">
        <f aca="false">G44-H44</f>
        <v>0</v>
      </c>
      <c r="J44" s="19" t="s">
        <v>27</v>
      </c>
      <c r="K44" s="6" t="str">
        <f aca="false">IFERROR(INDEX({"미착수(신규접수)","진행중","부분출고","출고완료"},MATCH(J44,{"SD200000","SD200100","SD200300","SD200500"},0)),"미확인")</f>
        <v>출고완료</v>
      </c>
      <c r="L44" s="19" t="str">
        <f aca="false">IF(AND(C44&lt;요약!$C$4,I44&gt;0),"연체","")</f>
        <v/>
      </c>
    </row>
    <row r="45" customFormat="false" ht="20.1" hidden="false" customHeight="false" outlineLevel="0" collapsed="false">
      <c r="A45" s="19" t="s">
        <v>159</v>
      </c>
      <c r="B45" s="20" t="n">
        <v>46199</v>
      </c>
      <c r="C45" s="20" t="n">
        <v>46209</v>
      </c>
      <c r="D45" s="6" t="s">
        <v>69</v>
      </c>
      <c r="E45" s="6" t="s">
        <v>160</v>
      </c>
      <c r="F45" s="19" t="s">
        <v>161</v>
      </c>
      <c r="G45" s="21" t="n">
        <v>5</v>
      </c>
      <c r="H45" s="21" t="n">
        <v>5</v>
      </c>
      <c r="I45" s="21" t="n">
        <f aca="false">G45-H45</f>
        <v>0</v>
      </c>
      <c r="J45" s="19" t="s">
        <v>27</v>
      </c>
      <c r="K45" s="6" t="str">
        <f aca="false">IFERROR(INDEX({"미착수(신규접수)","진행중","부분출고","출고완료"},MATCH(J45,{"SD200000","SD200100","SD200300","SD200500"},0)),"미확인")</f>
        <v>출고완료</v>
      </c>
      <c r="L45" s="19" t="str">
        <f aca="false">IF(AND(C45&lt;요약!$C$4,I45&gt;0),"연체","")</f>
        <v/>
      </c>
    </row>
    <row r="46" customFormat="false" ht="20.1" hidden="false" customHeight="false" outlineLevel="0" collapsed="false">
      <c r="A46" s="19" t="s">
        <v>162</v>
      </c>
      <c r="B46" s="20" t="n">
        <v>46199</v>
      </c>
      <c r="C46" s="20" t="n">
        <v>46209</v>
      </c>
      <c r="D46" s="6" t="s">
        <v>69</v>
      </c>
      <c r="E46" s="6" t="s">
        <v>163</v>
      </c>
      <c r="F46" s="19" t="s">
        <v>164</v>
      </c>
      <c r="G46" s="21" t="n">
        <v>40</v>
      </c>
      <c r="H46" s="21" t="n">
        <v>0</v>
      </c>
      <c r="I46" s="21" t="n">
        <f aca="false">G46-H46</f>
        <v>40</v>
      </c>
      <c r="J46" s="19" t="s">
        <v>21</v>
      </c>
      <c r="K46" s="6" t="str">
        <f aca="false">IFERROR(INDEX({"미착수(신규접수)","진행중","부분출고","출고완료"},MATCH(J46,{"SD200000","SD200100","SD200300","SD200500"},0)),"미확인")</f>
        <v>미착수(신규접수)</v>
      </c>
      <c r="L46" s="19" t="str">
        <f aca="false">IF(AND(C46&lt;요약!$C$4,I46&gt;0),"연체","")</f>
        <v>연체</v>
      </c>
    </row>
    <row r="47" customFormat="false" ht="20.1" hidden="false" customHeight="false" outlineLevel="0" collapsed="false">
      <c r="A47" s="19" t="s">
        <v>165</v>
      </c>
      <c r="B47" s="20" t="n">
        <v>46198</v>
      </c>
      <c r="C47" s="20" t="n">
        <v>46208</v>
      </c>
      <c r="D47" s="6" t="s">
        <v>133</v>
      </c>
      <c r="E47" s="6" t="s">
        <v>166</v>
      </c>
      <c r="F47" s="19" t="s">
        <v>167</v>
      </c>
      <c r="G47" s="21" t="n">
        <v>129</v>
      </c>
      <c r="H47" s="21" t="n">
        <v>0</v>
      </c>
      <c r="I47" s="21" t="n">
        <f aca="false">G47-H47</f>
        <v>129</v>
      </c>
      <c r="J47" s="19" t="s">
        <v>23</v>
      </c>
      <c r="K47" s="6" t="str">
        <f aca="false">IFERROR(INDEX({"미착수(신규접수)","진행중","부분출고","출고완료"},MATCH(J47,{"SD200000","SD200100","SD200300","SD200500"},0)),"미확인")</f>
        <v>진행중</v>
      </c>
      <c r="L47" s="19" t="str">
        <f aca="false">IF(AND(C47&lt;요약!$C$4,I47&gt;0),"연체","")</f>
        <v>연체</v>
      </c>
    </row>
    <row r="48" customFormat="false" ht="20.1" hidden="false" customHeight="false" outlineLevel="0" collapsed="false">
      <c r="A48" s="19" t="s">
        <v>168</v>
      </c>
      <c r="B48" s="20" t="n">
        <v>46198</v>
      </c>
      <c r="C48" s="20" t="n">
        <v>46208</v>
      </c>
      <c r="D48" s="6" t="s">
        <v>133</v>
      </c>
      <c r="E48" s="6" t="s">
        <v>169</v>
      </c>
      <c r="F48" s="19" t="s">
        <v>93</v>
      </c>
      <c r="G48" s="21" t="n">
        <v>29</v>
      </c>
      <c r="H48" s="21" t="n">
        <v>29</v>
      </c>
      <c r="I48" s="21" t="n">
        <f aca="false">G48-H48</f>
        <v>0</v>
      </c>
      <c r="J48" s="19" t="s">
        <v>27</v>
      </c>
      <c r="K48" s="6" t="str">
        <f aca="false">IFERROR(INDEX({"미착수(신규접수)","진행중","부분출고","출고완료"},MATCH(J48,{"SD200000","SD200100","SD200300","SD200500"},0)),"미확인")</f>
        <v>출고완료</v>
      </c>
      <c r="L48" s="19" t="str">
        <f aca="false">IF(AND(C48&lt;요약!$C$4,I48&gt;0),"연체","")</f>
        <v/>
      </c>
    </row>
    <row r="49" customFormat="false" ht="20.1" hidden="false" customHeight="false" outlineLevel="0" collapsed="false">
      <c r="A49" s="19" t="s">
        <v>170</v>
      </c>
      <c r="B49" s="20" t="n">
        <v>46198</v>
      </c>
      <c r="C49" s="20" t="n">
        <v>46208</v>
      </c>
      <c r="D49" s="6" t="s">
        <v>171</v>
      </c>
      <c r="E49" s="6" t="s">
        <v>172</v>
      </c>
      <c r="F49" s="19" t="s">
        <v>173</v>
      </c>
      <c r="G49" s="21" t="n">
        <v>7</v>
      </c>
      <c r="H49" s="21" t="n">
        <v>7</v>
      </c>
      <c r="I49" s="21" t="n">
        <f aca="false">G49-H49</f>
        <v>0</v>
      </c>
      <c r="J49" s="19" t="s">
        <v>27</v>
      </c>
      <c r="K49" s="6" t="str">
        <f aca="false">IFERROR(INDEX({"미착수(신규접수)","진행중","부분출고","출고완료"},MATCH(J49,{"SD200000","SD200100","SD200300","SD200500"},0)),"미확인")</f>
        <v>출고완료</v>
      </c>
      <c r="L49" s="19" t="str">
        <f aca="false">IF(AND(C49&lt;요약!$C$4,I49&gt;0),"연체","")</f>
        <v/>
      </c>
    </row>
    <row r="50" customFormat="false" ht="20.1" hidden="false" customHeight="false" outlineLevel="0" collapsed="false">
      <c r="A50" s="19" t="s">
        <v>174</v>
      </c>
      <c r="B50" s="20" t="n">
        <v>46198</v>
      </c>
      <c r="C50" s="20" t="n">
        <v>46208</v>
      </c>
      <c r="D50" s="6" t="s">
        <v>175</v>
      </c>
      <c r="E50" s="6"/>
      <c r="F50" s="19" t="s">
        <v>176</v>
      </c>
      <c r="G50" s="21" t="n">
        <v>2</v>
      </c>
      <c r="H50" s="21" t="n">
        <v>2</v>
      </c>
      <c r="I50" s="21" t="n">
        <f aca="false">G50-H50</f>
        <v>0</v>
      </c>
      <c r="J50" s="19" t="s">
        <v>27</v>
      </c>
      <c r="K50" s="6" t="str">
        <f aca="false">IFERROR(INDEX({"미착수(신규접수)","진행중","부분출고","출고완료"},MATCH(J50,{"SD200000","SD200100","SD200300","SD200500"},0)),"미확인")</f>
        <v>출고완료</v>
      </c>
      <c r="L50" s="19" t="str">
        <f aca="false">IF(AND(C50&lt;요약!$C$4,I50&gt;0),"연체","")</f>
        <v/>
      </c>
    </row>
    <row r="51" customFormat="false" ht="20.1" hidden="false" customHeight="false" outlineLevel="0" collapsed="false">
      <c r="A51" s="19" t="s">
        <v>177</v>
      </c>
      <c r="B51" s="20" t="n">
        <v>46198</v>
      </c>
      <c r="C51" s="20" t="n">
        <v>46208</v>
      </c>
      <c r="D51" s="6" t="s">
        <v>178</v>
      </c>
      <c r="E51" s="6"/>
      <c r="F51" s="6" t="s">
        <v>46</v>
      </c>
      <c r="G51" s="21" t="n">
        <v>21</v>
      </c>
      <c r="H51" s="21" t="n">
        <v>0</v>
      </c>
      <c r="I51" s="21" t="n">
        <f aca="false">G51-H51</f>
        <v>21</v>
      </c>
      <c r="J51" s="19" t="s">
        <v>21</v>
      </c>
      <c r="K51" s="6" t="str">
        <f aca="false">IFERROR(INDEX({"미착수(신규접수)","진행중","부분출고","출고완료"},MATCH(J51,{"SD200000","SD200100","SD200300","SD200500"},0)),"미확인")</f>
        <v>미착수(신규접수)</v>
      </c>
      <c r="L51" s="19" t="str">
        <f aca="false">IF(AND(C51&lt;요약!$C$4,I51&gt;0),"연체","")</f>
        <v>연체</v>
      </c>
    </row>
    <row r="52" customFormat="false" ht="20.1" hidden="false" customHeight="false" outlineLevel="0" collapsed="false">
      <c r="A52" s="19" t="s">
        <v>179</v>
      </c>
      <c r="B52" s="20" t="n">
        <v>46197</v>
      </c>
      <c r="C52" s="20" t="n">
        <v>46207</v>
      </c>
      <c r="D52" s="6" t="s">
        <v>102</v>
      </c>
      <c r="E52" s="6" t="s">
        <v>180</v>
      </c>
      <c r="F52" s="19" t="s">
        <v>181</v>
      </c>
      <c r="G52" s="21" t="n">
        <v>22</v>
      </c>
      <c r="H52" s="21" t="n">
        <v>25</v>
      </c>
      <c r="I52" s="21" t="n">
        <f aca="false">G52-H52</f>
        <v>-3</v>
      </c>
      <c r="J52" s="19" t="s">
        <v>27</v>
      </c>
      <c r="K52" s="6" t="str">
        <f aca="false">IFERROR(INDEX({"미착수(신규접수)","진행중","부분출고","출고완료"},MATCH(J52,{"SD200000","SD200100","SD200300","SD200500"},0)),"미확인")</f>
        <v>출고완료</v>
      </c>
      <c r="L52" s="19" t="str">
        <f aca="false">IF(AND(C52&lt;요약!$C$4,I52&gt;0),"연체","")</f>
        <v/>
      </c>
    </row>
    <row r="53" customFormat="false" ht="20.1" hidden="false" customHeight="false" outlineLevel="0" collapsed="false">
      <c r="A53" s="19" t="s">
        <v>182</v>
      </c>
      <c r="B53" s="20" t="n">
        <v>46197</v>
      </c>
      <c r="C53" s="20" t="n">
        <v>46207</v>
      </c>
      <c r="D53" s="6" t="s">
        <v>183</v>
      </c>
      <c r="E53" s="6"/>
      <c r="F53" s="19" t="s">
        <v>184</v>
      </c>
      <c r="G53" s="21" t="n">
        <v>2</v>
      </c>
      <c r="H53" s="21" t="n">
        <v>2</v>
      </c>
      <c r="I53" s="21" t="n">
        <f aca="false">G53-H53</f>
        <v>0</v>
      </c>
      <c r="J53" s="19" t="s">
        <v>27</v>
      </c>
      <c r="K53" s="6" t="str">
        <f aca="false">IFERROR(INDEX({"미착수(신규접수)","진행중","부분출고","출고완료"},MATCH(J53,{"SD200000","SD200100","SD200300","SD200500"},0)),"미확인")</f>
        <v>출고완료</v>
      </c>
      <c r="L53" s="19" t="str">
        <f aca="false">IF(AND(C53&lt;요약!$C$4,I53&gt;0),"연체","")</f>
        <v/>
      </c>
    </row>
    <row r="54" customFormat="false" ht="20.1" hidden="false" customHeight="false" outlineLevel="0" collapsed="false">
      <c r="A54" s="19" t="s">
        <v>185</v>
      </c>
      <c r="B54" s="20" t="n">
        <v>46197</v>
      </c>
      <c r="C54" s="20" t="n">
        <v>46207</v>
      </c>
      <c r="D54" s="6" t="s">
        <v>186</v>
      </c>
      <c r="E54" s="6" t="s">
        <v>187</v>
      </c>
      <c r="F54" s="19" t="s">
        <v>188</v>
      </c>
      <c r="G54" s="21" t="n">
        <v>2</v>
      </c>
      <c r="H54" s="21" t="n">
        <v>2</v>
      </c>
      <c r="I54" s="21" t="n">
        <f aca="false">G54-H54</f>
        <v>0</v>
      </c>
      <c r="J54" s="19" t="s">
        <v>27</v>
      </c>
      <c r="K54" s="6" t="str">
        <f aca="false">IFERROR(INDEX({"미착수(신규접수)","진행중","부분출고","출고완료"},MATCH(J54,{"SD200000","SD200100","SD200300","SD200500"},0)),"미확인")</f>
        <v>출고완료</v>
      </c>
      <c r="L54" s="19" t="str">
        <f aca="false">IF(AND(C54&lt;요약!$C$4,I54&gt;0),"연체","")</f>
        <v/>
      </c>
    </row>
    <row r="55" customFormat="false" ht="20.1" hidden="false" customHeight="false" outlineLevel="0" collapsed="false">
      <c r="A55" s="19" t="s">
        <v>189</v>
      </c>
      <c r="B55" s="20" t="n">
        <v>46196</v>
      </c>
      <c r="C55" s="20" t="n">
        <v>46206</v>
      </c>
      <c r="D55" s="6" t="s">
        <v>66</v>
      </c>
      <c r="E55" s="6"/>
      <c r="F55" s="19" t="s">
        <v>190</v>
      </c>
      <c r="G55" s="21" t="n">
        <v>64</v>
      </c>
      <c r="H55" s="21" t="n">
        <v>64</v>
      </c>
      <c r="I55" s="21" t="n">
        <f aca="false">G55-H55</f>
        <v>0</v>
      </c>
      <c r="J55" s="19" t="s">
        <v>27</v>
      </c>
      <c r="K55" s="6" t="str">
        <f aca="false">IFERROR(INDEX({"미착수(신규접수)","진행중","부분출고","출고완료"},MATCH(J55,{"SD200000","SD200100","SD200300","SD200500"},0)),"미확인")</f>
        <v>출고완료</v>
      </c>
      <c r="L55" s="19" t="str">
        <f aca="false">IF(AND(C55&lt;요약!$C$4,I55&gt;0),"연체","")</f>
        <v/>
      </c>
    </row>
    <row r="56" customFormat="false" ht="20.1" hidden="false" customHeight="false" outlineLevel="0" collapsed="false">
      <c r="A56" s="19" t="s">
        <v>191</v>
      </c>
      <c r="B56" s="20" t="n">
        <v>46196</v>
      </c>
      <c r="C56" s="20" t="n">
        <v>46206</v>
      </c>
      <c r="D56" s="6" t="s">
        <v>48</v>
      </c>
      <c r="E56" s="19" t="s">
        <v>192</v>
      </c>
      <c r="F56" s="19" t="s">
        <v>193</v>
      </c>
      <c r="G56" s="21" t="n">
        <v>10</v>
      </c>
      <c r="H56" s="21" t="n">
        <v>2</v>
      </c>
      <c r="I56" s="21" t="n">
        <f aca="false">G56-H56</f>
        <v>8</v>
      </c>
      <c r="J56" s="19" t="s">
        <v>25</v>
      </c>
      <c r="K56" s="6" t="str">
        <f aca="false">IFERROR(INDEX({"미착수(신규접수)","진행중","부분출고","출고완료"},MATCH(J56,{"SD200000","SD200100","SD200300","SD200500"},0)),"미확인")</f>
        <v>부분출고</v>
      </c>
      <c r="L56" s="19" t="str">
        <f aca="false">IF(AND(C56&lt;요약!$C$4,I56&gt;0),"연체","")</f>
        <v>연체</v>
      </c>
    </row>
    <row r="57" customFormat="false" ht="20.1" hidden="false" customHeight="false" outlineLevel="0" collapsed="false">
      <c r="A57" s="19" t="s">
        <v>194</v>
      </c>
      <c r="B57" s="20" t="n">
        <v>46196</v>
      </c>
      <c r="C57" s="20" t="n">
        <v>46206</v>
      </c>
      <c r="D57" s="19" t="s">
        <v>195</v>
      </c>
      <c r="E57" s="6"/>
      <c r="F57" s="19" t="s">
        <v>196</v>
      </c>
      <c r="G57" s="21" t="n">
        <v>21</v>
      </c>
      <c r="H57" s="21" t="n">
        <v>0</v>
      </c>
      <c r="I57" s="21" t="n">
        <f aca="false">G57-H57</f>
        <v>21</v>
      </c>
      <c r="J57" s="19" t="s">
        <v>21</v>
      </c>
      <c r="K57" s="6" t="str">
        <f aca="false">IFERROR(INDEX({"미착수(신규접수)","진행중","부분출고","출고완료"},MATCH(J57,{"SD200000","SD200100","SD200300","SD200500"},0)),"미확인")</f>
        <v>미착수(신규접수)</v>
      </c>
      <c r="L57" s="19" t="str">
        <f aca="false">IF(AND(C57&lt;요약!$C$4,I57&gt;0),"연체","")</f>
        <v>연체</v>
      </c>
    </row>
    <row r="58" customFormat="false" ht="20.1" hidden="false" customHeight="false" outlineLevel="0" collapsed="false">
      <c r="A58" s="19" t="s">
        <v>197</v>
      </c>
      <c r="B58" s="20" t="n">
        <v>46196</v>
      </c>
      <c r="C58" s="20" t="n">
        <v>46206</v>
      </c>
      <c r="D58" s="6" t="s">
        <v>63</v>
      </c>
      <c r="E58" s="6"/>
      <c r="F58" s="6" t="s">
        <v>198</v>
      </c>
      <c r="G58" s="21" t="n">
        <v>6</v>
      </c>
      <c r="H58" s="21" t="n">
        <v>6</v>
      </c>
      <c r="I58" s="21" t="n">
        <f aca="false">G58-H58</f>
        <v>0</v>
      </c>
      <c r="J58" s="19" t="s">
        <v>27</v>
      </c>
      <c r="K58" s="6" t="str">
        <f aca="false">IFERROR(INDEX({"미착수(신규접수)","진행중","부분출고","출고완료"},MATCH(J58,{"SD200000","SD200100","SD200300","SD200500"},0)),"미확인")</f>
        <v>출고완료</v>
      </c>
      <c r="L58" s="19" t="str">
        <f aca="false">IF(AND(C58&lt;요약!$C$4,I58&gt;0),"연체","")</f>
        <v/>
      </c>
    </row>
    <row r="59" customFormat="false" ht="20.1" hidden="false" customHeight="false" outlineLevel="0" collapsed="false">
      <c r="A59" s="19" t="s">
        <v>199</v>
      </c>
      <c r="B59" s="20" t="n">
        <v>46195</v>
      </c>
      <c r="C59" s="20" t="n">
        <v>46205</v>
      </c>
      <c r="D59" s="6" t="s">
        <v>95</v>
      </c>
      <c r="E59" s="6"/>
      <c r="F59" s="19" t="s">
        <v>144</v>
      </c>
      <c r="G59" s="21" t="n">
        <v>233</v>
      </c>
      <c r="H59" s="21" t="n">
        <v>233</v>
      </c>
      <c r="I59" s="21" t="n">
        <f aca="false">G59-H59</f>
        <v>0</v>
      </c>
      <c r="J59" s="19" t="s">
        <v>27</v>
      </c>
      <c r="K59" s="6" t="str">
        <f aca="false">IFERROR(INDEX({"미착수(신규접수)","진행중","부분출고","출고완료"},MATCH(J59,{"SD200000","SD200100","SD200300","SD200500"},0)),"미확인")</f>
        <v>출고완료</v>
      </c>
      <c r="L59" s="19" t="str">
        <f aca="false">IF(AND(C59&lt;요약!$C$4,I59&gt;0),"연체","")</f>
        <v/>
      </c>
    </row>
    <row r="60" customFormat="false" ht="20.1" hidden="false" customHeight="false" outlineLevel="0" collapsed="false">
      <c r="A60" s="19" t="s">
        <v>200</v>
      </c>
      <c r="B60" s="20" t="n">
        <v>46195</v>
      </c>
      <c r="C60" s="20" t="n">
        <v>46205</v>
      </c>
      <c r="D60" s="6" t="s">
        <v>201</v>
      </c>
      <c r="E60" s="6" t="s">
        <v>202</v>
      </c>
      <c r="F60" s="19" t="s">
        <v>128</v>
      </c>
      <c r="G60" s="21" t="n">
        <v>7</v>
      </c>
      <c r="H60" s="21" t="n">
        <v>7</v>
      </c>
      <c r="I60" s="21" t="n">
        <f aca="false">G60-H60</f>
        <v>0</v>
      </c>
      <c r="J60" s="19" t="s">
        <v>27</v>
      </c>
      <c r="K60" s="6" t="str">
        <f aca="false">IFERROR(INDEX({"미착수(신규접수)","진행중","부분출고","출고완료"},MATCH(J60,{"SD200000","SD200100","SD200300","SD200500"},0)),"미확인")</f>
        <v>출고완료</v>
      </c>
      <c r="L60" s="19" t="str">
        <f aca="false">IF(AND(C60&lt;요약!$C$4,I60&gt;0),"연체","")</f>
        <v/>
      </c>
    </row>
    <row r="61" customFormat="false" ht="20.1" hidden="false" customHeight="false" outlineLevel="0" collapsed="false">
      <c r="A61" s="19" t="s">
        <v>203</v>
      </c>
      <c r="B61" s="20" t="n">
        <v>46195</v>
      </c>
      <c r="C61" s="20" t="n">
        <v>46205</v>
      </c>
      <c r="D61" s="6" t="s">
        <v>204</v>
      </c>
      <c r="E61" s="6"/>
      <c r="F61" s="19" t="s">
        <v>205</v>
      </c>
      <c r="G61" s="21" t="n">
        <v>12</v>
      </c>
      <c r="H61" s="21" t="n">
        <v>12</v>
      </c>
      <c r="I61" s="21" t="n">
        <f aca="false">G61-H61</f>
        <v>0</v>
      </c>
      <c r="J61" s="19" t="s">
        <v>27</v>
      </c>
      <c r="K61" s="6" t="str">
        <f aca="false">IFERROR(INDEX({"미착수(신규접수)","진행중","부분출고","출고완료"},MATCH(J61,{"SD200000","SD200100","SD200300","SD200500"},0)),"미확인")</f>
        <v>출고완료</v>
      </c>
      <c r="L61" s="19" t="str">
        <f aca="false">IF(AND(C61&lt;요약!$C$4,I61&gt;0),"연체","")</f>
        <v/>
      </c>
    </row>
    <row r="62" customFormat="false" ht="20.1" hidden="false" customHeight="false" outlineLevel="0" collapsed="false">
      <c r="A62" s="19" t="s">
        <v>206</v>
      </c>
      <c r="B62" s="20" t="n">
        <v>46192</v>
      </c>
      <c r="C62" s="20" t="n">
        <v>46202</v>
      </c>
      <c r="D62" s="6" t="s">
        <v>41</v>
      </c>
      <c r="E62" s="19" t="s">
        <v>98</v>
      </c>
      <c r="F62" s="19" t="s">
        <v>207</v>
      </c>
      <c r="G62" s="21" t="n">
        <v>25</v>
      </c>
      <c r="H62" s="21" t="n">
        <v>25</v>
      </c>
      <c r="I62" s="21" t="n">
        <f aca="false">G62-H62</f>
        <v>0</v>
      </c>
      <c r="J62" s="19" t="s">
        <v>27</v>
      </c>
      <c r="K62" s="6" t="str">
        <f aca="false">IFERROR(INDEX({"미착수(신규접수)","진행중","부분출고","출고완료"},MATCH(J62,{"SD200000","SD200100","SD200300","SD200500"},0)),"미확인")</f>
        <v>출고완료</v>
      </c>
      <c r="L62" s="19" t="str">
        <f aca="false">IF(AND(C62&lt;요약!$C$4,I62&gt;0),"연체","")</f>
        <v/>
      </c>
    </row>
    <row r="63" customFormat="false" ht="20.1" hidden="false" customHeight="false" outlineLevel="0" collapsed="false">
      <c r="A63" s="19" t="s">
        <v>208</v>
      </c>
      <c r="B63" s="20" t="n">
        <v>46192</v>
      </c>
      <c r="C63" s="20" t="n">
        <v>46202</v>
      </c>
      <c r="D63" s="6" t="s">
        <v>41</v>
      </c>
      <c r="E63" s="6" t="s">
        <v>42</v>
      </c>
      <c r="F63" s="19" t="s">
        <v>209</v>
      </c>
      <c r="G63" s="21" t="n">
        <v>58</v>
      </c>
      <c r="H63" s="21" t="n">
        <v>58</v>
      </c>
      <c r="I63" s="21" t="n">
        <f aca="false">G63-H63</f>
        <v>0</v>
      </c>
      <c r="J63" s="19" t="s">
        <v>27</v>
      </c>
      <c r="K63" s="6" t="str">
        <f aca="false">IFERROR(INDEX({"미착수(신규접수)","진행중","부분출고","출고완료"},MATCH(J63,{"SD200000","SD200100","SD200300","SD200500"},0)),"미확인")</f>
        <v>출고완료</v>
      </c>
      <c r="L63" s="19" t="str">
        <f aca="false">IF(AND(C63&lt;요약!$C$4,I63&gt;0),"연체","")</f>
        <v/>
      </c>
    </row>
    <row r="64" customFormat="false" ht="16.15" hidden="false" customHeight="false" outlineLevel="0" collapsed="false">
      <c r="A64" s="19" t="s">
        <v>210</v>
      </c>
      <c r="B64" s="20" t="n">
        <v>46192</v>
      </c>
      <c r="C64" s="20" t="n">
        <v>46202</v>
      </c>
      <c r="D64" s="6" t="s">
        <v>41</v>
      </c>
      <c r="E64" s="6" t="s">
        <v>211</v>
      </c>
      <c r="F64" s="6" t="s">
        <v>46</v>
      </c>
      <c r="G64" s="21" t="n">
        <v>1</v>
      </c>
      <c r="H64" s="21" t="n">
        <v>1</v>
      </c>
      <c r="I64" s="21" t="n">
        <f aca="false">G64-H64</f>
        <v>0</v>
      </c>
      <c r="J64" s="19" t="s">
        <v>27</v>
      </c>
      <c r="K64" s="6" t="str">
        <f aca="false">IFERROR(INDEX({"미착수(신규접수)","진행중","부분출고","출고완료"},MATCH(J64,{"SD200000","SD200100","SD200300","SD200500"},0)),"미확인")</f>
        <v>출고완료</v>
      </c>
      <c r="L64" s="19" t="str">
        <f aca="false">IF(AND(C64&lt;요약!$C$4,I64&gt;0),"연체","")</f>
        <v/>
      </c>
    </row>
    <row r="65" customFormat="false" ht="20.1" hidden="false" customHeight="false" outlineLevel="0" collapsed="false">
      <c r="A65" s="19" t="s">
        <v>212</v>
      </c>
      <c r="B65" s="20" t="n">
        <v>46192</v>
      </c>
      <c r="C65" s="20" t="n">
        <v>46202</v>
      </c>
      <c r="D65" s="6" t="s">
        <v>213</v>
      </c>
      <c r="E65" s="6"/>
      <c r="F65" s="19" t="s">
        <v>214</v>
      </c>
      <c r="G65" s="21" t="n">
        <v>139</v>
      </c>
      <c r="H65" s="21" t="n">
        <v>139</v>
      </c>
      <c r="I65" s="21" t="n">
        <f aca="false">G65-H65</f>
        <v>0</v>
      </c>
      <c r="J65" s="19" t="s">
        <v>27</v>
      </c>
      <c r="K65" s="6" t="str">
        <f aca="false">IFERROR(INDEX({"미착수(신규접수)","진행중","부분출고","출고완료"},MATCH(J65,{"SD200000","SD200100","SD200300","SD200500"},0)),"미확인")</f>
        <v>출고완료</v>
      </c>
      <c r="L65" s="19" t="str">
        <f aca="false">IF(AND(C65&lt;요약!$C$4,I65&gt;0),"연체","")</f>
        <v/>
      </c>
    </row>
    <row r="66" customFormat="false" ht="20.1" hidden="false" customHeight="false" outlineLevel="0" collapsed="false">
      <c r="A66" s="19" t="s">
        <v>215</v>
      </c>
      <c r="B66" s="20" t="n">
        <v>46191</v>
      </c>
      <c r="C66" s="20" t="n">
        <v>46201</v>
      </c>
      <c r="D66" s="19" t="s">
        <v>124</v>
      </c>
      <c r="E66" s="6"/>
      <c r="F66" s="19" t="s">
        <v>216</v>
      </c>
      <c r="G66" s="21" t="n">
        <v>12</v>
      </c>
      <c r="H66" s="21" t="n">
        <v>12</v>
      </c>
      <c r="I66" s="21" t="n">
        <f aca="false">G66-H66</f>
        <v>0</v>
      </c>
      <c r="J66" s="19" t="s">
        <v>27</v>
      </c>
      <c r="K66" s="6" t="str">
        <f aca="false">IFERROR(INDEX({"미착수(신규접수)","진행중","부분출고","출고완료"},MATCH(J66,{"SD200000","SD200100","SD200300","SD200500"},0)),"미확인")</f>
        <v>출고완료</v>
      </c>
      <c r="L66" s="19" t="str">
        <f aca="false">IF(AND(C66&lt;요약!$C$4,I66&gt;0),"연체","")</f>
        <v/>
      </c>
    </row>
    <row r="67" customFormat="false" ht="20.1" hidden="false" customHeight="false" outlineLevel="0" collapsed="false">
      <c r="A67" s="19" t="s">
        <v>217</v>
      </c>
      <c r="B67" s="20" t="n">
        <v>46191</v>
      </c>
      <c r="C67" s="20" t="n">
        <v>46201</v>
      </c>
      <c r="D67" s="19" t="s">
        <v>218</v>
      </c>
      <c r="E67" s="6"/>
      <c r="F67" s="19" t="s">
        <v>219</v>
      </c>
      <c r="G67" s="21" t="n">
        <v>11</v>
      </c>
      <c r="H67" s="21" t="n">
        <v>11</v>
      </c>
      <c r="I67" s="21" t="n">
        <f aca="false">G67-H67</f>
        <v>0</v>
      </c>
      <c r="J67" s="19" t="s">
        <v>27</v>
      </c>
      <c r="K67" s="6" t="str">
        <f aca="false">IFERROR(INDEX({"미착수(신규접수)","진행중","부분출고","출고완료"},MATCH(J67,{"SD200000","SD200100","SD200300","SD200500"},0)),"미확인")</f>
        <v>출고완료</v>
      </c>
      <c r="L67" s="19" t="str">
        <f aca="false">IF(AND(C67&lt;요약!$C$4,I67&gt;0),"연체","")</f>
        <v/>
      </c>
    </row>
    <row r="68" customFormat="false" ht="16.15" hidden="false" customHeight="false" outlineLevel="0" collapsed="false">
      <c r="A68" s="19" t="s">
        <v>220</v>
      </c>
      <c r="B68" s="20" t="n">
        <v>46191</v>
      </c>
      <c r="C68" s="20" t="n">
        <v>46201</v>
      </c>
      <c r="D68" s="6" t="s">
        <v>111</v>
      </c>
      <c r="E68" s="6"/>
      <c r="F68" s="6" t="s">
        <v>46</v>
      </c>
      <c r="G68" s="21" t="n">
        <v>5</v>
      </c>
      <c r="H68" s="21" t="n">
        <v>5</v>
      </c>
      <c r="I68" s="21" t="n">
        <f aca="false">G68-H68</f>
        <v>0</v>
      </c>
      <c r="J68" s="19" t="s">
        <v>27</v>
      </c>
      <c r="K68" s="6" t="str">
        <f aca="false">IFERROR(INDEX({"미착수(신규접수)","진행중","부분출고","출고완료"},MATCH(J68,{"SD200000","SD200100","SD200300","SD200500"},0)),"미확인")</f>
        <v>출고완료</v>
      </c>
      <c r="L68" s="19" t="str">
        <f aca="false">IF(AND(C68&lt;요약!$C$4,I68&gt;0),"연체","")</f>
        <v/>
      </c>
    </row>
    <row r="69" customFormat="false" ht="20.1" hidden="false" customHeight="false" outlineLevel="0" collapsed="false">
      <c r="A69" s="19" t="s">
        <v>221</v>
      </c>
      <c r="B69" s="20" t="n">
        <v>46190</v>
      </c>
      <c r="C69" s="20" t="n">
        <v>46200</v>
      </c>
      <c r="D69" s="6" t="s">
        <v>222</v>
      </c>
      <c r="E69" s="6"/>
      <c r="F69" s="19" t="s">
        <v>223</v>
      </c>
      <c r="G69" s="21" t="n">
        <v>9</v>
      </c>
      <c r="H69" s="21" t="n">
        <v>9</v>
      </c>
      <c r="I69" s="21" t="n">
        <f aca="false">G69-H69</f>
        <v>0</v>
      </c>
      <c r="J69" s="19" t="s">
        <v>27</v>
      </c>
      <c r="K69" s="6" t="str">
        <f aca="false">IFERROR(INDEX({"미착수(신규접수)","진행중","부분출고","출고완료"},MATCH(J69,{"SD200000","SD200100","SD200300","SD200500"},0)),"미확인")</f>
        <v>출고완료</v>
      </c>
      <c r="L69" s="19" t="str">
        <f aca="false">IF(AND(C69&lt;요약!$C$4,I69&gt;0),"연체","")</f>
        <v/>
      </c>
    </row>
    <row r="70" customFormat="false" ht="20.1" hidden="false" customHeight="false" outlineLevel="0" collapsed="false">
      <c r="A70" s="19" t="s">
        <v>224</v>
      </c>
      <c r="B70" s="20" t="n">
        <v>46190</v>
      </c>
      <c r="C70" s="20" t="n">
        <v>46200</v>
      </c>
      <c r="D70" s="6" t="s">
        <v>48</v>
      </c>
      <c r="E70" s="6" t="s">
        <v>225</v>
      </c>
      <c r="F70" s="19" t="s">
        <v>226</v>
      </c>
      <c r="G70" s="21" t="n">
        <v>273</v>
      </c>
      <c r="H70" s="21" t="n">
        <v>273</v>
      </c>
      <c r="I70" s="21" t="n">
        <f aca="false">G70-H70</f>
        <v>0</v>
      </c>
      <c r="J70" s="19" t="s">
        <v>27</v>
      </c>
      <c r="K70" s="6" t="str">
        <f aca="false">IFERROR(INDEX({"미착수(신규접수)","진행중","부분출고","출고완료"},MATCH(J70,{"SD200000","SD200100","SD200300","SD200500"},0)),"미확인")</f>
        <v>출고완료</v>
      </c>
      <c r="L70" s="19" t="str">
        <f aca="false">IF(AND(C70&lt;요약!$C$4,I70&gt;0),"연체","")</f>
        <v/>
      </c>
    </row>
    <row r="71" customFormat="false" ht="20.1" hidden="false" customHeight="false" outlineLevel="0" collapsed="false">
      <c r="A71" s="19" t="s">
        <v>227</v>
      </c>
      <c r="B71" s="20" t="n">
        <v>46190</v>
      </c>
      <c r="C71" s="20" t="n">
        <v>46200</v>
      </c>
      <c r="D71" s="6" t="s">
        <v>183</v>
      </c>
      <c r="E71" s="6" t="s">
        <v>228</v>
      </c>
      <c r="F71" s="19" t="s">
        <v>229</v>
      </c>
      <c r="G71" s="21" t="n">
        <v>16</v>
      </c>
      <c r="H71" s="21" t="n">
        <v>16</v>
      </c>
      <c r="I71" s="21" t="n">
        <f aca="false">G71-H71</f>
        <v>0</v>
      </c>
      <c r="J71" s="19" t="s">
        <v>27</v>
      </c>
      <c r="K71" s="6" t="str">
        <f aca="false">IFERROR(INDEX({"미착수(신규접수)","진행중","부분출고","출고완료"},MATCH(J71,{"SD200000","SD200100","SD200300","SD200500"},0)),"미확인")</f>
        <v>출고완료</v>
      </c>
      <c r="L71" s="19" t="str">
        <f aca="false">IF(AND(C71&lt;요약!$C$4,I71&gt;0),"연체","")</f>
        <v/>
      </c>
    </row>
    <row r="72" customFormat="false" ht="20.1" hidden="false" customHeight="false" outlineLevel="0" collapsed="false">
      <c r="A72" s="19" t="s">
        <v>230</v>
      </c>
      <c r="B72" s="20" t="n">
        <v>46189</v>
      </c>
      <c r="C72" s="20" t="n">
        <v>46189</v>
      </c>
      <c r="D72" s="6" t="s">
        <v>48</v>
      </c>
      <c r="E72" s="6"/>
      <c r="F72" s="6" t="s">
        <v>231</v>
      </c>
      <c r="G72" s="21" t="n">
        <v>10</v>
      </c>
      <c r="H72" s="21" t="n">
        <v>10</v>
      </c>
      <c r="I72" s="21" t="n">
        <f aca="false">G72-H72</f>
        <v>0</v>
      </c>
      <c r="J72" s="19" t="s">
        <v>27</v>
      </c>
      <c r="K72" s="6" t="str">
        <f aca="false">IFERROR(INDEX({"미착수(신규접수)","진행중","부분출고","출고완료"},MATCH(J72,{"SD200000","SD200100","SD200300","SD200500"},0)),"미확인")</f>
        <v>출고완료</v>
      </c>
      <c r="L72" s="19" t="str">
        <f aca="false">IF(AND(C72&lt;요약!$C$4,I72&gt;0),"연체","")</f>
        <v/>
      </c>
    </row>
    <row r="73" customFormat="false" ht="20.1" hidden="false" customHeight="false" outlineLevel="0" collapsed="false">
      <c r="A73" s="19" t="s">
        <v>232</v>
      </c>
      <c r="B73" s="20" t="n">
        <v>46189</v>
      </c>
      <c r="C73" s="20" t="n">
        <v>46199</v>
      </c>
      <c r="D73" s="6" t="s">
        <v>63</v>
      </c>
      <c r="E73" s="6"/>
      <c r="F73" s="6" t="s">
        <v>233</v>
      </c>
      <c r="G73" s="21" t="n">
        <v>1</v>
      </c>
      <c r="H73" s="21" t="n">
        <v>1</v>
      </c>
      <c r="I73" s="21" t="n">
        <f aca="false">G73-H73</f>
        <v>0</v>
      </c>
      <c r="J73" s="19" t="s">
        <v>27</v>
      </c>
      <c r="K73" s="6" t="str">
        <f aca="false">IFERROR(INDEX({"미착수(신규접수)","진행중","부분출고","출고완료"},MATCH(J73,{"SD200000","SD200100","SD200300","SD200500"},0)),"미확인")</f>
        <v>출고완료</v>
      </c>
      <c r="L73" s="19" t="str">
        <f aca="false">IF(AND(C73&lt;요약!$C$4,I73&gt;0),"연체","")</f>
        <v/>
      </c>
    </row>
    <row r="74" customFormat="false" ht="20.1" hidden="false" customHeight="false" outlineLevel="0" collapsed="false">
      <c r="A74" s="19" t="s">
        <v>234</v>
      </c>
      <c r="B74" s="20" t="n">
        <v>46188</v>
      </c>
      <c r="C74" s="20" t="n">
        <v>46198</v>
      </c>
      <c r="D74" s="6" t="s">
        <v>235</v>
      </c>
      <c r="E74" s="6"/>
      <c r="F74" s="19" t="s">
        <v>236</v>
      </c>
      <c r="G74" s="21" t="n">
        <v>71</v>
      </c>
      <c r="H74" s="21" t="n">
        <v>71</v>
      </c>
      <c r="I74" s="21" t="n">
        <f aca="false">G74-H74</f>
        <v>0</v>
      </c>
      <c r="J74" s="19" t="s">
        <v>27</v>
      </c>
      <c r="K74" s="6" t="str">
        <f aca="false">IFERROR(INDEX({"미착수(신규접수)","진행중","부분출고","출고완료"},MATCH(J74,{"SD200000","SD200100","SD200300","SD200500"},0)),"미확인")</f>
        <v>출고완료</v>
      </c>
      <c r="L74" s="19" t="str">
        <f aca="false">IF(AND(C74&lt;요약!$C$4,I74&gt;0),"연체","")</f>
        <v/>
      </c>
    </row>
    <row r="75" customFormat="false" ht="20.1" hidden="false" customHeight="false" outlineLevel="0" collapsed="false">
      <c r="A75" s="19" t="s">
        <v>237</v>
      </c>
      <c r="B75" s="20" t="n">
        <v>46188</v>
      </c>
      <c r="C75" s="20" t="n">
        <v>46198</v>
      </c>
      <c r="D75" s="6" t="s">
        <v>238</v>
      </c>
      <c r="E75" s="6"/>
      <c r="F75" s="19" t="s">
        <v>239</v>
      </c>
      <c r="G75" s="21" t="n">
        <v>40</v>
      </c>
      <c r="H75" s="21" t="n">
        <v>40</v>
      </c>
      <c r="I75" s="21" t="n">
        <f aca="false">G75-H75</f>
        <v>0</v>
      </c>
      <c r="J75" s="19" t="s">
        <v>27</v>
      </c>
      <c r="K75" s="6" t="str">
        <f aca="false">IFERROR(INDEX({"미착수(신규접수)","진행중","부분출고","출고완료"},MATCH(J75,{"SD200000","SD200100","SD200300","SD200500"},0)),"미확인")</f>
        <v>출고완료</v>
      </c>
      <c r="L75" s="19" t="str">
        <f aca="false">IF(AND(C75&lt;요약!$C$4,I75&gt;0),"연체","")</f>
        <v/>
      </c>
    </row>
    <row r="76" customFormat="false" ht="20.1" hidden="false" customHeight="false" outlineLevel="0" collapsed="false">
      <c r="A76" s="19" t="s">
        <v>240</v>
      </c>
      <c r="B76" s="20" t="n">
        <v>46188</v>
      </c>
      <c r="C76" s="20" t="n">
        <v>46198</v>
      </c>
      <c r="D76" s="6" t="s">
        <v>102</v>
      </c>
      <c r="E76" s="6"/>
      <c r="F76" s="19" t="s">
        <v>122</v>
      </c>
      <c r="G76" s="21" t="n">
        <v>7</v>
      </c>
      <c r="H76" s="21" t="n">
        <v>7</v>
      </c>
      <c r="I76" s="21" t="n">
        <f aca="false">G76-H76</f>
        <v>0</v>
      </c>
      <c r="J76" s="19" t="s">
        <v>27</v>
      </c>
      <c r="K76" s="6" t="str">
        <f aca="false">IFERROR(INDEX({"미착수(신규접수)","진행중","부분출고","출고완료"},MATCH(J76,{"SD200000","SD200100","SD200300","SD200500"},0)),"미확인")</f>
        <v>출고완료</v>
      </c>
      <c r="L76" s="19" t="str">
        <f aca="false">IF(AND(C76&lt;요약!$C$4,I76&gt;0),"연체","")</f>
        <v/>
      </c>
    </row>
    <row r="77" customFormat="false" ht="20.1" hidden="false" customHeight="false" outlineLevel="0" collapsed="false">
      <c r="A77" s="19" t="s">
        <v>241</v>
      </c>
      <c r="B77" s="20" t="n">
        <v>46188</v>
      </c>
      <c r="C77" s="20" t="n">
        <v>46198</v>
      </c>
      <c r="D77" s="6" t="s">
        <v>175</v>
      </c>
      <c r="E77" s="6"/>
      <c r="F77" s="19" t="s">
        <v>176</v>
      </c>
      <c r="G77" s="21" t="n">
        <v>2</v>
      </c>
      <c r="H77" s="21" t="n">
        <v>2</v>
      </c>
      <c r="I77" s="21" t="n">
        <f aca="false">G77-H77</f>
        <v>0</v>
      </c>
      <c r="J77" s="19" t="s">
        <v>27</v>
      </c>
      <c r="K77" s="6" t="str">
        <f aca="false">IFERROR(INDEX({"미착수(신규접수)","진행중","부분출고","출고완료"},MATCH(J77,{"SD200000","SD200100","SD200300","SD200500"},0)),"미확인")</f>
        <v>출고완료</v>
      </c>
      <c r="L77" s="19" t="str">
        <f aca="false">IF(AND(C77&lt;요약!$C$4,I77&gt;0),"연체","")</f>
        <v/>
      </c>
    </row>
    <row r="78" customFormat="false" ht="16.15" hidden="false" customHeight="false" outlineLevel="0" collapsed="false">
      <c r="A78" s="19" t="s">
        <v>242</v>
      </c>
      <c r="B78" s="20" t="n">
        <v>46188</v>
      </c>
      <c r="C78" s="20" t="n">
        <v>46198</v>
      </c>
      <c r="D78" s="6" t="s">
        <v>69</v>
      </c>
      <c r="E78" s="6" t="s">
        <v>109</v>
      </c>
      <c r="F78" s="6" t="s">
        <v>46</v>
      </c>
      <c r="G78" s="21" t="n">
        <v>10</v>
      </c>
      <c r="H78" s="21" t="n">
        <v>10</v>
      </c>
      <c r="I78" s="21" t="n">
        <f aca="false">G78-H78</f>
        <v>0</v>
      </c>
      <c r="J78" s="19" t="s">
        <v>27</v>
      </c>
      <c r="K78" s="6" t="str">
        <f aca="false">IFERROR(INDEX({"미착수(신규접수)","진행중","부분출고","출고완료"},MATCH(J78,{"SD200000","SD200100","SD200300","SD200500"},0)),"미확인")</f>
        <v>출고완료</v>
      </c>
      <c r="L78" s="19" t="str">
        <f aca="false">IF(AND(C78&lt;요약!$C$4,I78&gt;0),"연체","")</f>
        <v/>
      </c>
    </row>
    <row r="79" customFormat="false" ht="20.1" hidden="false" customHeight="false" outlineLevel="0" collapsed="false">
      <c r="A79" s="19" t="s">
        <v>243</v>
      </c>
      <c r="B79" s="20" t="n">
        <v>46185</v>
      </c>
      <c r="C79" s="20" t="n">
        <v>46195</v>
      </c>
      <c r="D79" s="6" t="s">
        <v>69</v>
      </c>
      <c r="E79" s="6" t="s">
        <v>244</v>
      </c>
      <c r="F79" s="19" t="s">
        <v>245</v>
      </c>
      <c r="G79" s="21" t="n">
        <v>51</v>
      </c>
      <c r="H79" s="21" t="n">
        <v>51</v>
      </c>
      <c r="I79" s="21" t="n">
        <f aca="false">G79-H79</f>
        <v>0</v>
      </c>
      <c r="J79" s="19" t="s">
        <v>27</v>
      </c>
      <c r="K79" s="6" t="str">
        <f aca="false">IFERROR(INDEX({"미착수(신규접수)","진행중","부분출고","출고완료"},MATCH(J79,{"SD200000","SD200100","SD200300","SD200500"},0)),"미확인")</f>
        <v>출고완료</v>
      </c>
      <c r="L79" s="19" t="str">
        <f aca="false">IF(AND(C79&lt;요약!$C$4,I79&gt;0),"연체","")</f>
        <v/>
      </c>
    </row>
    <row r="80" customFormat="false" ht="20.1" hidden="false" customHeight="false" outlineLevel="0" collapsed="false">
      <c r="A80" s="19" t="s">
        <v>246</v>
      </c>
      <c r="B80" s="20" t="n">
        <v>46185</v>
      </c>
      <c r="C80" s="20" t="n">
        <v>46195</v>
      </c>
      <c r="D80" s="6" t="s">
        <v>48</v>
      </c>
      <c r="E80" s="6" t="s">
        <v>247</v>
      </c>
      <c r="F80" s="19" t="s">
        <v>248</v>
      </c>
      <c r="G80" s="21" t="n">
        <v>169</v>
      </c>
      <c r="H80" s="21" t="n">
        <v>169</v>
      </c>
      <c r="I80" s="21" t="n">
        <f aca="false">G80-H80</f>
        <v>0</v>
      </c>
      <c r="J80" s="19" t="s">
        <v>27</v>
      </c>
      <c r="K80" s="6" t="str">
        <f aca="false">IFERROR(INDEX({"미착수(신규접수)","진행중","부분출고","출고완료"},MATCH(J80,{"SD200000","SD200100","SD200300","SD200500"},0)),"미확인")</f>
        <v>출고완료</v>
      </c>
      <c r="L80" s="19" t="str">
        <f aca="false">IF(AND(C80&lt;요약!$C$4,I80&gt;0),"연체","")</f>
        <v/>
      </c>
    </row>
    <row r="81" customFormat="false" ht="20.1" hidden="false" customHeight="false" outlineLevel="0" collapsed="false">
      <c r="A81" s="19" t="s">
        <v>249</v>
      </c>
      <c r="B81" s="20" t="n">
        <v>46185</v>
      </c>
      <c r="C81" s="20" t="n">
        <v>46195</v>
      </c>
      <c r="D81" s="6" t="s">
        <v>48</v>
      </c>
      <c r="E81" s="6" t="s">
        <v>250</v>
      </c>
      <c r="F81" s="19" t="s">
        <v>251</v>
      </c>
      <c r="G81" s="21" t="n">
        <v>110</v>
      </c>
      <c r="H81" s="21" t="n">
        <v>110</v>
      </c>
      <c r="I81" s="21" t="n">
        <f aca="false">G81-H81</f>
        <v>0</v>
      </c>
      <c r="J81" s="19" t="s">
        <v>27</v>
      </c>
      <c r="K81" s="6" t="str">
        <f aca="false">IFERROR(INDEX({"미착수(신규접수)","진행중","부분출고","출고완료"},MATCH(J81,{"SD200000","SD200100","SD200300","SD200500"},0)),"미확인")</f>
        <v>출고완료</v>
      </c>
      <c r="L81" s="19" t="str">
        <f aca="false">IF(AND(C81&lt;요약!$C$4,I81&gt;0),"연체","")</f>
        <v/>
      </c>
    </row>
    <row r="82" customFormat="false" ht="20.1" hidden="false" customHeight="false" outlineLevel="0" collapsed="false">
      <c r="A82" s="19" t="s">
        <v>252</v>
      </c>
      <c r="B82" s="20" t="n">
        <v>46185</v>
      </c>
      <c r="C82" s="20" t="n">
        <v>46195</v>
      </c>
      <c r="D82" s="6" t="s">
        <v>66</v>
      </c>
      <c r="E82" s="6"/>
      <c r="F82" s="19" t="s">
        <v>96</v>
      </c>
      <c r="G82" s="21" t="n">
        <v>120</v>
      </c>
      <c r="H82" s="21" t="n">
        <v>120</v>
      </c>
      <c r="I82" s="21" t="n">
        <f aca="false">G82-H82</f>
        <v>0</v>
      </c>
      <c r="J82" s="19" t="s">
        <v>27</v>
      </c>
      <c r="K82" s="6" t="str">
        <f aca="false">IFERROR(INDEX({"미착수(신규접수)","진행중","부분출고","출고완료"},MATCH(J82,{"SD200000","SD200100","SD200300","SD200500"},0)),"미확인")</f>
        <v>출고완료</v>
      </c>
      <c r="L82" s="19" t="str">
        <f aca="false">IF(AND(C82&lt;요약!$C$4,I82&gt;0),"연체","")</f>
        <v/>
      </c>
    </row>
    <row r="83" customFormat="false" ht="20.1" hidden="false" customHeight="false" outlineLevel="0" collapsed="false">
      <c r="A83" s="19" t="s">
        <v>253</v>
      </c>
      <c r="B83" s="20" t="n">
        <v>46185</v>
      </c>
      <c r="C83" s="20" t="n">
        <v>46195</v>
      </c>
      <c r="D83" s="6" t="s">
        <v>113</v>
      </c>
      <c r="E83" s="6" t="s">
        <v>254</v>
      </c>
      <c r="F83" s="19" t="s">
        <v>255</v>
      </c>
      <c r="G83" s="21" t="n">
        <v>18</v>
      </c>
      <c r="H83" s="21" t="n">
        <v>18</v>
      </c>
      <c r="I83" s="21" t="n">
        <f aca="false">G83-H83</f>
        <v>0</v>
      </c>
      <c r="J83" s="19" t="s">
        <v>27</v>
      </c>
      <c r="K83" s="6" t="str">
        <f aca="false">IFERROR(INDEX({"미착수(신규접수)","진행중","부분출고","출고완료"},MATCH(J83,{"SD200000","SD200100","SD200300","SD200500"},0)),"미확인")</f>
        <v>출고완료</v>
      </c>
      <c r="L83" s="19" t="str">
        <f aca="false">IF(AND(C83&lt;요약!$C$4,I83&gt;0),"연체","")</f>
        <v/>
      </c>
    </row>
    <row r="84" customFormat="false" ht="16.15" hidden="false" customHeight="false" outlineLevel="0" collapsed="false">
      <c r="A84" s="19" t="s">
        <v>256</v>
      </c>
      <c r="B84" s="20" t="n">
        <v>46185</v>
      </c>
      <c r="C84" s="20" t="n">
        <v>46195</v>
      </c>
      <c r="D84" s="6" t="s">
        <v>257</v>
      </c>
      <c r="E84" s="6"/>
      <c r="F84" s="6" t="s">
        <v>46</v>
      </c>
      <c r="G84" s="21" t="n">
        <v>13</v>
      </c>
      <c r="H84" s="21" t="n">
        <v>13</v>
      </c>
      <c r="I84" s="21" t="n">
        <f aca="false">G84-H84</f>
        <v>0</v>
      </c>
      <c r="J84" s="19" t="s">
        <v>27</v>
      </c>
      <c r="K84" s="6" t="str">
        <f aca="false">IFERROR(INDEX({"미착수(신규접수)","진행중","부분출고","출고완료"},MATCH(J84,{"SD200000","SD200100","SD200300","SD200500"},0)),"미확인")</f>
        <v>출고완료</v>
      </c>
      <c r="L84" s="19" t="str">
        <f aca="false">IF(AND(C84&lt;요약!$C$4,I84&gt;0),"연체","")</f>
        <v/>
      </c>
    </row>
    <row r="85" customFormat="false" ht="20.1" hidden="false" customHeight="false" outlineLevel="0" collapsed="false">
      <c r="A85" s="19" t="s">
        <v>258</v>
      </c>
      <c r="B85" s="20" t="n">
        <v>46185</v>
      </c>
      <c r="C85" s="20" t="n">
        <v>46195</v>
      </c>
      <c r="D85" s="6" t="s">
        <v>76</v>
      </c>
      <c r="E85" s="6"/>
      <c r="F85" s="19" t="s">
        <v>259</v>
      </c>
      <c r="G85" s="21" t="n">
        <v>11</v>
      </c>
      <c r="H85" s="21" t="n">
        <v>11</v>
      </c>
      <c r="I85" s="21" t="n">
        <f aca="false">G85-H85</f>
        <v>0</v>
      </c>
      <c r="J85" s="19" t="s">
        <v>27</v>
      </c>
      <c r="K85" s="6" t="str">
        <f aca="false">IFERROR(INDEX({"미착수(신규접수)","진행중","부분출고","출고완료"},MATCH(J85,{"SD200000","SD200100","SD200300","SD200500"},0)),"미확인")</f>
        <v>출고완료</v>
      </c>
      <c r="L85" s="19" t="str">
        <f aca="false">IF(AND(C85&lt;요약!$C$4,I85&gt;0),"연체","")</f>
        <v/>
      </c>
    </row>
    <row r="86" customFormat="false" ht="20.1" hidden="false" customHeight="false" outlineLevel="0" collapsed="false">
      <c r="A86" s="19" t="s">
        <v>260</v>
      </c>
      <c r="B86" s="20" t="n">
        <v>46183</v>
      </c>
      <c r="C86" s="20" t="n">
        <v>46188</v>
      </c>
      <c r="D86" s="6" t="s">
        <v>63</v>
      </c>
      <c r="E86" s="6"/>
      <c r="F86" s="6" t="s">
        <v>261</v>
      </c>
      <c r="G86" s="21" t="n">
        <v>13</v>
      </c>
      <c r="H86" s="21" t="n">
        <v>13</v>
      </c>
      <c r="I86" s="21" t="n">
        <f aca="false">G86-H86</f>
        <v>0</v>
      </c>
      <c r="J86" s="19" t="s">
        <v>27</v>
      </c>
      <c r="K86" s="6" t="str">
        <f aca="false">IFERROR(INDEX({"미착수(신규접수)","진행중","부분출고","출고완료"},MATCH(J86,{"SD200000","SD200100","SD200300","SD200500"},0)),"미확인")</f>
        <v>출고완료</v>
      </c>
      <c r="L86" s="19" t="str">
        <f aca="false">IF(AND(C86&lt;요약!$C$4,I86&gt;0),"연체","")</f>
        <v/>
      </c>
    </row>
    <row r="87" customFormat="false" ht="20.1" hidden="false" customHeight="false" outlineLevel="0" collapsed="false">
      <c r="A87" s="19" t="s">
        <v>262</v>
      </c>
      <c r="B87" s="20" t="n">
        <v>46183</v>
      </c>
      <c r="C87" s="20" t="n">
        <v>46193</v>
      </c>
      <c r="D87" s="6" t="s">
        <v>63</v>
      </c>
      <c r="E87" s="6"/>
      <c r="F87" s="19" t="s">
        <v>209</v>
      </c>
      <c r="G87" s="21" t="n">
        <v>29</v>
      </c>
      <c r="H87" s="21" t="n">
        <v>29</v>
      </c>
      <c r="I87" s="21" t="n">
        <f aca="false">G87-H87</f>
        <v>0</v>
      </c>
      <c r="J87" s="19" t="s">
        <v>27</v>
      </c>
      <c r="K87" s="6" t="str">
        <f aca="false">IFERROR(INDEX({"미착수(신규접수)","진행중","부분출고","출고완료"},MATCH(J87,{"SD200000","SD200100","SD200300","SD200500"},0)),"미확인")</f>
        <v>출고완료</v>
      </c>
      <c r="L87" s="19" t="str">
        <f aca="false">IF(AND(C87&lt;요약!$C$4,I87&gt;0),"연체","")</f>
        <v/>
      </c>
    </row>
    <row r="88" customFormat="false" ht="20.1" hidden="false" customHeight="false" outlineLevel="0" collapsed="false">
      <c r="A88" s="19" t="s">
        <v>263</v>
      </c>
      <c r="B88" s="20" t="n">
        <v>46183</v>
      </c>
      <c r="C88" s="20" t="n">
        <v>46193</v>
      </c>
      <c r="D88" s="6" t="s">
        <v>84</v>
      </c>
      <c r="E88" s="6"/>
      <c r="F88" s="19" t="s">
        <v>264</v>
      </c>
      <c r="G88" s="21" t="n">
        <v>21</v>
      </c>
      <c r="H88" s="21" t="n">
        <v>21</v>
      </c>
      <c r="I88" s="21" t="n">
        <f aca="false">G88-H88</f>
        <v>0</v>
      </c>
      <c r="J88" s="19" t="s">
        <v>27</v>
      </c>
      <c r="K88" s="6" t="str">
        <f aca="false">IFERROR(INDEX({"미착수(신규접수)","진행중","부분출고","출고완료"},MATCH(J88,{"SD200000","SD200100","SD200300","SD200500"},0)),"미확인")</f>
        <v>출고완료</v>
      </c>
      <c r="L88" s="19" t="str">
        <f aca="false">IF(AND(C88&lt;요약!$C$4,I88&gt;0),"연체","")</f>
        <v/>
      </c>
    </row>
    <row r="89" customFormat="false" ht="20.1" hidden="false" customHeight="false" outlineLevel="0" collapsed="false">
      <c r="A89" s="19" t="s">
        <v>265</v>
      </c>
      <c r="B89" s="20" t="n">
        <v>46182</v>
      </c>
      <c r="C89" s="20" t="n">
        <v>46192</v>
      </c>
      <c r="D89" s="6" t="s">
        <v>66</v>
      </c>
      <c r="E89" s="6"/>
      <c r="F89" s="19" t="s">
        <v>266</v>
      </c>
      <c r="G89" s="21" t="n">
        <v>65</v>
      </c>
      <c r="H89" s="21" t="n">
        <v>65</v>
      </c>
      <c r="I89" s="21" t="n">
        <f aca="false">G89-H89</f>
        <v>0</v>
      </c>
      <c r="J89" s="19" t="s">
        <v>27</v>
      </c>
      <c r="K89" s="6" t="str">
        <f aca="false">IFERROR(INDEX({"미착수(신규접수)","진행중","부분출고","출고완료"},MATCH(J89,{"SD200000","SD200100","SD200300","SD200500"},0)),"미확인")</f>
        <v>출고완료</v>
      </c>
      <c r="L89" s="19" t="str">
        <f aca="false">IF(AND(C89&lt;요약!$C$4,I89&gt;0),"연체","")</f>
        <v/>
      </c>
    </row>
    <row r="90" customFormat="false" ht="20.1" hidden="false" customHeight="false" outlineLevel="0" collapsed="false">
      <c r="A90" s="19" t="s">
        <v>267</v>
      </c>
      <c r="B90" s="20" t="n">
        <v>46182</v>
      </c>
      <c r="C90" s="20" t="n">
        <v>46192</v>
      </c>
      <c r="D90" s="6" t="s">
        <v>268</v>
      </c>
      <c r="E90" s="6"/>
      <c r="F90" s="19" t="s">
        <v>269</v>
      </c>
      <c r="G90" s="21" t="n">
        <v>30</v>
      </c>
      <c r="H90" s="21" t="n">
        <v>30</v>
      </c>
      <c r="I90" s="21" t="n">
        <f aca="false">G90-H90</f>
        <v>0</v>
      </c>
      <c r="J90" s="19" t="s">
        <v>27</v>
      </c>
      <c r="K90" s="6" t="str">
        <f aca="false">IFERROR(INDEX({"미착수(신규접수)","진행중","부분출고","출고완료"},MATCH(J90,{"SD200000","SD200100","SD200300","SD200500"},0)),"미확인")</f>
        <v>출고완료</v>
      </c>
      <c r="L90" s="19" t="str">
        <f aca="false">IF(AND(C90&lt;요약!$C$4,I90&gt;0),"연체","")</f>
        <v/>
      </c>
    </row>
    <row r="91" customFormat="false" ht="20.1" hidden="false" customHeight="false" outlineLevel="0" collapsed="false">
      <c r="A91" s="19" t="s">
        <v>270</v>
      </c>
      <c r="B91" s="20" t="n">
        <v>46182</v>
      </c>
      <c r="C91" s="20" t="n">
        <v>46192</v>
      </c>
      <c r="D91" s="6" t="s">
        <v>271</v>
      </c>
      <c r="E91" s="6"/>
      <c r="F91" s="19" t="s">
        <v>58</v>
      </c>
      <c r="G91" s="21" t="n">
        <v>10</v>
      </c>
      <c r="H91" s="21" t="n">
        <v>10</v>
      </c>
      <c r="I91" s="21" t="n">
        <f aca="false">G91-H91</f>
        <v>0</v>
      </c>
      <c r="J91" s="19" t="s">
        <v>27</v>
      </c>
      <c r="K91" s="6" t="str">
        <f aca="false">IFERROR(INDEX({"미착수(신규접수)","진행중","부분출고","출고완료"},MATCH(J91,{"SD200000","SD200100","SD200300","SD200500"},0)),"미확인")</f>
        <v>출고완료</v>
      </c>
      <c r="L91" s="19" t="str">
        <f aca="false">IF(AND(C91&lt;요약!$C$4,I91&gt;0),"연체","")</f>
        <v/>
      </c>
    </row>
    <row r="92" customFormat="false" ht="20.1" hidden="false" customHeight="false" outlineLevel="0" collapsed="false">
      <c r="A92" s="19" t="s">
        <v>272</v>
      </c>
      <c r="B92" s="20" t="n">
        <v>46182</v>
      </c>
      <c r="C92" s="20" t="n">
        <v>46191</v>
      </c>
      <c r="D92" s="6" t="s">
        <v>273</v>
      </c>
      <c r="E92" s="6" t="s">
        <v>274</v>
      </c>
      <c r="F92" s="19" t="s">
        <v>275</v>
      </c>
      <c r="G92" s="21" t="n">
        <v>20</v>
      </c>
      <c r="H92" s="21" t="n">
        <v>0</v>
      </c>
      <c r="I92" s="21" t="n">
        <f aca="false">G92-H92</f>
        <v>20</v>
      </c>
      <c r="J92" s="19" t="s">
        <v>23</v>
      </c>
      <c r="K92" s="6" t="str">
        <f aca="false">IFERROR(INDEX({"미착수(신규접수)","진행중","부분출고","출고완료"},MATCH(J92,{"SD200000","SD200100","SD200300","SD200500"},0)),"미확인")</f>
        <v>진행중</v>
      </c>
      <c r="L92" s="19" t="str">
        <f aca="false">IF(AND(C92&lt;요약!$C$4,I92&gt;0),"연체","")</f>
        <v>연체</v>
      </c>
    </row>
    <row r="93" customFormat="false" ht="20.1" hidden="false" customHeight="false" outlineLevel="0" collapsed="false">
      <c r="A93" s="19" t="s">
        <v>276</v>
      </c>
      <c r="B93" s="20" t="n">
        <v>46181</v>
      </c>
      <c r="C93" s="20" t="n">
        <v>46191</v>
      </c>
      <c r="D93" s="6" t="s">
        <v>133</v>
      </c>
      <c r="E93" s="6"/>
      <c r="F93" s="19" t="s">
        <v>277</v>
      </c>
      <c r="G93" s="21" t="n">
        <v>3</v>
      </c>
      <c r="H93" s="21" t="n">
        <v>3</v>
      </c>
      <c r="I93" s="21" t="n">
        <f aca="false">G93-H93</f>
        <v>0</v>
      </c>
      <c r="J93" s="19" t="s">
        <v>27</v>
      </c>
      <c r="K93" s="6" t="str">
        <f aca="false">IFERROR(INDEX({"미착수(신규접수)","진행중","부분출고","출고완료"},MATCH(J93,{"SD200000","SD200100","SD200300","SD200500"},0)),"미확인")</f>
        <v>출고완료</v>
      </c>
      <c r="L93" s="19" t="str">
        <f aca="false">IF(AND(C93&lt;요약!$C$4,I93&gt;0),"연체","")</f>
        <v/>
      </c>
    </row>
    <row r="94" customFormat="false" ht="20.1" hidden="false" customHeight="false" outlineLevel="0" collapsed="false">
      <c r="A94" s="19" t="s">
        <v>278</v>
      </c>
      <c r="B94" s="20" t="n">
        <v>46178</v>
      </c>
      <c r="C94" s="20" t="n">
        <v>46188</v>
      </c>
      <c r="D94" s="6" t="s">
        <v>69</v>
      </c>
      <c r="E94" s="6"/>
      <c r="F94" s="6" t="s">
        <v>261</v>
      </c>
      <c r="G94" s="21" t="n">
        <v>2</v>
      </c>
      <c r="H94" s="21" t="n">
        <v>2</v>
      </c>
      <c r="I94" s="21" t="n">
        <f aca="false">G94-H94</f>
        <v>0</v>
      </c>
      <c r="J94" s="19" t="s">
        <v>27</v>
      </c>
      <c r="K94" s="6" t="str">
        <f aca="false">IFERROR(INDEX({"미착수(신규접수)","진행중","부분출고","출고완료"},MATCH(J94,{"SD200000","SD200100","SD200300","SD200500"},0)),"미확인")</f>
        <v>출고완료</v>
      </c>
      <c r="L94" s="19" t="str">
        <f aca="false">IF(AND(C94&lt;요약!$C$4,I94&gt;0),"연체","")</f>
        <v/>
      </c>
    </row>
    <row r="95" customFormat="false" ht="20.1" hidden="false" customHeight="false" outlineLevel="0" collapsed="false">
      <c r="A95" s="19" t="s">
        <v>279</v>
      </c>
      <c r="B95" s="20" t="n">
        <v>46178</v>
      </c>
      <c r="C95" s="20" t="n">
        <v>46188</v>
      </c>
      <c r="D95" s="6" t="s">
        <v>213</v>
      </c>
      <c r="E95" s="6"/>
      <c r="F95" s="19" t="s">
        <v>280</v>
      </c>
      <c r="G95" s="21" t="n">
        <v>20</v>
      </c>
      <c r="H95" s="21" t="n">
        <v>20</v>
      </c>
      <c r="I95" s="21" t="n">
        <f aca="false">G95-H95</f>
        <v>0</v>
      </c>
      <c r="J95" s="19" t="s">
        <v>27</v>
      </c>
      <c r="K95" s="6" t="str">
        <f aca="false">IFERROR(INDEX({"미착수(신규접수)","진행중","부분출고","출고완료"},MATCH(J95,{"SD200000","SD200100","SD200300","SD200500"},0)),"미확인")</f>
        <v>출고완료</v>
      </c>
      <c r="L95" s="19" t="str">
        <f aca="false">IF(AND(C95&lt;요약!$C$4,I95&gt;0),"연체","")</f>
        <v/>
      </c>
    </row>
    <row r="96" customFormat="false" ht="20.1" hidden="false" customHeight="false" outlineLevel="0" collapsed="false">
      <c r="A96" s="19" t="s">
        <v>281</v>
      </c>
      <c r="B96" s="20" t="n">
        <v>46177</v>
      </c>
      <c r="C96" s="20" t="n">
        <v>46187</v>
      </c>
      <c r="D96" s="6" t="s">
        <v>76</v>
      </c>
      <c r="E96" s="6" t="s">
        <v>282</v>
      </c>
      <c r="F96" s="19" t="s">
        <v>283</v>
      </c>
      <c r="G96" s="21" t="n">
        <v>7</v>
      </c>
      <c r="H96" s="21" t="n">
        <v>7</v>
      </c>
      <c r="I96" s="21" t="n">
        <f aca="false">G96-H96</f>
        <v>0</v>
      </c>
      <c r="J96" s="19" t="s">
        <v>27</v>
      </c>
      <c r="K96" s="6" t="str">
        <f aca="false">IFERROR(INDEX({"미착수(신규접수)","진행중","부분출고","출고완료"},MATCH(J96,{"SD200000","SD200100","SD200300","SD200500"},0)),"미확인")</f>
        <v>출고완료</v>
      </c>
      <c r="L96" s="19" t="str">
        <f aca="false">IF(AND(C96&lt;요약!$C$4,I96&gt;0),"연체","")</f>
        <v/>
      </c>
    </row>
    <row r="97" customFormat="false" ht="20.1" hidden="false" customHeight="false" outlineLevel="0" collapsed="false">
      <c r="A97" s="19" t="s">
        <v>284</v>
      </c>
      <c r="B97" s="20" t="n">
        <v>46177</v>
      </c>
      <c r="C97" s="20" t="n">
        <v>46187</v>
      </c>
      <c r="D97" s="19" t="s">
        <v>124</v>
      </c>
      <c r="E97" s="6"/>
      <c r="F97" s="19" t="s">
        <v>285</v>
      </c>
      <c r="G97" s="21" t="n">
        <v>3</v>
      </c>
      <c r="H97" s="21" t="n">
        <v>3</v>
      </c>
      <c r="I97" s="21" t="n">
        <f aca="false">G97-H97</f>
        <v>0</v>
      </c>
      <c r="J97" s="19" t="s">
        <v>27</v>
      </c>
      <c r="K97" s="6" t="str">
        <f aca="false">IFERROR(INDEX({"미착수(신규접수)","진행중","부분출고","출고완료"},MATCH(J97,{"SD200000","SD200100","SD200300","SD200500"},0)),"미확인")</f>
        <v>출고완료</v>
      </c>
      <c r="L97" s="19" t="str">
        <f aca="false">IF(AND(C97&lt;요약!$C$4,I97&gt;0),"연체","")</f>
        <v/>
      </c>
    </row>
    <row r="98" customFormat="false" ht="20.1" hidden="false" customHeight="false" outlineLevel="0" collapsed="false">
      <c r="A98" s="19" t="s">
        <v>286</v>
      </c>
      <c r="B98" s="20" t="n">
        <v>46175</v>
      </c>
      <c r="C98" s="20" t="n">
        <v>46185</v>
      </c>
      <c r="D98" s="6" t="s">
        <v>213</v>
      </c>
      <c r="E98" s="6"/>
      <c r="F98" s="19" t="s">
        <v>287</v>
      </c>
      <c r="G98" s="21" t="n">
        <v>9</v>
      </c>
      <c r="H98" s="21" t="n">
        <v>9</v>
      </c>
      <c r="I98" s="21" t="n">
        <f aca="false">G98-H98</f>
        <v>0</v>
      </c>
      <c r="J98" s="19" t="s">
        <v>27</v>
      </c>
      <c r="K98" s="6" t="str">
        <f aca="false">IFERROR(INDEX({"미착수(신규접수)","진행중","부분출고","출고완료"},MATCH(J98,{"SD200000","SD200100","SD200300","SD200500"},0)),"미확인")</f>
        <v>출고완료</v>
      </c>
      <c r="L98" s="19" t="str">
        <f aca="false">IF(AND(C98&lt;요약!$C$4,I98&gt;0),"연체","")</f>
        <v/>
      </c>
    </row>
    <row r="99" customFormat="false" ht="20.1" hidden="false" customHeight="false" outlineLevel="0" collapsed="false">
      <c r="A99" s="19" t="s">
        <v>288</v>
      </c>
      <c r="B99" s="20" t="n">
        <v>46175</v>
      </c>
      <c r="C99" s="20" t="n">
        <v>46185</v>
      </c>
      <c r="D99" s="6" t="s">
        <v>45</v>
      </c>
      <c r="E99" s="6" t="s">
        <v>289</v>
      </c>
      <c r="F99" s="19" t="s">
        <v>134</v>
      </c>
      <c r="G99" s="21" t="n">
        <v>2</v>
      </c>
      <c r="H99" s="21" t="n">
        <v>2</v>
      </c>
      <c r="I99" s="21" t="n">
        <f aca="false">G99-H99</f>
        <v>0</v>
      </c>
      <c r="J99" s="19" t="s">
        <v>27</v>
      </c>
      <c r="K99" s="6" t="str">
        <f aca="false">IFERROR(INDEX({"미착수(신규접수)","진행중","부분출고","출고완료"},MATCH(J99,{"SD200000","SD200100","SD200300","SD200500"},0)),"미확인")</f>
        <v>출고완료</v>
      </c>
      <c r="L99" s="19" t="str">
        <f aca="false">IF(AND(C99&lt;요약!$C$4,I99&gt;0),"연체","")</f>
        <v/>
      </c>
    </row>
    <row r="100" customFormat="false" ht="20.1" hidden="false" customHeight="false" outlineLevel="0" collapsed="false">
      <c r="A100" s="19" t="s">
        <v>290</v>
      </c>
      <c r="B100" s="20" t="n">
        <v>46175</v>
      </c>
      <c r="C100" s="20" t="n">
        <v>46185</v>
      </c>
      <c r="D100" s="6" t="s">
        <v>102</v>
      </c>
      <c r="E100" s="6" t="s">
        <v>291</v>
      </c>
      <c r="F100" s="19" t="s">
        <v>96</v>
      </c>
      <c r="G100" s="21" t="n">
        <v>2</v>
      </c>
      <c r="H100" s="21" t="n">
        <v>2</v>
      </c>
      <c r="I100" s="21" t="n">
        <f aca="false">G100-H100</f>
        <v>0</v>
      </c>
      <c r="J100" s="19" t="s">
        <v>27</v>
      </c>
      <c r="K100" s="6" t="str">
        <f aca="false">IFERROR(INDEX({"미착수(신규접수)","진행중","부분출고","출고완료"},MATCH(J100,{"SD200000","SD200100","SD200300","SD200500"},0)),"미확인")</f>
        <v>출고완료</v>
      </c>
      <c r="L100" s="19" t="str">
        <f aca="false">IF(AND(C100&lt;요약!$C$4,I100&gt;0),"연체","")</f>
        <v/>
      </c>
    </row>
    <row r="101" customFormat="false" ht="20.1" hidden="false" customHeight="false" outlineLevel="0" collapsed="false">
      <c r="A101" s="19" t="s">
        <v>292</v>
      </c>
      <c r="B101" s="20" t="n">
        <v>46175</v>
      </c>
      <c r="C101" s="20" t="n">
        <v>46185</v>
      </c>
      <c r="D101" s="6" t="s">
        <v>183</v>
      </c>
      <c r="E101" s="6"/>
      <c r="F101" s="19" t="s">
        <v>293</v>
      </c>
      <c r="G101" s="21" t="n">
        <v>57</v>
      </c>
      <c r="H101" s="21" t="n">
        <v>57</v>
      </c>
      <c r="I101" s="21" t="n">
        <f aca="false">G101-H101</f>
        <v>0</v>
      </c>
      <c r="J101" s="19" t="s">
        <v>27</v>
      </c>
      <c r="K101" s="6" t="str">
        <f aca="false">IFERROR(INDEX({"미착수(신규접수)","진행중","부분출고","출고완료"},MATCH(J101,{"SD200000","SD200100","SD200300","SD200500"},0)),"미확인")</f>
        <v>출고완료</v>
      </c>
      <c r="L101" s="19" t="str">
        <f aca="false">IF(AND(C101&lt;요약!$C$4,I101&gt;0),"연체","")</f>
        <v/>
      </c>
    </row>
    <row r="102" customFormat="false" ht="20.1" hidden="false" customHeight="false" outlineLevel="0" collapsed="false">
      <c r="A102" s="19" t="s">
        <v>294</v>
      </c>
      <c r="B102" s="20" t="n">
        <v>46175</v>
      </c>
      <c r="C102" s="20" t="n">
        <v>46175</v>
      </c>
      <c r="D102" s="6" t="s">
        <v>48</v>
      </c>
      <c r="E102" s="6"/>
      <c r="F102" s="6" t="s">
        <v>231</v>
      </c>
      <c r="G102" s="21" t="n">
        <v>10</v>
      </c>
      <c r="H102" s="21" t="n">
        <v>10</v>
      </c>
      <c r="I102" s="21" t="n">
        <f aca="false">G102-H102</f>
        <v>0</v>
      </c>
      <c r="J102" s="19" t="s">
        <v>27</v>
      </c>
      <c r="K102" s="6" t="str">
        <f aca="false">IFERROR(INDEX({"미착수(신규접수)","진행중","부분출고","출고완료"},MATCH(J102,{"SD200000","SD200100","SD200300","SD200500"},0)),"미확인")</f>
        <v>출고완료</v>
      </c>
      <c r="L102" s="19" t="str">
        <f aca="false">IF(AND(C102&lt;요약!$C$4,I102&gt;0),"연체","")</f>
        <v/>
      </c>
    </row>
    <row r="103" customFormat="false" ht="20.1" hidden="false" customHeight="false" outlineLevel="0" collapsed="false">
      <c r="A103" s="19" t="s">
        <v>295</v>
      </c>
      <c r="B103" s="20" t="n">
        <v>46175</v>
      </c>
      <c r="C103" s="20" t="n">
        <v>46175</v>
      </c>
      <c r="D103" s="6" t="s">
        <v>73</v>
      </c>
      <c r="E103" s="6"/>
      <c r="F103" s="19" t="s">
        <v>296</v>
      </c>
      <c r="G103" s="21" t="n">
        <v>84</v>
      </c>
      <c r="H103" s="21" t="n">
        <v>84</v>
      </c>
      <c r="I103" s="21" t="n">
        <f aca="false">G103-H103</f>
        <v>0</v>
      </c>
      <c r="J103" s="19" t="s">
        <v>27</v>
      </c>
      <c r="K103" s="6" t="str">
        <f aca="false">IFERROR(INDEX({"미착수(신규접수)","진행중","부분출고","출고완료"},MATCH(J103,{"SD200000","SD200100","SD200300","SD200500"},0)),"미확인")</f>
        <v>출고완료</v>
      </c>
      <c r="L103" s="19" t="str">
        <f aca="false">IF(AND(C103&lt;요약!$C$4,I103&gt;0),"연체","")</f>
        <v/>
      </c>
    </row>
    <row r="104" customFormat="false" ht="20.1" hidden="false" customHeight="false" outlineLevel="0" collapsed="false">
      <c r="A104" s="19" t="s">
        <v>297</v>
      </c>
      <c r="B104" s="20" t="n">
        <v>46174</v>
      </c>
      <c r="C104" s="20" t="n">
        <v>46184</v>
      </c>
      <c r="D104" s="6" t="s">
        <v>76</v>
      </c>
      <c r="E104" s="6"/>
      <c r="F104" s="19" t="s">
        <v>298</v>
      </c>
      <c r="G104" s="21" t="n">
        <v>35</v>
      </c>
      <c r="H104" s="21" t="n">
        <v>35</v>
      </c>
      <c r="I104" s="21" t="n">
        <f aca="false">G104-H104</f>
        <v>0</v>
      </c>
      <c r="J104" s="19" t="s">
        <v>27</v>
      </c>
      <c r="K104" s="6" t="str">
        <f aca="false">IFERROR(INDEX({"미착수(신규접수)","진행중","부분출고","출고완료"},MATCH(J104,{"SD200000","SD200100","SD200300","SD200500"},0)),"미확인")</f>
        <v>출고완료</v>
      </c>
      <c r="L104" s="19" t="str">
        <f aca="false">IF(AND(C104&lt;요약!$C$4,I104&gt;0),"연체","")</f>
        <v/>
      </c>
    </row>
  </sheetData>
  <conditionalFormatting sqref="L3:L104">
    <cfRule type="cellIs" priority="2" operator="equal" aboveAverage="0" equalAverage="0" bottom="0" percent="0" rank="0" text="" dxfId="0">
      <formula>"연체"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2026-07-16T06:48:39Z</dcterms:created>
  <dc:creator>openpyxl</dc:creator>
  <dc:description/>
  <dc:language>en-US</dc:language>
  <cp:lastModifiedBy/>
  <dcterms:modified xsi:type="dcterms:W3CDTF">2026-07-16T06:48:39Z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