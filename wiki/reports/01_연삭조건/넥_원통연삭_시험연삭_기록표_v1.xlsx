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록표" sheetId="1" state="visible" r:id="rId1"/>
    <sheet xmlns:r="http://schemas.openxmlformats.org/officeDocument/2006/relationships" name="테스트1_요약" sheetId="2" state="visible" r:id="rId2"/>
    <sheet xmlns:r="http://schemas.openxmlformats.org/officeDocument/2006/relationships" name="테스트2_요약" sheetId="3" state="visible" r:id="rId3"/>
    <sheet xmlns:r="http://schemas.openxmlformats.org/officeDocument/2006/relationships" name="설명·근거" sheetId="4" state="visible" r:id="rId4"/>
    <sheet xmlns:r="http://schemas.openxmlformats.org/officeDocument/2006/relationships" name="변경이력" sheetId="5" state="visible" r:id="rId5"/>
  </sheets>
  <definedNames>
    <definedName name="_xlnm._FilterDatabase" localSheetId="0" hidden="1">'기록표'!$A$4:$AW$34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00"/>
    <numFmt numFmtId="167" formatCode="0.0000"/>
  </numFmts>
  <fonts count="1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595959"/>
      <sz val="9"/>
    </font>
    <font>
      <name val="맑은 고딕"/>
      <b val="1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sz val="13"/>
    </font>
    <font>
      <name val="맑은 고딕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6" fontId="5" fillId="5" borderId="1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167" fontId="5" fillId="5" borderId="1" applyAlignment="1" pivotButton="0" quotePrefix="0" xfId="0">
      <alignment vertical="center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pivotButton="0" quotePrefix="0" xfId="0"/>
    <xf numFmtId="0" fontId="9" fillId="0" borderId="1" pivotButton="0" quotePrefix="0" xfId="0"/>
    <xf numFmtId="164" fontId="5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6" fontId="5" fillId="5" borderId="1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167" fontId="5" fillId="5" borderId="1" applyAlignment="1" pivotButton="0" quotePrefix="0" xfId="0">
      <alignment vertical="center"/>
    </xf>
    <xf numFmtId="0" fontId="10" fillId="0" borderId="0" pivotButton="0" quotePrefix="0" xfId="0"/>
    <xf numFmtId="0" fontId="4" fillId="3" borderId="1" applyAlignment="1" pivotButton="0" quotePrefix="0" xfId="0">
      <alignment horizontal="center" wrapText="1"/>
    </xf>
    <xf numFmtId="166" fontId="9" fillId="0" borderId="1" pivotButton="0" quotePrefix="0" xfId="0"/>
    <xf numFmtId="167" fontId="9" fillId="0" borderId="1" pivotButton="0" quotePrefix="0" xfId="0"/>
    <xf numFmtId="0" fontId="11" fillId="3" borderId="1" applyAlignment="1" pivotButton="0" quotePrefix="0" xfId="0">
      <alignment horizontal="center"/>
    </xf>
    <xf numFmtId="0" fontId="9" fillId="0" borderId="1" applyAlignment="1" pivotButton="0" quotePrefix="0" xfId="0">
      <alignment vertical="center" wrapText="1"/>
    </xf>
    <xf numFmtId="166" fontId="9" fillId="0" borderId="1" applyAlignment="1" pivotButton="0" quotePrefix="0" xfId="0">
      <alignment vertical="center" wrapText="1"/>
    </xf>
    <xf numFmtId="167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테스트 1 — 입력 vs 측정 dn (mm)</a:t>
            </a:r>
          </a:p>
        </rich>
      </tx>
    </title>
    <plotArea>
      <lineChart>
        <grouping val="standard"/>
        <ser>
          <idx val="0"/>
          <order val="0"/>
          <tx>
            <strRef>
              <f>'테스트1_요약'!B4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'테스트1_요약'!$B$5:$B$8</f>
            </numRef>
          </val>
          <smooth val="0"/>
        </ser>
        <ser>
          <idx val="1"/>
          <order val="1"/>
          <tx>
            <strRef>
              <f>'테스트1_요약'!D4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'테스트1_요약'!$D$5:$D$8</f>
            </numRef>
          </val>
          <smooth val="0"/>
        </ser>
        <ser>
          <idx val="2"/>
          <order val="2"/>
          <tx>
            <strRef>
              <f>'테스트1_요약'!E4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'테스트1_요약'!$E$5:$E$8</f>
            </numRef>
          </val>
          <smooth val="0"/>
        </ser>
        <ser>
          <idx val="3"/>
          <order val="3"/>
          <tx>
            <strRef>
              <f>'테스트1_요약'!F4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'테스트1_요약'!$F$5:$F$8</f>
            </numRef>
          </val>
          <smooth val="0"/>
        </ser>
        <ser>
          <idx val="4"/>
          <order val="4"/>
          <tx>
            <strRef>
              <f>'테스트1_요약'!G4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'테스트1_요약'!$G$5:$G$8</f>
            </numRef>
          </val>
          <smooth val="0"/>
        </ser>
        <ser>
          <idx val="5"/>
          <order val="5"/>
          <tx>
            <strRef>
              <f>'테스트1_요약'!H4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'테스트1_요약'!$H$5:$H$8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.1"/>
          <min val="2.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지름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4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6" customWidth="1" min="4" max="4"/>
    <col width="22" customWidth="1" min="5" max="5"/>
    <col width="8" customWidth="1" min="6" max="6"/>
    <col width="12" customWidth="1" min="7" max="7"/>
    <col width="9" customWidth="1" min="8" max="8"/>
    <col width="9" customWidth="1" min="9" max="9"/>
    <col width="8" customWidth="1" min="10" max="10"/>
    <col width="13" customWidth="1" min="11" max="11"/>
    <col width="9" customWidth="1" min="12" max="12"/>
    <col width="8" customWidth="1" min="13" max="13"/>
    <col width="8" customWidth="1" min="14" max="14"/>
    <col width="10" customWidth="1" min="15" max="15"/>
    <col width="7" customWidth="1" min="16" max="16"/>
    <col width="13" customWidth="1" min="17" max="17"/>
    <col width="10" customWidth="1" min="18" max="18"/>
    <col width="8" customWidth="1" min="19" max="19"/>
    <col width="8" customWidth="1" min="20" max="20"/>
    <col width="10" customWidth="1" min="21" max="21"/>
    <col width="10" customWidth="1" min="22" max="22"/>
    <col width="10" customWidth="1" min="23" max="23"/>
    <col width="13" customWidth="1" min="24" max="24"/>
    <col width="9" customWidth="1" min="25" max="25"/>
    <col width="9" customWidth="1" min="26" max="26"/>
    <col width="9" customWidth="1" min="27" max="27"/>
    <col width="9" customWidth="1" min="28" max="28"/>
    <col width="14" customWidth="1" min="29" max="29"/>
    <col width="10" customWidth="1" min="30" max="30"/>
    <col width="8" customWidth="1" min="31" max="31"/>
    <col width="7" customWidth="1" min="32" max="32"/>
    <col width="16" customWidth="1" min="33" max="33"/>
    <col width="8" customWidth="1" min="34" max="34"/>
    <col width="9" customWidth="1" min="35" max="35"/>
    <col width="8" customWidth="1" min="36" max="36"/>
    <col width="8" customWidth="1" min="37" max="37"/>
    <col width="8" customWidth="1" min="38" max="38"/>
    <col width="9" customWidth="1" min="39" max="39"/>
    <col width="14" customWidth="1" min="40" max="40"/>
    <col width="8" customWidth="1" min="41" max="41"/>
    <col width="9" customWidth="1" min="42" max="42"/>
    <col width="11" customWidth="1" min="43" max="43"/>
    <col width="8" customWidth="1" min="44" max="44"/>
    <col width="9" customWidth="1" min="45" max="45"/>
    <col width="10" customWidth="1" min="46" max="46"/>
    <col width="22" customWidth="1" min="47" max="47"/>
    <col width="10" customWidth="1" min="48" max="48"/>
    <col width="26" customWidth="1" min="49" max="49"/>
  </cols>
  <sheetData>
    <row r="1">
      <c r="A1" s="1" t="inlineStr">
        <is>
          <t>넥(목) 원통연삭 — 시험 연삭 기록표 v1 (2026-10-20)</t>
        </is>
      </c>
    </row>
    <row r="2">
      <c r="A2" s="2" t="inlineStr">
        <is>
          <t>노란 칸 = 입력 · 회색 칸 = 자동 계산 · 공구 1개 = 1행 · 조건을 바꾸면 새 행(기존 행 수정 금지) · 시각 KST · 측정값이 들어간 행의 신뢰도 = 실측 검증</t>
        </is>
      </c>
    </row>
    <row r="3">
      <c r="A3" s="3" t="inlineStr">
        <is>
          <t>시험</t>
        </is>
      </c>
      <c r="G3" s="3" t="inlineStr">
        <is>
          <t>휠</t>
        </is>
      </c>
      <c r="L3" s="3" t="inlineStr">
        <is>
          <t>이송</t>
        </is>
      </c>
      <c r="S3" s="3" t="inlineStr">
        <is>
          <t>넥 치수</t>
        </is>
      </c>
      <c r="AE3" s="3" t="inlineStr">
        <is>
          <t>품질</t>
        </is>
      </c>
      <c r="AK3" s="3" t="inlineStr">
        <is>
          <t>시간</t>
        </is>
      </c>
      <c r="AN3" s="3" t="inlineStr">
        <is>
          <t>측정·설비</t>
        </is>
      </c>
      <c r="AT3" s="3" t="inlineStr">
        <is>
          <t>판정</t>
        </is>
      </c>
    </row>
    <row r="4" ht="48" customHeight="1">
      <c r="A4" s="4" t="inlineStr">
        <is>
          <t>시험 번호</t>
        </is>
      </c>
      <c r="B4" s="4" t="inlineStr">
        <is>
          <t>날짜</t>
        </is>
      </c>
      <c r="C4" s="4" t="inlineStr">
        <is>
          <t>시각 (KST)</t>
        </is>
      </c>
      <c r="D4" s="4" t="inlineStr">
        <is>
          <t>공구</t>
        </is>
      </c>
      <c r="E4" s="4" t="inlineStr">
        <is>
          <t>단계 / 패스 구성</t>
        </is>
      </c>
      <c r="F4" s="4" t="inlineStr">
        <is>
          <t>장비</t>
        </is>
      </c>
      <c r="G4" s="4" t="inlineStr">
        <is>
          <t>휠 (Pack / Wheel)</t>
        </is>
      </c>
      <c r="H4" s="4" t="inlineStr">
        <is>
          <t>휠 지름 (mm)</t>
        </is>
      </c>
      <c r="I4" s="4" t="inlineStr">
        <is>
          <t>휠 회전수 (rpm)</t>
        </is>
      </c>
      <c r="J4" s="4" t="inlineStr">
        <is>
          <t>Vc (m/s)</t>
        </is>
      </c>
      <c r="K4" s="4" t="inlineStr">
        <is>
          <t>Vc 판정</t>
        </is>
      </c>
      <c r="L4" s="4" t="inlineStr">
        <is>
          <t>이송 vf (mm/min)</t>
        </is>
      </c>
      <c r="M4" s="4" t="inlineStr">
        <is>
          <t>A Spin (rpm)</t>
        </is>
      </c>
      <c r="N4" s="4" t="inlineStr">
        <is>
          <t>fa (mm/rev)</t>
        </is>
      </c>
      <c r="O4" s="4" t="inlineStr">
        <is>
          <t>황삭 절입 (mm/패스, 반경)</t>
        </is>
      </c>
      <c r="P4" s="4" t="inlineStr">
        <is>
          <t>패스 수</t>
        </is>
      </c>
      <c r="Q4" s="4" t="inlineStr">
        <is>
          <t>절입 판정</t>
        </is>
      </c>
      <c r="R4" s="4" t="inlineStr">
        <is>
          <t>쿨런트</t>
        </is>
      </c>
      <c r="S4" s="4" t="inlineStr">
        <is>
          <t>D 날지름 (mm)</t>
        </is>
      </c>
      <c r="T4" s="4" t="inlineStr">
        <is>
          <t>dn 목표 (mm)</t>
        </is>
      </c>
      <c r="U4" s="4" t="inlineStr">
        <is>
          <t>dn 실측 ① 머리 쪽 (mm)</t>
        </is>
      </c>
      <c r="V4" s="4" t="inlineStr">
        <is>
          <t>dn 실측 ② 중간 (mm)</t>
        </is>
      </c>
      <c r="W4" s="4" t="inlineStr">
        <is>
          <t>dn 실측 ③ 테이퍼 쪽 (mm)</t>
        </is>
      </c>
      <c r="X4" s="4" t="inlineStr">
        <is>
          <t>측정 위치 X ①/②/③ (mm)</t>
        </is>
      </c>
      <c r="Y4" s="4" t="inlineStr">
        <is>
          <t>dn 평균 (mm)</t>
        </is>
      </c>
      <c r="Z4" s="4" t="inlineStr">
        <is>
          <t>목표 대비 (μm)</t>
        </is>
      </c>
      <c r="AA4" s="4" t="inlineStr">
        <is>
          <t>①~③ 차 (μm)</t>
        </is>
      </c>
      <c r="AB4" s="4" t="inlineStr">
        <is>
          <t>넥 비율 dn÷D</t>
        </is>
      </c>
      <c r="AC4" s="4" t="inlineStr">
        <is>
          <t>비율 판정</t>
        </is>
      </c>
      <c r="AD4" s="4" t="inlineStr">
        <is>
          <t>굽힘 강성 비 (dn÷D)⁴</t>
        </is>
      </c>
      <c r="AE4" s="4" t="inlineStr">
        <is>
          <t>진원도 (μm)</t>
        </is>
      </c>
      <c r="AF4" s="4" t="inlineStr">
        <is>
          <t>Ra (μm)</t>
        </is>
      </c>
      <c r="AG4" s="4" t="inlineStr">
        <is>
          <t>머리 쪽 턱 / 테이퍼 연결부</t>
        </is>
      </c>
      <c r="AH4" s="4" t="inlineStr">
        <is>
          <t>치핑 (유/무)</t>
        </is>
      </c>
      <c r="AI4" s="4" t="inlineStr">
        <is>
          <t>머리 Ø D 손상 (유/무)</t>
        </is>
      </c>
      <c r="AJ4" s="4" t="inlineStr">
        <is>
          <t>스핀들 부하 (%)</t>
        </is>
      </c>
      <c r="AK4" s="4" t="inlineStr">
        <is>
          <t>사이클 실측 (분)</t>
        </is>
      </c>
      <c r="AL4" s="4" t="inlineStr">
        <is>
          <t>CIM3D 표시 (분)</t>
        </is>
      </c>
      <c r="AM4" s="4" t="inlineStr">
        <is>
          <t>정삭 1패스 계산 (분)</t>
        </is>
      </c>
      <c r="AN4" s="4" t="inlineStr">
        <is>
          <t>측정 장비</t>
        </is>
      </c>
      <c r="AO4" s="4" t="inlineStr">
        <is>
          <t>런아웃 (μm)</t>
        </is>
      </c>
      <c r="AP4" s="4" t="inlineStr">
        <is>
          <t>휠 밸런스</t>
        </is>
      </c>
      <c r="AQ4" s="4" t="inlineStr">
        <is>
          <t>마지막 드레싱</t>
        </is>
      </c>
      <c r="AR4" s="4" t="inlineStr">
        <is>
          <t>쿨런트 농도 (%)</t>
        </is>
      </c>
      <c r="AS4" s="4" t="inlineStr">
        <is>
          <t>예열 (유/무·분)</t>
        </is>
      </c>
      <c r="AT4" s="4" t="inlineStr">
        <is>
          <t>현장 판정</t>
        </is>
      </c>
      <c r="AU4" s="4" t="inlineStr">
        <is>
          <t>다음 조치</t>
        </is>
      </c>
      <c r="AV4" s="4" t="inlineStr">
        <is>
          <t>신뢰도</t>
        </is>
      </c>
      <c r="AW4" s="4" t="inlineStr">
        <is>
          <t>비고</t>
        </is>
      </c>
    </row>
    <row r="5" ht="18" customHeight="1">
      <c r="A5" s="5" t="inlineStr">
        <is>
          <t>T1</t>
        </is>
      </c>
      <c r="B5" s="17" t="n"/>
      <c r="C5" s="5" t="n"/>
      <c r="D5" s="7" t="inlineStr">
        <is>
          <t>2JJCR 040 010 200</t>
        </is>
      </c>
      <c r="E5" s="7" t="inlineStr">
        <is>
          <t>정삭 1패스 (Δr 0.075)</t>
        </is>
      </c>
      <c r="F5" s="5" t="n"/>
      <c r="G5" s="5" t="inlineStr">
        <is>
          <t>Pack 1 / Wheel 1</t>
        </is>
      </c>
      <c r="H5" s="5" t="n"/>
      <c r="I5" s="5" t="n">
        <v>3000</v>
      </c>
      <c r="J5" s="8">
        <f>IF(OR(H5="",I5=""),"",ROUND(PI()*H5*I5/60000,1))</f>
        <v/>
      </c>
      <c r="K5" s="8">
        <f>IF(J5="",IF(I5="","","휠 지름 입력"),IF(J5&gt;30,"⚠️ 고속 &gt;30",IF(J5&gt;25,"⚠️ 사내 상한 25 초과","OK ≤25")))</f>
        <v/>
      </c>
      <c r="L5" s="18" t="n">
        <v>2</v>
      </c>
      <c r="M5" s="5" t="n">
        <v>25</v>
      </c>
      <c r="N5" s="19">
        <f>IF(OR(L5="",M5="",M5=0),"",ROUND(L5/M5,3))</f>
        <v/>
      </c>
      <c r="O5" s="20" t="n">
        <v>0.075</v>
      </c>
      <c r="P5" s="5" t="n">
        <v>1</v>
      </c>
      <c r="Q5" s="8">
        <f>IF(O5="","",IF(O5&gt;0.075*1.5,"⚠️ 고절입 &gt;150%",IF(O5&gt;0.075,"⚠️ 0.075 초과","실적 범위")))</f>
        <v/>
      </c>
      <c r="R5" s="5" t="n"/>
      <c r="S5" s="20" t="n">
        <v>4</v>
      </c>
      <c r="T5" s="20" t="n">
        <v>3.85</v>
      </c>
      <c r="U5" s="20" t="n"/>
      <c r="V5" s="20" t="n"/>
      <c r="W5" s="20" t="n"/>
      <c r="X5" s="5" t="inlineStr">
        <is>
          <t>−6 / −12 / −18</t>
        </is>
      </c>
      <c r="Y5" s="21">
        <f>IF(COUNT(U5:W5)=0,"",ROUND(AVERAGE(U5:W5),4))</f>
        <v/>
      </c>
      <c r="Z5" s="8">
        <f>IF(OR(Y5="",T5=""),"",ROUND((Y5-T5)*1000,1))</f>
        <v/>
      </c>
      <c r="AA5" s="8">
        <f>IF(COUNT(U5:W5)&lt;2,"",ROUND((MAX(U5:W5)-MIN(U5:W5))*1000,1))</f>
        <v/>
      </c>
      <c r="AB5" s="21">
        <f>IF(OR(Y5="",S5=""),"",ROUND(Y5/S5,4))</f>
        <v/>
      </c>
      <c r="AC5" s="8">
        <f>IF(AB5="","",IF(AB5&lt;0.95,"🔴 가늚 (&lt;0.95)",IF(AB5&gt;0.975,"🟡 굵음 (&gt;0.975)","🟢 범위 안")))</f>
        <v/>
      </c>
      <c r="AD5" s="19">
        <f>IF(AB5="","",ROUND(AB5^4,3))</f>
        <v/>
      </c>
      <c r="AE5" s="5" t="n"/>
      <c r="AF5" s="5" t="n"/>
      <c r="AG5" s="7" t="n"/>
      <c r="AH5" s="5" t="n"/>
      <c r="AI5" s="5" t="n"/>
      <c r="AJ5" s="5" t="n"/>
      <c r="AK5" s="5" t="n"/>
      <c r="AL5" s="5" t="n"/>
      <c r="AM5" s="5" t="n">
        <v>7.95</v>
      </c>
      <c r="AN5" s="5" t="n"/>
      <c r="AO5" s="5" t="n"/>
      <c r="AP5" s="5" t="n"/>
      <c r="AQ5" s="5" t="n"/>
      <c r="AR5" s="5" t="n"/>
      <c r="AS5" s="5" t="n"/>
      <c r="AT5" s="5" t="n"/>
      <c r="AU5" s="7" t="n"/>
      <c r="AV5" s="5" t="inlineStr"/>
      <c r="AW5" s="7" t="inlineStr">
        <is>
          <t>decisions 2026-10-19 (5)·(6) · Overhang OFF · Step 15.620 · Washout 15°/0.280 [추정값 — 시험 전]</t>
        </is>
      </c>
    </row>
    <row r="6" ht="18" customHeight="1">
      <c r="A6" s="5" t="inlineStr">
        <is>
          <t>T2</t>
        </is>
      </c>
      <c r="B6" s="17" t="n"/>
      <c r="C6" s="5" t="n"/>
      <c r="D6" s="7" t="inlineStr">
        <is>
          <t>테스트 D4 2날 평 L2 8→14</t>
        </is>
      </c>
      <c r="E6" s="7" t="inlineStr">
        <is>
          <t>3섹션 · 황삭 0.05 시작</t>
        </is>
      </c>
      <c r="F6" s="5" t="n"/>
      <c r="G6" s="5" t="inlineStr">
        <is>
          <t>Pack 1 / Wheel 1</t>
        </is>
      </c>
      <c r="H6" s="5" t="n"/>
      <c r="I6" s="5" t="n">
        <v>3000</v>
      </c>
      <c r="J6" s="8">
        <f>IF(OR(H6="",I6=""),"",ROUND(PI()*H6*I6/60000,1))</f>
        <v/>
      </c>
      <c r="K6" s="8">
        <f>IF(J6="",IF(I6="","","휠 지름 입력"),IF(J6&gt;30,"⚠️ 고속 &gt;30",IF(J6&gt;25,"⚠️ 사내 상한 25 초과","OK ≤25")))</f>
        <v/>
      </c>
      <c r="L6" s="18" t="n">
        <v>2</v>
      </c>
      <c r="M6" s="5" t="n">
        <v>25</v>
      </c>
      <c r="N6" s="19">
        <f>IF(OR(L6="",M6="",M6=0),"",ROUND(L6/M6,3))</f>
        <v/>
      </c>
      <c r="O6" s="20" t="n">
        <v>0.05</v>
      </c>
      <c r="P6" s="5" t="n">
        <v>22</v>
      </c>
      <c r="Q6" s="8">
        <f>IF(O6="","",IF(O6&gt;0.075*1.5,"⚠️ 고절입 &gt;150%",IF(O6&gt;0.075,"⚠️ 0.075 초과","실적 범위")))</f>
        <v/>
      </c>
      <c r="R6" s="5" t="n"/>
      <c r="S6" s="20" t="n">
        <v>4</v>
      </c>
      <c r="T6" s="20" t="n">
        <v>3.85</v>
      </c>
      <c r="U6" s="20" t="n"/>
      <c r="V6" s="20" t="n"/>
      <c r="W6" s="20" t="n"/>
      <c r="X6" s="5" t="inlineStr">
        <is>
          <t>−6 / −10 / −13</t>
        </is>
      </c>
      <c r="Y6" s="21">
        <f>IF(COUNT(U6:W6)=0,"",ROUND(AVERAGE(U6:W6),4))</f>
        <v/>
      </c>
      <c r="Z6" s="8">
        <f>IF(OR(Y6="",T6=""),"",ROUND((Y6-T6)*1000,1))</f>
        <v/>
      </c>
      <c r="AA6" s="8">
        <f>IF(COUNT(U6:W6)&lt;2,"",ROUND((MAX(U6:W6)-MIN(U6:W6))*1000,1))</f>
        <v/>
      </c>
      <c r="AB6" s="21">
        <f>IF(OR(Y6="",S6=""),"",ROUND(Y6/S6,4))</f>
        <v/>
      </c>
      <c r="AC6" s="8">
        <f>IF(AB6="","",IF(AB6&lt;0.95,"🔴 가늚 (&lt;0.95)",IF(AB6&gt;0.975,"🟡 굵음 (&gt;0.975)","🟢 범위 안")))</f>
        <v/>
      </c>
      <c r="AD6" s="19">
        <f>IF(AB6="","",ROUND(AB6^4,3))</f>
        <v/>
      </c>
      <c r="AE6" s="5" t="n"/>
      <c r="AF6" s="5" t="n"/>
      <c r="AG6" s="7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7" t="n"/>
      <c r="AV6" s="5" t="n"/>
      <c r="AW6" s="7" t="inlineStr">
        <is>
          <t>Blank OD 6.0 필수 · 최대 반경 제거 1.075 mm · 이상 없으면 0.075(15패스) [추정값 — 시험 전]</t>
        </is>
      </c>
    </row>
    <row r="7" ht="18" customHeight="1">
      <c r="A7" s="5" t="inlineStr">
        <is>
          <t>T3</t>
        </is>
      </c>
      <c r="B7" s="17" t="n">
        <v>46314</v>
      </c>
      <c r="C7" s="5" t="n"/>
      <c r="D7" s="7" t="inlineStr">
        <is>
          <t>테스트1-1회 · AFCY_D3.8_S6 (D3)</t>
        </is>
      </c>
      <c r="E7" s="7" t="inlineStr">
        <is>
          <t>정삭 1회 · 입력 3.05 · Infeed 5.0</t>
        </is>
      </c>
      <c r="F7" s="5" t="inlineStr">
        <is>
          <t>GX7</t>
        </is>
      </c>
      <c r="G7" s="5" t="inlineStr">
        <is>
          <t>Pack 1 / Wheel 1 (HID 12°, 1A1 단순화)</t>
        </is>
      </c>
      <c r="H7" s="5" t="n">
        <v>125.102</v>
      </c>
      <c r="I7" s="5" t="n">
        <v>3500</v>
      </c>
      <c r="J7" s="8">
        <f>IF(OR(H7="",I7=""),"",ROUND(PI()*H7*I7/60000,1))</f>
        <v/>
      </c>
      <c r="K7" s="8">
        <f>IF(J7="",IF(I7="","","휠 지름 입력"),IF(J7&gt;30,"⚠️ 고속 &gt;30",IF(J7&gt;25,"⚠️ 사내 상한 25 초과","OK ≤25")))</f>
        <v/>
      </c>
      <c r="L7" s="18" t="n">
        <v>3</v>
      </c>
      <c r="M7" s="5" t="n">
        <v>25</v>
      </c>
      <c r="N7" s="19">
        <f>IF(OR(L7="",M7="",M7=0),"",ROUND(L7/M7,3))</f>
        <v/>
      </c>
      <c r="O7" s="20" t="n"/>
      <c r="P7" s="5" t="n">
        <v>1</v>
      </c>
      <c r="Q7" s="8">
        <f>IF(O7="","",IF(O7&gt;0.075*1.5,"⚠️ 고절입 &gt;150%",IF(O7&gt;0.075,"⚠️ 0.075 초과","실적 범위")))</f>
        <v/>
      </c>
      <c r="R7" s="5" t="n"/>
      <c r="S7" s="20" t="n">
        <v>2.955</v>
      </c>
      <c r="T7" s="20" t="n">
        <v>2.84</v>
      </c>
      <c r="U7" s="20" t="n">
        <v>3</v>
      </c>
      <c r="V7" s="20" t="n"/>
      <c r="W7" s="20" t="n"/>
      <c r="X7" s="5" t="inlineStr">
        <is>
          <t>미기록</t>
        </is>
      </c>
      <c r="Y7" s="21">
        <f>IF(COUNT(U7:W7)=0,"",ROUND(AVERAGE(U7:W7),4))</f>
        <v/>
      </c>
      <c r="Z7" s="8">
        <f>IF(OR(Y7="",T7=""),"",ROUND((Y7-T7)*1000,1))</f>
        <v/>
      </c>
      <c r="AA7" s="8">
        <f>IF(COUNT(U7:W7)&lt;2,"",ROUND((MAX(U7:W7)-MIN(U7:W7))*1000,1))</f>
        <v/>
      </c>
      <c r="AB7" s="21">
        <f>IF(OR(Y7="",S7=""),"",ROUND(Y7/S7,4))</f>
        <v/>
      </c>
      <c r="AC7" s="8">
        <f>IF(AB7="","",IF(AB7&lt;0.95,"🔴 가늚 (&lt;0.95)",IF(AB7&gt;0.975,"🟡 굵음 (&gt;0.975)","🟢 범위 안")))</f>
        <v/>
      </c>
      <c r="AD7" s="19">
        <f>IF(AB7="","",ROUND(AB7^4,3))</f>
        <v/>
      </c>
      <c r="AE7" s="5" t="n"/>
      <c r="AF7" s="5" t="n"/>
      <c r="AG7" s="7" t="n"/>
      <c r="AH7" s="5" t="n"/>
      <c r="AI7" s="5" t="n"/>
      <c r="AJ7" s="5" t="n"/>
      <c r="AK7" s="5" t="n"/>
      <c r="AL7" s="5" t="n"/>
      <c r="AM7" s="5" t="n"/>
      <c r="AN7" s="5" t="inlineStr">
        <is>
          <t>Mitutoyo 293-340-30</t>
        </is>
      </c>
      <c r="AO7" s="5" t="n"/>
      <c r="AP7" s="5" t="n"/>
      <c r="AQ7" s="5" t="n"/>
      <c r="AR7" s="5" t="n"/>
      <c r="AS7" s="5" t="n"/>
      <c r="AT7" s="5" t="inlineStr">
        <is>
          <t>재시험</t>
        </is>
      </c>
      <c r="AU7" s="7" t="n"/>
      <c r="AV7" s="5" t="inlineStr">
        <is>
          <t>실측 검증</t>
        </is>
      </c>
      <c r="AW7" s="7" t="inlineStr">
        <is>
          <t>가공 전 몸통 2.990 ~ 3.003 (13:30 실측) &lt; 입력 3.05 → 비접촉 · 측정 3.00 = 원래 몸통 · ~~측정−입력 −0.05~~ 철회 (decisions 2026-10-20 (5))</t>
        </is>
      </c>
    </row>
    <row r="8" ht="18" customHeight="1">
      <c r="A8" s="5" t="inlineStr">
        <is>
          <t>T4</t>
        </is>
      </c>
      <c r="B8" s="17" t="n">
        <v>46315</v>
      </c>
      <c r="C8" s="5" t="inlineStr">
        <is>
          <t>10:3x</t>
        </is>
      </c>
      <c r="D8" s="7" t="inlineStr">
        <is>
          <t>테스트1-2회 · AFCY_D3.8_S6 (D3)</t>
        </is>
      </c>
      <c r="E8" s="7" t="inlineStr">
        <is>
          <t>정삭 1회 · 입력 2.93 · Infeed 5.0</t>
        </is>
      </c>
      <c r="F8" s="5" t="inlineStr">
        <is>
          <t>GX7</t>
        </is>
      </c>
      <c r="G8" s="5" t="inlineStr">
        <is>
          <t>Pack 1 / Wheel 1 (HID 12°, 1A1 단순화)</t>
        </is>
      </c>
      <c r="H8" s="5" t="n">
        <v>125.102</v>
      </c>
      <c r="I8" s="5" t="n">
        <v>3500</v>
      </c>
      <c r="J8" s="8">
        <f>IF(OR(H8="",I8=""),"",ROUND(PI()*H8*I8/60000,1))</f>
        <v/>
      </c>
      <c r="K8" s="8">
        <f>IF(J8="",IF(I8="","","휠 지름 입력"),IF(J8&gt;30,"⚠️ 고속 &gt;30",IF(J8&gt;25,"⚠️ 사내 상한 25 초과","OK ≤25")))</f>
        <v/>
      </c>
      <c r="L8" s="18" t="n">
        <v>3</v>
      </c>
      <c r="M8" s="5" t="n">
        <v>25</v>
      </c>
      <c r="N8" s="19">
        <f>IF(OR(L8="",M8="",M8=0),"",ROUND(L8/M8,3))</f>
        <v/>
      </c>
      <c r="O8" s="20" t="n">
        <v>0.035</v>
      </c>
      <c r="P8" s="5" t="n">
        <v>1</v>
      </c>
      <c r="Q8" s="8">
        <f>IF(O8="","",IF(O8&gt;0.075*1.5,"⚠️ 고절입 &gt;150%",IF(O8&gt;0.075,"⚠️ 0.075 초과","실적 범위")))</f>
        <v/>
      </c>
      <c r="R8" s="5" t="n"/>
      <c r="S8" s="20" t="n">
        <v>2.955</v>
      </c>
      <c r="T8" s="20" t="n">
        <v>2.84</v>
      </c>
      <c r="U8" s="20" t="n">
        <v>2.986</v>
      </c>
      <c r="V8" s="20" t="n"/>
      <c r="W8" s="20" t="n">
        <v>2.99</v>
      </c>
      <c r="X8" s="5" t="inlineStr">
        <is>
          <t>미기록</t>
        </is>
      </c>
      <c r="Y8" s="21">
        <f>IF(COUNT(U8:W8)=0,"",ROUND(AVERAGE(U8:W8),4))</f>
        <v/>
      </c>
      <c r="Z8" s="8">
        <f>IF(OR(Y8="",T8=""),"",ROUND((Y8-T8)*1000,1))</f>
        <v/>
      </c>
      <c r="AA8" s="8">
        <f>IF(COUNT(U8:W8)&lt;2,"",ROUND((MAX(U8:W8)-MIN(U8:W8))*1000,1))</f>
        <v/>
      </c>
      <c r="AB8" s="21">
        <f>IF(OR(Y8="",S8=""),"",ROUND(Y8/S8,4))</f>
        <v/>
      </c>
      <c r="AC8" s="8">
        <f>IF(AB8="","",IF(AB8&lt;0.95,"🔴 가늚 (&lt;0.95)",IF(AB8&gt;0.975,"🟡 굵음 (&gt;0.975)","🟢 범위 안")))</f>
        <v/>
      </c>
      <c r="AD8" s="19">
        <f>IF(AB8="","",ROUND(AB8^4,3))</f>
        <v/>
      </c>
      <c r="AE8" s="5" t="n"/>
      <c r="AF8" s="5" t="n"/>
      <c r="AG8" s="7" t="n"/>
      <c r="AH8" s="5" t="n"/>
      <c r="AI8" s="5" t="n"/>
      <c r="AJ8" s="5" t="n"/>
      <c r="AK8" s="5" t="n"/>
      <c r="AL8" s="5" t="n"/>
      <c r="AM8" s="5" t="n"/>
      <c r="AN8" s="5" t="inlineStr">
        <is>
          <t>Mitutoyo 293-340-30</t>
        </is>
      </c>
      <c r="AO8" s="5" t="n"/>
      <c r="AP8" s="5" t="n"/>
      <c r="AQ8" s="5" t="n"/>
      <c r="AR8" s="5" t="n"/>
      <c r="AS8" s="5" t="n"/>
      <c r="AT8" s="5" t="inlineStr">
        <is>
          <t>재시험</t>
        </is>
      </c>
      <c r="AU8" s="7" t="n"/>
      <c r="AV8" s="5" t="inlineStr">
        <is>
          <t>실측 검증</t>
        </is>
      </c>
      <c r="AW8" s="7" t="inlineStr">
        <is>
          <t>머리 2.985~2.987 · 테이퍼 2.988~2.992 (중간값 입력) · 측정−입력 +0.055~+0.062 · 절입 칸 = 정삭 명령 반경</t>
        </is>
      </c>
    </row>
    <row r="9" ht="18" customHeight="1">
      <c r="A9" s="5" t="inlineStr">
        <is>
          <t>T5</t>
        </is>
      </c>
      <c r="B9" s="17" t="n">
        <v>46315</v>
      </c>
      <c r="C9" s="5" t="inlineStr">
        <is>
          <t>10:5x</t>
        </is>
      </c>
      <c r="D9" s="7" t="inlineStr">
        <is>
          <t>테스트1-3회 · AFCY_D3.8_S6 (D3)</t>
        </is>
      </c>
      <c r="E9" s="7" t="inlineStr">
        <is>
          <t>정삭 1회 · 입력 2.860 · Infeed 5.0</t>
        </is>
      </c>
      <c r="F9" s="5" t="inlineStr">
        <is>
          <t>GX7</t>
        </is>
      </c>
      <c r="G9" s="5" t="inlineStr">
        <is>
          <t>Pack 1 / Wheel 1 (HID 12°, 1A1 단순화)</t>
        </is>
      </c>
      <c r="H9" s="5" t="n">
        <v>125.102</v>
      </c>
      <c r="I9" s="5" t="n">
        <v>3500</v>
      </c>
      <c r="J9" s="8">
        <f>IF(OR(H9="",I9=""),"",ROUND(PI()*H9*I9/60000,1))</f>
        <v/>
      </c>
      <c r="K9" s="8">
        <f>IF(J9="",IF(I9="","","휠 지름 입력"),IF(J9&gt;30,"⚠️ 고속 &gt;30",IF(J9&gt;25,"⚠️ 사내 상한 25 초과","OK ≤25")))</f>
        <v/>
      </c>
      <c r="L9" s="18" t="n">
        <v>3</v>
      </c>
      <c r="M9" s="5" t="n">
        <v>25</v>
      </c>
      <c r="N9" s="19">
        <f>IF(OR(L9="",M9="",M9=0),"",ROUND(L9/M9,3))</f>
        <v/>
      </c>
      <c r="O9" s="20" t="n">
        <v>0.063</v>
      </c>
      <c r="P9" s="5" t="n">
        <v>1</v>
      </c>
      <c r="Q9" s="8">
        <f>IF(O9="","",IF(O9&gt;0.075*1.5,"⚠️ 고절입 &gt;150%",IF(O9&gt;0.075,"⚠️ 0.075 초과","실적 범위")))</f>
        <v/>
      </c>
      <c r="R9" s="5" t="n"/>
      <c r="S9" s="20" t="n">
        <v>2.955</v>
      </c>
      <c r="T9" s="20" t="n">
        <v>2.84</v>
      </c>
      <c r="U9" s="20" t="n">
        <v>2.921</v>
      </c>
      <c r="V9" s="20" t="n"/>
      <c r="W9" s="20" t="n">
        <v>2.9315</v>
      </c>
      <c r="X9" s="5" t="inlineStr">
        <is>
          <t>미기록</t>
        </is>
      </c>
      <c r="Y9" s="21">
        <f>IF(COUNT(U9:W9)=0,"",ROUND(AVERAGE(U9:W9),4))</f>
        <v/>
      </c>
      <c r="Z9" s="8">
        <f>IF(OR(Y9="",T9=""),"",ROUND((Y9-T9)*1000,1))</f>
        <v/>
      </c>
      <c r="AA9" s="8">
        <f>IF(COUNT(U9:W9)&lt;2,"",ROUND((MAX(U9:W9)-MIN(U9:W9))*1000,1))</f>
        <v/>
      </c>
      <c r="AB9" s="21">
        <f>IF(OR(Y9="",S9=""),"",ROUND(Y9/S9,4))</f>
        <v/>
      </c>
      <c r="AC9" s="8">
        <f>IF(AB9="","",IF(AB9&lt;0.95,"🔴 가늚 (&lt;0.95)",IF(AB9&gt;0.975,"🟡 굵음 (&gt;0.975)","🟢 범위 안")))</f>
        <v/>
      </c>
      <c r="AD9" s="19">
        <f>IF(AB9="","",ROUND(AB9^4,3))</f>
        <v/>
      </c>
      <c r="AE9" s="5" t="n"/>
      <c r="AF9" s="5" t="n"/>
      <c r="AG9" s="7" t="n"/>
      <c r="AH9" s="5" t="n"/>
      <c r="AI9" s="5" t="n"/>
      <c r="AJ9" s="5" t="n"/>
      <c r="AK9" s="5" t="n"/>
      <c r="AL9" s="5" t="n"/>
      <c r="AM9" s="5" t="n"/>
      <c r="AN9" s="5" t="inlineStr">
        <is>
          <t>Mitutoyo 293-340-30</t>
        </is>
      </c>
      <c r="AO9" s="5" t="n"/>
      <c r="AP9" s="5" t="n"/>
      <c r="AQ9" s="5" t="n"/>
      <c r="AR9" s="5" t="n"/>
      <c r="AS9" s="5" t="n"/>
      <c r="AT9" s="5" t="inlineStr">
        <is>
          <t>재시험</t>
        </is>
      </c>
      <c r="AU9" s="7" t="n"/>
      <c r="AV9" s="5" t="inlineStr">
        <is>
          <t>실측 검증</t>
        </is>
      </c>
      <c r="AW9" s="7" t="inlineStr">
        <is>
          <t>머리 2.920~2.922 · 테이퍼 2.928~2.935 · +0.060~+0.075 · 현미경: 진입부 줄무늬 띠 · 점 자국</t>
        </is>
      </c>
    </row>
    <row r="10" ht="18" customHeight="1">
      <c r="A10" s="5" t="inlineStr">
        <is>
          <t>T6</t>
        </is>
      </c>
      <c r="B10" s="17" t="n">
        <v>46315</v>
      </c>
      <c r="C10" s="5" t="inlineStr">
        <is>
          <t>11:1x</t>
        </is>
      </c>
      <c r="D10" s="7" t="inlineStr">
        <is>
          <t>테스트1-4회 · AFCY_D3.8_S6 (D3)</t>
        </is>
      </c>
      <c r="E10" s="7" t="inlineStr">
        <is>
          <t>정삭 1회 · 입력 2.790 · Infeed 1.0</t>
        </is>
      </c>
      <c r="F10" s="5" t="inlineStr">
        <is>
          <t>GX7</t>
        </is>
      </c>
      <c r="G10" s="5" t="inlineStr">
        <is>
          <t>Pack 1 / Wheel 1 (HID 12°, 1A1 단순화)</t>
        </is>
      </c>
      <c r="H10" s="5" t="n">
        <v>125.102</v>
      </c>
      <c r="I10" s="5" t="n">
        <v>3500</v>
      </c>
      <c r="J10" s="8">
        <f>IF(OR(H10="",I10=""),"",ROUND(PI()*H10*I10/60000,1))</f>
        <v/>
      </c>
      <c r="K10" s="8">
        <f>IF(J10="",IF(I10="","","휠 지름 입력"),IF(J10&gt;30,"⚠️ 고속 &gt;30",IF(J10&gt;25,"⚠️ 사내 상한 25 초과","OK ≤25")))</f>
        <v/>
      </c>
      <c r="L10" s="18" t="n">
        <v>3</v>
      </c>
      <c r="M10" s="5" t="n">
        <v>25</v>
      </c>
      <c r="N10" s="19">
        <f>IF(OR(L10="",M10="",M10=0),"",ROUND(L10/M10,3))</f>
        <v/>
      </c>
      <c r="O10" s="20" t="n">
        <v>0.068</v>
      </c>
      <c r="P10" s="5" t="n">
        <v>1</v>
      </c>
      <c r="Q10" s="8">
        <f>IF(O10="","",IF(O10&gt;0.075*1.5,"⚠️ 고절입 &gt;150%",IF(O10&gt;0.075,"⚠️ 0.075 초과","실적 범위")))</f>
        <v/>
      </c>
      <c r="R10" s="5" t="n"/>
      <c r="S10" s="20" t="n">
        <v>2.955</v>
      </c>
      <c r="T10" s="20" t="n">
        <v>2.84</v>
      </c>
      <c r="U10" s="20" t="n">
        <v>2.8535</v>
      </c>
      <c r="V10" s="20" t="n">
        <v>2.8545</v>
      </c>
      <c r="W10" s="20" t="n">
        <v>2.86</v>
      </c>
      <c r="X10" s="5" t="inlineStr">
        <is>
          <t>미기록</t>
        </is>
      </c>
      <c r="Y10" s="21">
        <f>IF(COUNT(U10:W10)=0,"",ROUND(AVERAGE(U10:W10),4))</f>
        <v/>
      </c>
      <c r="Z10" s="8">
        <f>IF(OR(Y10="",T10=""),"",ROUND((Y10-T10)*1000,1))</f>
        <v/>
      </c>
      <c r="AA10" s="8">
        <f>IF(COUNT(U10:W10)&lt;2,"",ROUND((MAX(U10:W10)-MIN(U10:W10))*1000,1))</f>
        <v/>
      </c>
      <c r="AB10" s="21">
        <f>IF(OR(Y10="",S10=""),"",ROUND(Y10/S10,4))</f>
        <v/>
      </c>
      <c r="AC10" s="8">
        <f>IF(AB10="","",IF(AB10&lt;0.95,"🔴 가늚 (&lt;0.95)",IF(AB10&gt;0.975,"🟡 굵음 (&gt;0.975)","🟢 범위 안")))</f>
        <v/>
      </c>
      <c r="AD10" s="19">
        <f>IF(AB10="","",ROUND(AB10^4,3))</f>
        <v/>
      </c>
      <c r="AE10" s="5" t="n"/>
      <c r="AF10" s="5" t="n"/>
      <c r="AG10" s="7" t="n"/>
      <c r="AH10" s="5" t="n"/>
      <c r="AI10" s="5" t="n"/>
      <c r="AJ10" s="5" t="inlineStr">
        <is>
          <t>테이퍼 쪽 +3~4</t>
        </is>
      </c>
      <c r="AK10" s="5" t="n"/>
      <c r="AL10" s="5" t="n"/>
      <c r="AM10" s="5" t="n"/>
      <c r="AN10" s="5" t="inlineStr">
        <is>
          <t>Mitutoyo 293-340-30</t>
        </is>
      </c>
      <c r="AO10" s="5" t="n"/>
      <c r="AP10" s="5" t="n"/>
      <c r="AQ10" s="5" t="n"/>
      <c r="AR10" s="5" t="n"/>
      <c r="AS10" s="5" t="n"/>
      <c r="AT10" s="5" t="inlineStr">
        <is>
          <t>합격</t>
        </is>
      </c>
      <c r="AU10" s="7" t="inlineStr">
        <is>
          <t>테스트1 종결(2026-10-20) — 이 공구 멈춤</t>
        </is>
      </c>
      <c r="AV10" s="5" t="inlineStr">
        <is>
          <t>실측 검증</t>
        </is>
      </c>
      <c r="AW10" s="7" t="inlineStr">
        <is>
          <t>머리 2.853~2.854 · 중간 2.854~2.855 · 테이퍼 2.858~2.862 · +0.063~+0.072 · iGrind 04:57 · 진입부 찍힘 재발 · 오목 점 1개</t>
        </is>
      </c>
    </row>
    <row r="11" ht="18" customHeight="1">
      <c r="A11" s="5" t="inlineStr">
        <is>
          <t>T7</t>
        </is>
      </c>
      <c r="B11" s="17" t="n">
        <v>46315</v>
      </c>
      <c r="C11" s="5" t="inlineStr">
        <is>
          <t>13:5x</t>
        </is>
      </c>
      <c r="D11" s="7" t="inlineStr">
        <is>
          <t>테스트2 · 2번 공구 _Roughing.tom (D3)</t>
        </is>
      </c>
      <c r="E11" s="7" t="inlineStr">
        <is>
          <t>황삭 Diagonal 0.075×1 · 10→4 mm/min · A Spin 50 / 정삭 Stock 0.02 · Infeed 0.5 · 입력 2.825</t>
        </is>
      </c>
      <c r="F11" s="5" t="inlineStr">
        <is>
          <t>GX7</t>
        </is>
      </c>
      <c r="G11" s="5" t="inlineStr">
        <is>
          <t>Pack 1 / Wheel 1 (HID 12°, 1A1 단순화)</t>
        </is>
      </c>
      <c r="H11" s="5" t="n">
        <v>125.102</v>
      </c>
      <c r="I11" s="5" t="n">
        <v>3500</v>
      </c>
      <c r="J11" s="8">
        <f>IF(OR(H11="",I11=""),"",ROUND(PI()*H11*I11/60000,1))</f>
        <v/>
      </c>
      <c r="K11" s="8">
        <f>IF(J11="",IF(I11="","","휠 지름 입력"),IF(J11&gt;30,"⚠️ 고속 &gt;30",IF(J11&gt;25,"⚠️ 사내 상한 25 초과","OK ≤25")))</f>
        <v/>
      </c>
      <c r="L11" s="18" t="n">
        <v>3</v>
      </c>
      <c r="M11" s="5" t="n">
        <v>25</v>
      </c>
      <c r="N11" s="19">
        <f>IF(OR(L11="",M11="",M11=0),"",ROUND(L11/M11,3))</f>
        <v/>
      </c>
      <c r="O11" s="20" t="n">
        <v>0.075</v>
      </c>
      <c r="P11" s="5" t="n">
        <v>1</v>
      </c>
      <c r="Q11" s="8">
        <f>IF(O11="","",IF(O11&gt;0.075*1.5,"⚠️ 고절입 &gt;150%",IF(O11&gt;0.075,"⚠️ 0.075 초과","실적 범위")))</f>
        <v/>
      </c>
      <c r="R11" s="5" t="n"/>
      <c r="S11" s="20" t="n">
        <v>2.97</v>
      </c>
      <c r="T11" s="20" t="n">
        <v>2.851</v>
      </c>
      <c r="U11" s="20" t="n">
        <v>2.89</v>
      </c>
      <c r="V11" s="20" t="n">
        <v>2.905</v>
      </c>
      <c r="W11" s="20" t="n">
        <v>2.907</v>
      </c>
      <c r="X11" s="5" t="inlineStr">
        <is>
          <t>미기록</t>
        </is>
      </c>
      <c r="Y11" s="21">
        <f>IF(COUNT(U11:W11)=0,"",ROUND(AVERAGE(U11:W11),4))</f>
        <v/>
      </c>
      <c r="Z11" s="8">
        <f>IF(OR(Y11="",T11=""),"",ROUND((Y11-T11)*1000,1))</f>
        <v/>
      </c>
      <c r="AA11" s="8">
        <f>IF(COUNT(U11:W11)&lt;2,"",ROUND((MAX(U11:W11)-MIN(U11:W11))*1000,1))</f>
        <v/>
      </c>
      <c r="AB11" s="21">
        <f>IF(OR(Y11="",S11=""),"",ROUND(Y11/S11,4))</f>
        <v/>
      </c>
      <c r="AC11" s="8">
        <f>IF(AB11="","",IF(AB11&lt;0.95,"🔴 가늚 (&lt;0.95)",IF(AB11&gt;0.975,"🟡 굵음 (&gt;0.975)","🟢 범위 안")))</f>
        <v/>
      </c>
      <c r="AD11" s="19">
        <f>IF(AB11="","",ROUND(AB11^4,3))</f>
        <v/>
      </c>
      <c r="AE11" s="5" t="n"/>
      <c r="AF11" s="5" t="n"/>
      <c r="AG11" s="7" t="n"/>
      <c r="AH11" s="5" t="n"/>
      <c r="AI11" s="5" t="n"/>
      <c r="AJ11" s="5" t="inlineStr">
        <is>
          <t>황삭 10→5 초과 · 4→4 · 테이퍼 면 5~10 · 정삭 3</t>
        </is>
      </c>
      <c r="AK11" s="5" t="n">
        <v>8</v>
      </c>
      <c r="AL11" s="5" t="n">
        <v>6.47</v>
      </c>
      <c r="AM11" s="5" t="n"/>
      <c r="AN11" s="5" t="inlineStr">
        <is>
          <t>Mitutoyo 293-340-30</t>
        </is>
      </c>
      <c r="AO11" s="5" t="n"/>
      <c r="AP11" s="5" t="n"/>
      <c r="AQ11" s="5" t="n"/>
      <c r="AR11" s="5" t="n"/>
      <c r="AS11" s="5" t="n"/>
      <c r="AT11" s="5" t="inlineStr">
        <is>
          <t>보류</t>
        </is>
      </c>
      <c r="AU11" s="7" t="inlineStr">
        <is>
          <t>재정삭(Final 2.790 · Stock 0.150 · Roughing 끔) 여부 판단 · 테스트 3 = 섹션 분할 + Washout (L2 확인)</t>
        </is>
      </c>
      <c r="AV11" s="5" t="inlineStr">
        <is>
          <t>실측 검증</t>
        </is>
      </c>
      <c r="AW11" s="7" t="inlineStr">
        <is>
          <t>진입 찍힘 없음 ✅ · 측정−입력 +0.065 / +0.080 / +0.082 · 비율 0.973 / 0.978 / 0.979 (상한 0.975) · 몸통 · Blank OD · EOT 미확인</t>
        </is>
      </c>
    </row>
    <row r="12" ht="18" customHeight="1">
      <c r="A12" s="5" t="n"/>
      <c r="B12" s="17" t="n"/>
      <c r="C12" s="5" t="n"/>
      <c r="D12" s="7" t="n"/>
      <c r="E12" s="7" t="n"/>
      <c r="F12" s="5" t="n"/>
      <c r="G12" s="5" t="n"/>
      <c r="H12" s="5" t="n"/>
      <c r="I12" s="5" t="n"/>
      <c r="J12" s="8">
        <f>IF(OR(H12="",I12=""),"",ROUND(PI()*H12*I12/60000,1))</f>
        <v/>
      </c>
      <c r="K12" s="8">
        <f>IF(J12="",IF(I12="","","휠 지름 입력"),IF(J12&gt;30,"⚠️ 고속 &gt;30",IF(J12&gt;25,"⚠️ 사내 상한 25 초과","OK ≤25")))</f>
        <v/>
      </c>
      <c r="L12" s="18" t="n"/>
      <c r="M12" s="5" t="n"/>
      <c r="N12" s="19">
        <f>IF(OR(L12="",M12="",M12=0),"",ROUND(L12/M12,3))</f>
        <v/>
      </c>
      <c r="O12" s="20" t="n"/>
      <c r="P12" s="5" t="n"/>
      <c r="Q12" s="8">
        <f>IF(O12="","",IF(O12&gt;0.075*1.5,"⚠️ 고절입 &gt;150%",IF(O12&gt;0.075,"⚠️ 0.075 초과","실적 범위")))</f>
        <v/>
      </c>
      <c r="R12" s="5" t="n"/>
      <c r="S12" s="20" t="n"/>
      <c r="T12" s="20" t="n"/>
      <c r="U12" s="20" t="n"/>
      <c r="V12" s="20" t="n"/>
      <c r="W12" s="20" t="n"/>
      <c r="X12" s="5" t="n"/>
      <c r="Y12" s="21">
        <f>IF(COUNT(U12:W12)=0,"",ROUND(AVERAGE(U12:W12),4))</f>
        <v/>
      </c>
      <c r="Z12" s="8">
        <f>IF(OR(Y12="",T12=""),"",ROUND((Y12-T12)*1000,1))</f>
        <v/>
      </c>
      <c r="AA12" s="8">
        <f>IF(COUNT(U12:W12)&lt;2,"",ROUND((MAX(U12:W12)-MIN(U12:W12))*1000,1))</f>
        <v/>
      </c>
      <c r="AB12" s="21">
        <f>IF(OR(Y12="",S12=""),"",ROUND(Y12/S12,4))</f>
        <v/>
      </c>
      <c r="AC12" s="8">
        <f>IF(AB12="","",IF(AB12&lt;0.95,"🔴 가늚 (&lt;0.95)",IF(AB12&gt;0.975,"🟡 굵음 (&gt;0.975)","🟢 범위 안")))</f>
        <v/>
      </c>
      <c r="AD12" s="19">
        <f>IF(AB12="","",ROUND(AB12^4,3))</f>
        <v/>
      </c>
      <c r="AE12" s="5" t="n"/>
      <c r="AF12" s="5" t="n"/>
      <c r="AG12" s="7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7" t="n"/>
      <c r="AV12" s="5" t="n"/>
      <c r="AW12" s="7" t="n"/>
    </row>
    <row r="13" ht="18" customHeight="1">
      <c r="A13" s="5" t="n"/>
      <c r="B13" s="17" t="n"/>
      <c r="C13" s="5" t="n"/>
      <c r="D13" s="7" t="n"/>
      <c r="E13" s="7" t="n"/>
      <c r="F13" s="5" t="n"/>
      <c r="G13" s="5" t="n"/>
      <c r="H13" s="5" t="n"/>
      <c r="I13" s="5" t="n"/>
      <c r="J13" s="8">
        <f>IF(OR(H13="",I13=""),"",ROUND(PI()*H13*I13/60000,1))</f>
        <v/>
      </c>
      <c r="K13" s="8">
        <f>IF(J13="",IF(I13="","","휠 지름 입력"),IF(J13&gt;30,"⚠️ 고속 &gt;30",IF(J13&gt;25,"⚠️ 사내 상한 25 초과","OK ≤25")))</f>
        <v/>
      </c>
      <c r="L13" s="18" t="n"/>
      <c r="M13" s="5" t="n"/>
      <c r="N13" s="19">
        <f>IF(OR(L13="",M13="",M13=0),"",ROUND(L13/M13,3))</f>
        <v/>
      </c>
      <c r="O13" s="20" t="n"/>
      <c r="P13" s="5" t="n"/>
      <c r="Q13" s="8">
        <f>IF(O13="","",IF(O13&gt;0.075*1.5,"⚠️ 고절입 &gt;150%",IF(O13&gt;0.075,"⚠️ 0.075 초과","실적 범위")))</f>
        <v/>
      </c>
      <c r="R13" s="5" t="n"/>
      <c r="S13" s="20" t="n"/>
      <c r="T13" s="20" t="n"/>
      <c r="U13" s="20" t="n"/>
      <c r="V13" s="20" t="n"/>
      <c r="W13" s="20" t="n"/>
      <c r="X13" s="5" t="n"/>
      <c r="Y13" s="21">
        <f>IF(COUNT(U13:W13)=0,"",ROUND(AVERAGE(U13:W13),4))</f>
        <v/>
      </c>
      <c r="Z13" s="8">
        <f>IF(OR(Y13="",T13=""),"",ROUND((Y13-T13)*1000,1))</f>
        <v/>
      </c>
      <c r="AA13" s="8">
        <f>IF(COUNT(U13:W13)&lt;2,"",ROUND((MAX(U13:W13)-MIN(U13:W13))*1000,1))</f>
        <v/>
      </c>
      <c r="AB13" s="21">
        <f>IF(OR(Y13="",S13=""),"",ROUND(Y13/S13,4))</f>
        <v/>
      </c>
      <c r="AC13" s="8">
        <f>IF(AB13="","",IF(AB13&lt;0.95,"🔴 가늚 (&lt;0.95)",IF(AB13&gt;0.975,"🟡 굵음 (&gt;0.975)","🟢 범위 안")))</f>
        <v/>
      </c>
      <c r="AD13" s="19">
        <f>IF(AB13="","",ROUND(AB13^4,3))</f>
        <v/>
      </c>
      <c r="AE13" s="5" t="n"/>
      <c r="AF13" s="5" t="n"/>
      <c r="AG13" s="7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7" t="n"/>
      <c r="AV13" s="5" t="n"/>
      <c r="AW13" s="7" t="n"/>
    </row>
    <row r="14" ht="18" customHeight="1">
      <c r="A14" s="5" t="n"/>
      <c r="B14" s="17" t="n"/>
      <c r="C14" s="5" t="n"/>
      <c r="D14" s="7" t="n"/>
      <c r="E14" s="7" t="n"/>
      <c r="F14" s="5" t="n"/>
      <c r="G14" s="5" t="n"/>
      <c r="H14" s="5" t="n"/>
      <c r="I14" s="5" t="n"/>
      <c r="J14" s="8">
        <f>IF(OR(H14="",I14=""),"",ROUND(PI()*H14*I14/60000,1))</f>
        <v/>
      </c>
      <c r="K14" s="8">
        <f>IF(J14="",IF(I14="","","휠 지름 입력"),IF(J14&gt;30,"⚠️ 고속 &gt;30",IF(J14&gt;25,"⚠️ 사내 상한 25 초과","OK ≤25")))</f>
        <v/>
      </c>
      <c r="L14" s="18" t="n"/>
      <c r="M14" s="5" t="n"/>
      <c r="N14" s="19">
        <f>IF(OR(L14="",M14="",M14=0),"",ROUND(L14/M14,3))</f>
        <v/>
      </c>
      <c r="O14" s="20" t="n"/>
      <c r="P14" s="5" t="n"/>
      <c r="Q14" s="8">
        <f>IF(O14="","",IF(O14&gt;0.075*1.5,"⚠️ 고절입 &gt;150%",IF(O14&gt;0.075,"⚠️ 0.075 초과","실적 범위")))</f>
        <v/>
      </c>
      <c r="R14" s="5" t="n"/>
      <c r="S14" s="20" t="n"/>
      <c r="T14" s="20" t="n"/>
      <c r="U14" s="20" t="n"/>
      <c r="V14" s="20" t="n"/>
      <c r="W14" s="20" t="n"/>
      <c r="X14" s="5" t="n"/>
      <c r="Y14" s="21">
        <f>IF(COUNT(U14:W14)=0,"",ROUND(AVERAGE(U14:W14),4))</f>
        <v/>
      </c>
      <c r="Z14" s="8">
        <f>IF(OR(Y14="",T14=""),"",ROUND((Y14-T14)*1000,1))</f>
        <v/>
      </c>
      <c r="AA14" s="8">
        <f>IF(COUNT(U14:W14)&lt;2,"",ROUND((MAX(U14:W14)-MIN(U14:W14))*1000,1))</f>
        <v/>
      </c>
      <c r="AB14" s="21">
        <f>IF(OR(Y14="",S14=""),"",ROUND(Y14/S14,4))</f>
        <v/>
      </c>
      <c r="AC14" s="8">
        <f>IF(AB14="","",IF(AB14&lt;0.95,"🔴 가늚 (&lt;0.95)",IF(AB14&gt;0.975,"🟡 굵음 (&gt;0.975)","🟢 범위 안")))</f>
        <v/>
      </c>
      <c r="AD14" s="19">
        <f>IF(AB14="","",ROUND(AB14^4,3))</f>
        <v/>
      </c>
      <c r="AE14" s="5" t="n"/>
      <c r="AF14" s="5" t="n"/>
      <c r="AG14" s="7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7" t="n"/>
      <c r="AV14" s="5" t="n"/>
      <c r="AW14" s="7" t="n"/>
    </row>
    <row r="15" ht="18" customHeight="1">
      <c r="A15" s="5" t="n"/>
      <c r="B15" s="17" t="n"/>
      <c r="C15" s="5" t="n"/>
      <c r="D15" s="7" t="n"/>
      <c r="E15" s="7" t="n"/>
      <c r="F15" s="5" t="n"/>
      <c r="G15" s="5" t="n"/>
      <c r="H15" s="5" t="n"/>
      <c r="I15" s="5" t="n"/>
      <c r="J15" s="8">
        <f>IF(OR(H15="",I15=""),"",ROUND(PI()*H15*I15/60000,1))</f>
        <v/>
      </c>
      <c r="K15" s="8">
        <f>IF(J15="",IF(I15="","","휠 지름 입력"),IF(J15&gt;30,"⚠️ 고속 &gt;30",IF(J15&gt;25,"⚠️ 사내 상한 25 초과","OK ≤25")))</f>
        <v/>
      </c>
      <c r="L15" s="18" t="n"/>
      <c r="M15" s="5" t="n"/>
      <c r="N15" s="19">
        <f>IF(OR(L15="",M15="",M15=0),"",ROUND(L15/M15,3))</f>
        <v/>
      </c>
      <c r="O15" s="20" t="n"/>
      <c r="P15" s="5" t="n"/>
      <c r="Q15" s="8">
        <f>IF(O15="","",IF(O15&gt;0.075*1.5,"⚠️ 고절입 &gt;150%",IF(O15&gt;0.075,"⚠️ 0.075 초과","실적 범위")))</f>
        <v/>
      </c>
      <c r="R15" s="5" t="n"/>
      <c r="S15" s="20" t="n"/>
      <c r="T15" s="20" t="n"/>
      <c r="U15" s="20" t="n"/>
      <c r="V15" s="20" t="n"/>
      <c r="W15" s="20" t="n"/>
      <c r="X15" s="5" t="n"/>
      <c r="Y15" s="21">
        <f>IF(COUNT(U15:W15)=0,"",ROUND(AVERAGE(U15:W15),4))</f>
        <v/>
      </c>
      <c r="Z15" s="8">
        <f>IF(OR(Y15="",T15=""),"",ROUND((Y15-T15)*1000,1))</f>
        <v/>
      </c>
      <c r="AA15" s="8">
        <f>IF(COUNT(U15:W15)&lt;2,"",ROUND((MAX(U15:W15)-MIN(U15:W15))*1000,1))</f>
        <v/>
      </c>
      <c r="AB15" s="21">
        <f>IF(OR(Y15="",S15=""),"",ROUND(Y15/S15,4))</f>
        <v/>
      </c>
      <c r="AC15" s="8">
        <f>IF(AB15="","",IF(AB15&lt;0.95,"🔴 가늚 (&lt;0.95)",IF(AB15&gt;0.975,"🟡 굵음 (&gt;0.975)","🟢 범위 안")))</f>
        <v/>
      </c>
      <c r="AD15" s="19">
        <f>IF(AB15="","",ROUND(AB15^4,3))</f>
        <v/>
      </c>
      <c r="AE15" s="5" t="n"/>
      <c r="AF15" s="5" t="n"/>
      <c r="AG15" s="7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7" t="n"/>
      <c r="AV15" s="5" t="n"/>
      <c r="AW15" s="7" t="n"/>
    </row>
    <row r="16" ht="18" customHeight="1">
      <c r="A16" s="5" t="n"/>
      <c r="B16" s="17" t="n"/>
      <c r="C16" s="5" t="n"/>
      <c r="D16" s="7" t="n"/>
      <c r="E16" s="7" t="n"/>
      <c r="F16" s="5" t="n"/>
      <c r="G16" s="5" t="n"/>
      <c r="H16" s="5" t="n"/>
      <c r="I16" s="5" t="n"/>
      <c r="J16" s="8">
        <f>IF(OR(H16="",I16=""),"",ROUND(PI()*H16*I16/60000,1))</f>
        <v/>
      </c>
      <c r="K16" s="8">
        <f>IF(J16="",IF(I16="","","휠 지름 입력"),IF(J16&gt;30,"⚠️ 고속 &gt;30",IF(J16&gt;25,"⚠️ 사내 상한 25 초과","OK ≤25")))</f>
        <v/>
      </c>
      <c r="L16" s="18" t="n"/>
      <c r="M16" s="5" t="n"/>
      <c r="N16" s="19">
        <f>IF(OR(L16="",M16="",M16=0),"",ROUND(L16/M16,3))</f>
        <v/>
      </c>
      <c r="O16" s="20" t="n"/>
      <c r="P16" s="5" t="n"/>
      <c r="Q16" s="8">
        <f>IF(O16="","",IF(O16&gt;0.075*1.5,"⚠️ 고절입 &gt;150%",IF(O16&gt;0.075,"⚠️ 0.075 초과","실적 범위")))</f>
        <v/>
      </c>
      <c r="R16" s="5" t="n"/>
      <c r="S16" s="20" t="n"/>
      <c r="T16" s="20" t="n"/>
      <c r="U16" s="20" t="n"/>
      <c r="V16" s="20" t="n"/>
      <c r="W16" s="20" t="n"/>
      <c r="X16" s="5" t="n"/>
      <c r="Y16" s="21">
        <f>IF(COUNT(U16:W16)=0,"",ROUND(AVERAGE(U16:W16),4))</f>
        <v/>
      </c>
      <c r="Z16" s="8">
        <f>IF(OR(Y16="",T16=""),"",ROUND((Y16-T16)*1000,1))</f>
        <v/>
      </c>
      <c r="AA16" s="8">
        <f>IF(COUNT(U16:W16)&lt;2,"",ROUND((MAX(U16:W16)-MIN(U16:W16))*1000,1))</f>
        <v/>
      </c>
      <c r="AB16" s="21">
        <f>IF(OR(Y16="",S16=""),"",ROUND(Y16/S16,4))</f>
        <v/>
      </c>
      <c r="AC16" s="8">
        <f>IF(AB16="","",IF(AB16&lt;0.95,"🔴 가늚 (&lt;0.95)",IF(AB16&gt;0.975,"🟡 굵음 (&gt;0.975)","🟢 범위 안")))</f>
        <v/>
      </c>
      <c r="AD16" s="19">
        <f>IF(AB16="","",ROUND(AB16^4,3))</f>
        <v/>
      </c>
      <c r="AE16" s="5" t="n"/>
      <c r="AF16" s="5" t="n"/>
      <c r="AG16" s="7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7" t="n"/>
      <c r="AV16" s="5" t="n"/>
      <c r="AW16" s="7" t="n"/>
    </row>
    <row r="17" ht="18" customHeight="1">
      <c r="A17" s="5" t="n"/>
      <c r="B17" s="17" t="n"/>
      <c r="C17" s="5" t="n"/>
      <c r="D17" s="7" t="n"/>
      <c r="E17" s="7" t="n"/>
      <c r="F17" s="5" t="n"/>
      <c r="G17" s="5" t="n"/>
      <c r="H17" s="5" t="n"/>
      <c r="I17" s="5" t="n"/>
      <c r="J17" s="8">
        <f>IF(OR(H17="",I17=""),"",ROUND(PI()*H17*I17/60000,1))</f>
        <v/>
      </c>
      <c r="K17" s="8">
        <f>IF(J17="",IF(I17="","","휠 지름 입력"),IF(J17&gt;30,"⚠️ 고속 &gt;30",IF(J17&gt;25,"⚠️ 사내 상한 25 초과","OK ≤25")))</f>
        <v/>
      </c>
      <c r="L17" s="18" t="n"/>
      <c r="M17" s="5" t="n"/>
      <c r="N17" s="19">
        <f>IF(OR(L17="",M17="",M17=0),"",ROUND(L17/M17,3))</f>
        <v/>
      </c>
      <c r="O17" s="20" t="n"/>
      <c r="P17" s="5" t="n"/>
      <c r="Q17" s="8">
        <f>IF(O17="","",IF(O17&gt;0.075*1.5,"⚠️ 고절입 &gt;150%",IF(O17&gt;0.075,"⚠️ 0.075 초과","실적 범위")))</f>
        <v/>
      </c>
      <c r="R17" s="5" t="n"/>
      <c r="S17" s="20" t="n"/>
      <c r="T17" s="20" t="n"/>
      <c r="U17" s="20" t="n"/>
      <c r="V17" s="20" t="n"/>
      <c r="W17" s="20" t="n"/>
      <c r="X17" s="5" t="n"/>
      <c r="Y17" s="21">
        <f>IF(COUNT(U17:W17)=0,"",ROUND(AVERAGE(U17:W17),4))</f>
        <v/>
      </c>
      <c r="Z17" s="8">
        <f>IF(OR(Y17="",T17=""),"",ROUND((Y17-T17)*1000,1))</f>
        <v/>
      </c>
      <c r="AA17" s="8">
        <f>IF(COUNT(U17:W17)&lt;2,"",ROUND((MAX(U17:W17)-MIN(U17:W17))*1000,1))</f>
        <v/>
      </c>
      <c r="AB17" s="21">
        <f>IF(OR(Y17="",S17=""),"",ROUND(Y17/S17,4))</f>
        <v/>
      </c>
      <c r="AC17" s="8">
        <f>IF(AB17="","",IF(AB17&lt;0.95,"🔴 가늚 (&lt;0.95)",IF(AB17&gt;0.975,"🟡 굵음 (&gt;0.975)","🟢 범위 안")))</f>
        <v/>
      </c>
      <c r="AD17" s="19">
        <f>IF(AB17="","",ROUND(AB17^4,3))</f>
        <v/>
      </c>
      <c r="AE17" s="5" t="n"/>
      <c r="AF17" s="5" t="n"/>
      <c r="AG17" s="7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7" t="n"/>
      <c r="AV17" s="5" t="n"/>
      <c r="AW17" s="7" t="n"/>
    </row>
    <row r="18" ht="18" customHeight="1">
      <c r="A18" s="5" t="n"/>
      <c r="B18" s="17" t="n"/>
      <c r="C18" s="5" t="n"/>
      <c r="D18" s="7" t="n"/>
      <c r="E18" s="7" t="n"/>
      <c r="F18" s="5" t="n"/>
      <c r="G18" s="5" t="n"/>
      <c r="H18" s="5" t="n"/>
      <c r="I18" s="5" t="n"/>
      <c r="J18" s="8">
        <f>IF(OR(H18="",I18=""),"",ROUND(PI()*H18*I18/60000,1))</f>
        <v/>
      </c>
      <c r="K18" s="8">
        <f>IF(J18="",IF(I18="","","휠 지름 입력"),IF(J18&gt;30,"⚠️ 고속 &gt;30",IF(J18&gt;25,"⚠️ 사내 상한 25 초과","OK ≤25")))</f>
        <v/>
      </c>
      <c r="L18" s="18" t="n"/>
      <c r="M18" s="5" t="n"/>
      <c r="N18" s="19">
        <f>IF(OR(L18="",M18="",M18=0),"",ROUND(L18/M18,3))</f>
        <v/>
      </c>
      <c r="O18" s="20" t="n"/>
      <c r="P18" s="5" t="n"/>
      <c r="Q18" s="8">
        <f>IF(O18="","",IF(O18&gt;0.075*1.5,"⚠️ 고절입 &gt;150%",IF(O18&gt;0.075,"⚠️ 0.075 초과","실적 범위")))</f>
        <v/>
      </c>
      <c r="R18" s="5" t="n"/>
      <c r="S18" s="20" t="n"/>
      <c r="T18" s="20" t="n"/>
      <c r="U18" s="20" t="n"/>
      <c r="V18" s="20" t="n"/>
      <c r="W18" s="20" t="n"/>
      <c r="X18" s="5" t="n"/>
      <c r="Y18" s="21">
        <f>IF(COUNT(U18:W18)=0,"",ROUND(AVERAGE(U18:W18),4))</f>
        <v/>
      </c>
      <c r="Z18" s="8">
        <f>IF(OR(Y18="",T18=""),"",ROUND((Y18-T18)*1000,1))</f>
        <v/>
      </c>
      <c r="AA18" s="8">
        <f>IF(COUNT(U18:W18)&lt;2,"",ROUND((MAX(U18:W18)-MIN(U18:W18))*1000,1))</f>
        <v/>
      </c>
      <c r="AB18" s="21">
        <f>IF(OR(Y18="",S18=""),"",ROUND(Y18/S18,4))</f>
        <v/>
      </c>
      <c r="AC18" s="8">
        <f>IF(AB18="","",IF(AB18&lt;0.95,"🔴 가늚 (&lt;0.95)",IF(AB18&gt;0.975,"🟡 굵음 (&gt;0.975)","🟢 범위 안")))</f>
        <v/>
      </c>
      <c r="AD18" s="19">
        <f>IF(AB18="","",ROUND(AB18^4,3))</f>
        <v/>
      </c>
      <c r="AE18" s="5" t="n"/>
      <c r="AF18" s="5" t="n"/>
      <c r="AG18" s="7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7" t="n"/>
      <c r="AV18" s="5" t="n"/>
      <c r="AW18" s="7" t="n"/>
    </row>
    <row r="19" ht="18" customHeight="1">
      <c r="A19" s="5" t="n"/>
      <c r="B19" s="17" t="n"/>
      <c r="C19" s="5" t="n"/>
      <c r="D19" s="7" t="n"/>
      <c r="E19" s="7" t="n"/>
      <c r="F19" s="5" t="n"/>
      <c r="G19" s="5" t="n"/>
      <c r="H19" s="5" t="n"/>
      <c r="I19" s="5" t="n"/>
      <c r="J19" s="8">
        <f>IF(OR(H19="",I19=""),"",ROUND(PI()*H19*I19/60000,1))</f>
        <v/>
      </c>
      <c r="K19" s="8">
        <f>IF(J19="",IF(I19="","","휠 지름 입력"),IF(J19&gt;30,"⚠️ 고속 &gt;30",IF(J19&gt;25,"⚠️ 사내 상한 25 초과","OK ≤25")))</f>
        <v/>
      </c>
      <c r="L19" s="18" t="n"/>
      <c r="M19" s="5" t="n"/>
      <c r="N19" s="19">
        <f>IF(OR(L19="",M19="",M19=0),"",ROUND(L19/M19,3))</f>
        <v/>
      </c>
      <c r="O19" s="20" t="n"/>
      <c r="P19" s="5" t="n"/>
      <c r="Q19" s="8">
        <f>IF(O19="","",IF(O19&gt;0.075*1.5,"⚠️ 고절입 &gt;150%",IF(O19&gt;0.075,"⚠️ 0.075 초과","실적 범위")))</f>
        <v/>
      </c>
      <c r="R19" s="5" t="n"/>
      <c r="S19" s="20" t="n"/>
      <c r="T19" s="20" t="n"/>
      <c r="U19" s="20" t="n"/>
      <c r="V19" s="20" t="n"/>
      <c r="W19" s="20" t="n"/>
      <c r="X19" s="5" t="n"/>
      <c r="Y19" s="21">
        <f>IF(COUNT(U19:W19)=0,"",ROUND(AVERAGE(U19:W19),4))</f>
        <v/>
      </c>
      <c r="Z19" s="8">
        <f>IF(OR(Y19="",T19=""),"",ROUND((Y19-T19)*1000,1))</f>
        <v/>
      </c>
      <c r="AA19" s="8">
        <f>IF(COUNT(U19:W19)&lt;2,"",ROUND((MAX(U19:W19)-MIN(U19:W19))*1000,1))</f>
        <v/>
      </c>
      <c r="AB19" s="21">
        <f>IF(OR(Y19="",S19=""),"",ROUND(Y19/S19,4))</f>
        <v/>
      </c>
      <c r="AC19" s="8">
        <f>IF(AB19="","",IF(AB19&lt;0.95,"🔴 가늚 (&lt;0.95)",IF(AB19&gt;0.975,"🟡 굵음 (&gt;0.975)","🟢 범위 안")))</f>
        <v/>
      </c>
      <c r="AD19" s="19">
        <f>IF(AB19="","",ROUND(AB19^4,3))</f>
        <v/>
      </c>
      <c r="AE19" s="5" t="n"/>
      <c r="AF19" s="5" t="n"/>
      <c r="AG19" s="7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7" t="n"/>
      <c r="AV19" s="5" t="n"/>
      <c r="AW19" s="7" t="n"/>
    </row>
    <row r="20" ht="18" customHeight="1">
      <c r="A20" s="5" t="n"/>
      <c r="B20" s="17" t="n"/>
      <c r="C20" s="5" t="n"/>
      <c r="D20" s="7" t="n"/>
      <c r="E20" s="7" t="n"/>
      <c r="F20" s="5" t="n"/>
      <c r="G20" s="5" t="n"/>
      <c r="H20" s="5" t="n"/>
      <c r="I20" s="5" t="n"/>
      <c r="J20" s="8">
        <f>IF(OR(H20="",I20=""),"",ROUND(PI()*H20*I20/60000,1))</f>
        <v/>
      </c>
      <c r="K20" s="8">
        <f>IF(J20="",IF(I20="","","휠 지름 입력"),IF(J20&gt;30,"⚠️ 고속 &gt;30",IF(J20&gt;25,"⚠️ 사내 상한 25 초과","OK ≤25")))</f>
        <v/>
      </c>
      <c r="L20" s="18" t="n"/>
      <c r="M20" s="5" t="n"/>
      <c r="N20" s="19">
        <f>IF(OR(L20="",M20="",M20=0),"",ROUND(L20/M20,3))</f>
        <v/>
      </c>
      <c r="O20" s="20" t="n"/>
      <c r="P20" s="5" t="n"/>
      <c r="Q20" s="8">
        <f>IF(O20="","",IF(O20&gt;0.075*1.5,"⚠️ 고절입 &gt;150%",IF(O20&gt;0.075,"⚠️ 0.075 초과","실적 범위")))</f>
        <v/>
      </c>
      <c r="R20" s="5" t="n"/>
      <c r="S20" s="20" t="n"/>
      <c r="T20" s="20" t="n"/>
      <c r="U20" s="20" t="n"/>
      <c r="V20" s="20" t="n"/>
      <c r="W20" s="20" t="n"/>
      <c r="X20" s="5" t="n"/>
      <c r="Y20" s="21">
        <f>IF(COUNT(U20:W20)=0,"",ROUND(AVERAGE(U20:W20),4))</f>
        <v/>
      </c>
      <c r="Z20" s="8">
        <f>IF(OR(Y20="",T20=""),"",ROUND((Y20-T20)*1000,1))</f>
        <v/>
      </c>
      <c r="AA20" s="8">
        <f>IF(COUNT(U20:W20)&lt;2,"",ROUND((MAX(U20:W20)-MIN(U20:W20))*1000,1))</f>
        <v/>
      </c>
      <c r="AB20" s="21">
        <f>IF(OR(Y20="",S20=""),"",ROUND(Y20/S20,4))</f>
        <v/>
      </c>
      <c r="AC20" s="8">
        <f>IF(AB20="","",IF(AB20&lt;0.95,"🔴 가늚 (&lt;0.95)",IF(AB20&gt;0.975,"🟡 굵음 (&gt;0.975)","🟢 범위 안")))</f>
        <v/>
      </c>
      <c r="AD20" s="19">
        <f>IF(AB20="","",ROUND(AB20^4,3))</f>
        <v/>
      </c>
      <c r="AE20" s="5" t="n"/>
      <c r="AF20" s="5" t="n"/>
      <c r="AG20" s="7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7" t="n"/>
      <c r="AV20" s="5" t="n"/>
      <c r="AW20" s="7" t="n"/>
    </row>
    <row r="21" ht="18" customHeight="1">
      <c r="A21" s="5" t="n"/>
      <c r="B21" s="17" t="n"/>
      <c r="C21" s="5" t="n"/>
      <c r="D21" s="7" t="n"/>
      <c r="E21" s="7" t="n"/>
      <c r="F21" s="5" t="n"/>
      <c r="G21" s="5" t="n"/>
      <c r="H21" s="5" t="n"/>
      <c r="I21" s="5" t="n"/>
      <c r="J21" s="8">
        <f>IF(OR(H21="",I21=""),"",ROUND(PI()*H21*I21/60000,1))</f>
        <v/>
      </c>
      <c r="K21" s="8">
        <f>IF(J21="",IF(I21="","","휠 지름 입력"),IF(J21&gt;30,"⚠️ 고속 &gt;30",IF(J21&gt;25,"⚠️ 사내 상한 25 초과","OK ≤25")))</f>
        <v/>
      </c>
      <c r="L21" s="18" t="n"/>
      <c r="M21" s="5" t="n"/>
      <c r="N21" s="19">
        <f>IF(OR(L21="",M21="",M21=0),"",ROUND(L21/M21,3))</f>
        <v/>
      </c>
      <c r="O21" s="20" t="n"/>
      <c r="P21" s="5" t="n"/>
      <c r="Q21" s="8">
        <f>IF(O21="","",IF(O21&gt;0.075*1.5,"⚠️ 고절입 &gt;150%",IF(O21&gt;0.075,"⚠️ 0.075 초과","실적 범위")))</f>
        <v/>
      </c>
      <c r="R21" s="5" t="n"/>
      <c r="S21" s="20" t="n"/>
      <c r="T21" s="20" t="n"/>
      <c r="U21" s="20" t="n"/>
      <c r="V21" s="20" t="n"/>
      <c r="W21" s="20" t="n"/>
      <c r="X21" s="5" t="n"/>
      <c r="Y21" s="21">
        <f>IF(COUNT(U21:W21)=0,"",ROUND(AVERAGE(U21:W21),4))</f>
        <v/>
      </c>
      <c r="Z21" s="8">
        <f>IF(OR(Y21="",T21=""),"",ROUND((Y21-T21)*1000,1))</f>
        <v/>
      </c>
      <c r="AA21" s="8">
        <f>IF(COUNT(U21:W21)&lt;2,"",ROUND((MAX(U21:W21)-MIN(U21:W21))*1000,1))</f>
        <v/>
      </c>
      <c r="AB21" s="21">
        <f>IF(OR(Y21="",S21=""),"",ROUND(Y21/S21,4))</f>
        <v/>
      </c>
      <c r="AC21" s="8">
        <f>IF(AB21="","",IF(AB21&lt;0.95,"🔴 가늚 (&lt;0.95)",IF(AB21&gt;0.975,"🟡 굵음 (&gt;0.975)","🟢 범위 안")))</f>
        <v/>
      </c>
      <c r="AD21" s="19">
        <f>IF(AB21="","",ROUND(AB21^4,3))</f>
        <v/>
      </c>
      <c r="AE21" s="5" t="n"/>
      <c r="AF21" s="5" t="n"/>
      <c r="AG21" s="7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7" t="n"/>
      <c r="AV21" s="5" t="n"/>
      <c r="AW21" s="7" t="n"/>
    </row>
    <row r="22" ht="18" customHeight="1">
      <c r="A22" s="5" t="n"/>
      <c r="B22" s="17" t="n"/>
      <c r="C22" s="5" t="n"/>
      <c r="D22" s="7" t="n"/>
      <c r="E22" s="7" t="n"/>
      <c r="F22" s="5" t="n"/>
      <c r="G22" s="5" t="n"/>
      <c r="H22" s="5" t="n"/>
      <c r="I22" s="5" t="n"/>
      <c r="J22" s="8">
        <f>IF(OR(H22="",I22=""),"",ROUND(PI()*H22*I22/60000,1))</f>
        <v/>
      </c>
      <c r="K22" s="8">
        <f>IF(J22="",IF(I22="","","휠 지름 입력"),IF(J22&gt;30,"⚠️ 고속 &gt;30",IF(J22&gt;25,"⚠️ 사내 상한 25 초과","OK ≤25")))</f>
        <v/>
      </c>
      <c r="L22" s="18" t="n"/>
      <c r="M22" s="5" t="n"/>
      <c r="N22" s="19">
        <f>IF(OR(L22="",M22="",M22=0),"",ROUND(L22/M22,3))</f>
        <v/>
      </c>
      <c r="O22" s="20" t="n"/>
      <c r="P22" s="5" t="n"/>
      <c r="Q22" s="8">
        <f>IF(O22="","",IF(O22&gt;0.075*1.5,"⚠️ 고절입 &gt;150%",IF(O22&gt;0.075,"⚠️ 0.075 초과","실적 범위")))</f>
        <v/>
      </c>
      <c r="R22" s="5" t="n"/>
      <c r="S22" s="20" t="n"/>
      <c r="T22" s="20" t="n"/>
      <c r="U22" s="20" t="n"/>
      <c r="V22" s="20" t="n"/>
      <c r="W22" s="20" t="n"/>
      <c r="X22" s="5" t="n"/>
      <c r="Y22" s="21">
        <f>IF(COUNT(U22:W22)=0,"",ROUND(AVERAGE(U22:W22),4))</f>
        <v/>
      </c>
      <c r="Z22" s="8">
        <f>IF(OR(Y22="",T22=""),"",ROUND((Y22-T22)*1000,1))</f>
        <v/>
      </c>
      <c r="AA22" s="8">
        <f>IF(COUNT(U22:W22)&lt;2,"",ROUND((MAX(U22:W22)-MIN(U22:W22))*1000,1))</f>
        <v/>
      </c>
      <c r="AB22" s="21">
        <f>IF(OR(Y22="",S22=""),"",ROUND(Y22/S22,4))</f>
        <v/>
      </c>
      <c r="AC22" s="8">
        <f>IF(AB22="","",IF(AB22&lt;0.95,"🔴 가늚 (&lt;0.95)",IF(AB22&gt;0.975,"🟡 굵음 (&gt;0.975)","🟢 범위 안")))</f>
        <v/>
      </c>
      <c r="AD22" s="19">
        <f>IF(AB22="","",ROUND(AB22^4,3))</f>
        <v/>
      </c>
      <c r="AE22" s="5" t="n"/>
      <c r="AF22" s="5" t="n"/>
      <c r="AG22" s="7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7" t="n"/>
      <c r="AV22" s="5" t="n"/>
      <c r="AW22" s="7" t="n"/>
    </row>
    <row r="23" ht="18" customHeight="1">
      <c r="A23" s="5" t="n"/>
      <c r="B23" s="17" t="n"/>
      <c r="C23" s="5" t="n"/>
      <c r="D23" s="7" t="n"/>
      <c r="E23" s="7" t="n"/>
      <c r="F23" s="5" t="n"/>
      <c r="G23" s="5" t="n"/>
      <c r="H23" s="5" t="n"/>
      <c r="I23" s="5" t="n"/>
      <c r="J23" s="8">
        <f>IF(OR(H23="",I23=""),"",ROUND(PI()*H23*I23/60000,1))</f>
        <v/>
      </c>
      <c r="K23" s="8">
        <f>IF(J23="",IF(I23="","","휠 지름 입력"),IF(J23&gt;30,"⚠️ 고속 &gt;30",IF(J23&gt;25,"⚠️ 사내 상한 25 초과","OK ≤25")))</f>
        <v/>
      </c>
      <c r="L23" s="18" t="n"/>
      <c r="M23" s="5" t="n"/>
      <c r="N23" s="19">
        <f>IF(OR(L23="",M23="",M23=0),"",ROUND(L23/M23,3))</f>
        <v/>
      </c>
      <c r="O23" s="20" t="n"/>
      <c r="P23" s="5" t="n"/>
      <c r="Q23" s="8">
        <f>IF(O23="","",IF(O23&gt;0.075*1.5,"⚠️ 고절입 &gt;150%",IF(O23&gt;0.075,"⚠️ 0.075 초과","실적 범위")))</f>
        <v/>
      </c>
      <c r="R23" s="5" t="n"/>
      <c r="S23" s="20" t="n"/>
      <c r="T23" s="20" t="n"/>
      <c r="U23" s="20" t="n"/>
      <c r="V23" s="20" t="n"/>
      <c r="W23" s="20" t="n"/>
      <c r="X23" s="5" t="n"/>
      <c r="Y23" s="21">
        <f>IF(COUNT(U23:W23)=0,"",ROUND(AVERAGE(U23:W23),4))</f>
        <v/>
      </c>
      <c r="Z23" s="8">
        <f>IF(OR(Y23="",T23=""),"",ROUND((Y23-T23)*1000,1))</f>
        <v/>
      </c>
      <c r="AA23" s="8">
        <f>IF(COUNT(U23:W23)&lt;2,"",ROUND((MAX(U23:W23)-MIN(U23:W23))*1000,1))</f>
        <v/>
      </c>
      <c r="AB23" s="21">
        <f>IF(OR(Y23="",S23=""),"",ROUND(Y23/S23,4))</f>
        <v/>
      </c>
      <c r="AC23" s="8">
        <f>IF(AB23="","",IF(AB23&lt;0.95,"🔴 가늚 (&lt;0.95)",IF(AB23&gt;0.975,"🟡 굵음 (&gt;0.975)","🟢 범위 안")))</f>
        <v/>
      </c>
      <c r="AD23" s="19">
        <f>IF(AB23="","",ROUND(AB23^4,3))</f>
        <v/>
      </c>
      <c r="AE23" s="5" t="n"/>
      <c r="AF23" s="5" t="n"/>
      <c r="AG23" s="7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7" t="n"/>
      <c r="AV23" s="5" t="n"/>
      <c r="AW23" s="7" t="n"/>
    </row>
    <row r="24" ht="18" customHeight="1">
      <c r="A24" s="5" t="n"/>
      <c r="B24" s="17" t="n"/>
      <c r="C24" s="5" t="n"/>
      <c r="D24" s="7" t="n"/>
      <c r="E24" s="7" t="n"/>
      <c r="F24" s="5" t="n"/>
      <c r="G24" s="5" t="n"/>
      <c r="H24" s="5" t="n"/>
      <c r="I24" s="5" t="n"/>
      <c r="J24" s="8">
        <f>IF(OR(H24="",I24=""),"",ROUND(PI()*H24*I24/60000,1))</f>
        <v/>
      </c>
      <c r="K24" s="8">
        <f>IF(J24="",IF(I24="","","휠 지름 입력"),IF(J24&gt;30,"⚠️ 고속 &gt;30",IF(J24&gt;25,"⚠️ 사내 상한 25 초과","OK ≤25")))</f>
        <v/>
      </c>
      <c r="L24" s="18" t="n"/>
      <c r="M24" s="5" t="n"/>
      <c r="N24" s="19">
        <f>IF(OR(L24="",M24="",M24=0),"",ROUND(L24/M24,3))</f>
        <v/>
      </c>
      <c r="O24" s="20" t="n"/>
      <c r="P24" s="5" t="n"/>
      <c r="Q24" s="8">
        <f>IF(O24="","",IF(O24&gt;0.075*1.5,"⚠️ 고절입 &gt;150%",IF(O24&gt;0.075,"⚠️ 0.075 초과","실적 범위")))</f>
        <v/>
      </c>
      <c r="R24" s="5" t="n"/>
      <c r="S24" s="20" t="n"/>
      <c r="T24" s="20" t="n"/>
      <c r="U24" s="20" t="n"/>
      <c r="V24" s="20" t="n"/>
      <c r="W24" s="20" t="n"/>
      <c r="X24" s="5" t="n"/>
      <c r="Y24" s="21">
        <f>IF(COUNT(U24:W24)=0,"",ROUND(AVERAGE(U24:W24),4))</f>
        <v/>
      </c>
      <c r="Z24" s="8">
        <f>IF(OR(Y24="",T24=""),"",ROUND((Y24-T24)*1000,1))</f>
        <v/>
      </c>
      <c r="AA24" s="8">
        <f>IF(COUNT(U24:W24)&lt;2,"",ROUND((MAX(U24:W24)-MIN(U24:W24))*1000,1))</f>
        <v/>
      </c>
      <c r="AB24" s="21">
        <f>IF(OR(Y24="",S24=""),"",ROUND(Y24/S24,4))</f>
        <v/>
      </c>
      <c r="AC24" s="8">
        <f>IF(AB24="","",IF(AB24&lt;0.95,"🔴 가늚 (&lt;0.95)",IF(AB24&gt;0.975,"🟡 굵음 (&gt;0.975)","🟢 범위 안")))</f>
        <v/>
      </c>
      <c r="AD24" s="19">
        <f>IF(AB24="","",ROUND(AB24^4,3))</f>
        <v/>
      </c>
      <c r="AE24" s="5" t="n"/>
      <c r="AF24" s="5" t="n"/>
      <c r="AG24" s="7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7" t="n"/>
      <c r="AV24" s="5" t="n"/>
      <c r="AW24" s="7" t="n"/>
    </row>
    <row r="25" ht="18" customHeight="1">
      <c r="A25" s="5" t="n"/>
      <c r="B25" s="17" t="n"/>
      <c r="C25" s="5" t="n"/>
      <c r="D25" s="7" t="n"/>
      <c r="E25" s="7" t="n"/>
      <c r="F25" s="5" t="n"/>
      <c r="G25" s="5" t="n"/>
      <c r="H25" s="5" t="n"/>
      <c r="I25" s="5" t="n"/>
      <c r="J25" s="8">
        <f>IF(OR(H25="",I25=""),"",ROUND(PI()*H25*I25/60000,1))</f>
        <v/>
      </c>
      <c r="K25" s="8">
        <f>IF(J25="",IF(I25="","","휠 지름 입력"),IF(J25&gt;30,"⚠️ 고속 &gt;30",IF(J25&gt;25,"⚠️ 사내 상한 25 초과","OK ≤25")))</f>
        <v/>
      </c>
      <c r="L25" s="18" t="n"/>
      <c r="M25" s="5" t="n"/>
      <c r="N25" s="19">
        <f>IF(OR(L25="",M25="",M25=0),"",ROUND(L25/M25,3))</f>
        <v/>
      </c>
      <c r="O25" s="20" t="n"/>
      <c r="P25" s="5" t="n"/>
      <c r="Q25" s="8">
        <f>IF(O25="","",IF(O25&gt;0.075*1.5,"⚠️ 고절입 &gt;150%",IF(O25&gt;0.075,"⚠️ 0.075 초과","실적 범위")))</f>
        <v/>
      </c>
      <c r="R25" s="5" t="n"/>
      <c r="S25" s="20" t="n"/>
      <c r="T25" s="20" t="n"/>
      <c r="U25" s="20" t="n"/>
      <c r="V25" s="20" t="n"/>
      <c r="W25" s="20" t="n"/>
      <c r="X25" s="5" t="n"/>
      <c r="Y25" s="21">
        <f>IF(COUNT(U25:W25)=0,"",ROUND(AVERAGE(U25:W25),4))</f>
        <v/>
      </c>
      <c r="Z25" s="8">
        <f>IF(OR(Y25="",T25=""),"",ROUND((Y25-T25)*1000,1))</f>
        <v/>
      </c>
      <c r="AA25" s="8">
        <f>IF(COUNT(U25:W25)&lt;2,"",ROUND((MAX(U25:W25)-MIN(U25:W25))*1000,1))</f>
        <v/>
      </c>
      <c r="AB25" s="21">
        <f>IF(OR(Y25="",S25=""),"",ROUND(Y25/S25,4))</f>
        <v/>
      </c>
      <c r="AC25" s="8">
        <f>IF(AB25="","",IF(AB25&lt;0.95,"🔴 가늚 (&lt;0.95)",IF(AB25&gt;0.975,"🟡 굵음 (&gt;0.975)","🟢 범위 안")))</f>
        <v/>
      </c>
      <c r="AD25" s="19">
        <f>IF(AB25="","",ROUND(AB25^4,3))</f>
        <v/>
      </c>
      <c r="AE25" s="5" t="n"/>
      <c r="AF25" s="5" t="n"/>
      <c r="AG25" s="7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7" t="n"/>
      <c r="AV25" s="5" t="n"/>
      <c r="AW25" s="7" t="n"/>
    </row>
    <row r="26" ht="18" customHeight="1">
      <c r="A26" s="5" t="n"/>
      <c r="B26" s="17" t="n"/>
      <c r="C26" s="5" t="n"/>
      <c r="D26" s="7" t="n"/>
      <c r="E26" s="7" t="n"/>
      <c r="F26" s="5" t="n"/>
      <c r="G26" s="5" t="n"/>
      <c r="H26" s="5" t="n"/>
      <c r="I26" s="5" t="n"/>
      <c r="J26" s="8">
        <f>IF(OR(H26="",I26=""),"",ROUND(PI()*H26*I26/60000,1))</f>
        <v/>
      </c>
      <c r="K26" s="8">
        <f>IF(J26="",IF(I26="","","휠 지름 입력"),IF(J26&gt;30,"⚠️ 고속 &gt;30",IF(J26&gt;25,"⚠️ 사내 상한 25 초과","OK ≤25")))</f>
        <v/>
      </c>
      <c r="L26" s="18" t="n"/>
      <c r="M26" s="5" t="n"/>
      <c r="N26" s="19">
        <f>IF(OR(L26="",M26="",M26=0),"",ROUND(L26/M26,3))</f>
        <v/>
      </c>
      <c r="O26" s="20" t="n"/>
      <c r="P26" s="5" t="n"/>
      <c r="Q26" s="8">
        <f>IF(O26="","",IF(O26&gt;0.075*1.5,"⚠️ 고절입 &gt;150%",IF(O26&gt;0.075,"⚠️ 0.075 초과","실적 범위")))</f>
        <v/>
      </c>
      <c r="R26" s="5" t="n"/>
      <c r="S26" s="20" t="n"/>
      <c r="T26" s="20" t="n"/>
      <c r="U26" s="20" t="n"/>
      <c r="V26" s="20" t="n"/>
      <c r="W26" s="20" t="n"/>
      <c r="X26" s="5" t="n"/>
      <c r="Y26" s="21">
        <f>IF(COUNT(U26:W26)=0,"",ROUND(AVERAGE(U26:W26),4))</f>
        <v/>
      </c>
      <c r="Z26" s="8">
        <f>IF(OR(Y26="",T26=""),"",ROUND((Y26-T26)*1000,1))</f>
        <v/>
      </c>
      <c r="AA26" s="8">
        <f>IF(COUNT(U26:W26)&lt;2,"",ROUND((MAX(U26:W26)-MIN(U26:W26))*1000,1))</f>
        <v/>
      </c>
      <c r="AB26" s="21">
        <f>IF(OR(Y26="",S26=""),"",ROUND(Y26/S26,4))</f>
        <v/>
      </c>
      <c r="AC26" s="8">
        <f>IF(AB26="","",IF(AB26&lt;0.95,"🔴 가늚 (&lt;0.95)",IF(AB26&gt;0.975,"🟡 굵음 (&gt;0.975)","🟢 범위 안")))</f>
        <v/>
      </c>
      <c r="AD26" s="19">
        <f>IF(AB26="","",ROUND(AB26^4,3))</f>
        <v/>
      </c>
      <c r="AE26" s="5" t="n"/>
      <c r="AF26" s="5" t="n"/>
      <c r="AG26" s="7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7" t="n"/>
      <c r="AV26" s="5" t="n"/>
      <c r="AW26" s="7" t="n"/>
    </row>
    <row r="27" ht="18" customHeight="1">
      <c r="A27" s="5" t="n"/>
      <c r="B27" s="17" t="n"/>
      <c r="C27" s="5" t="n"/>
      <c r="D27" s="7" t="n"/>
      <c r="E27" s="7" t="n"/>
      <c r="F27" s="5" t="n"/>
      <c r="G27" s="5" t="n"/>
      <c r="H27" s="5" t="n"/>
      <c r="I27" s="5" t="n"/>
      <c r="J27" s="8">
        <f>IF(OR(H27="",I27=""),"",ROUND(PI()*H27*I27/60000,1))</f>
        <v/>
      </c>
      <c r="K27" s="8">
        <f>IF(J27="",IF(I27="","","휠 지름 입력"),IF(J27&gt;30,"⚠️ 고속 &gt;30",IF(J27&gt;25,"⚠️ 사내 상한 25 초과","OK ≤25")))</f>
        <v/>
      </c>
      <c r="L27" s="18" t="n"/>
      <c r="M27" s="5" t="n"/>
      <c r="N27" s="19">
        <f>IF(OR(L27="",M27="",M27=0),"",ROUND(L27/M27,3))</f>
        <v/>
      </c>
      <c r="O27" s="20" t="n"/>
      <c r="P27" s="5" t="n"/>
      <c r="Q27" s="8">
        <f>IF(O27="","",IF(O27&gt;0.075*1.5,"⚠️ 고절입 &gt;150%",IF(O27&gt;0.075,"⚠️ 0.075 초과","실적 범위")))</f>
        <v/>
      </c>
      <c r="R27" s="5" t="n"/>
      <c r="S27" s="20" t="n"/>
      <c r="T27" s="20" t="n"/>
      <c r="U27" s="20" t="n"/>
      <c r="V27" s="20" t="n"/>
      <c r="W27" s="20" t="n"/>
      <c r="X27" s="5" t="n"/>
      <c r="Y27" s="21">
        <f>IF(COUNT(U27:W27)=0,"",ROUND(AVERAGE(U27:W27),4))</f>
        <v/>
      </c>
      <c r="Z27" s="8">
        <f>IF(OR(Y27="",T27=""),"",ROUND((Y27-T27)*1000,1))</f>
        <v/>
      </c>
      <c r="AA27" s="8">
        <f>IF(COUNT(U27:W27)&lt;2,"",ROUND((MAX(U27:W27)-MIN(U27:W27))*1000,1))</f>
        <v/>
      </c>
      <c r="AB27" s="21">
        <f>IF(OR(Y27="",S27=""),"",ROUND(Y27/S27,4))</f>
        <v/>
      </c>
      <c r="AC27" s="8">
        <f>IF(AB27="","",IF(AB27&lt;0.95,"🔴 가늚 (&lt;0.95)",IF(AB27&gt;0.975,"🟡 굵음 (&gt;0.975)","🟢 범위 안")))</f>
        <v/>
      </c>
      <c r="AD27" s="19">
        <f>IF(AB27="","",ROUND(AB27^4,3))</f>
        <v/>
      </c>
      <c r="AE27" s="5" t="n"/>
      <c r="AF27" s="5" t="n"/>
      <c r="AG27" s="7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7" t="n"/>
      <c r="AV27" s="5" t="n"/>
      <c r="AW27" s="7" t="n"/>
    </row>
    <row r="28" ht="18" customHeight="1">
      <c r="A28" s="5" t="n"/>
      <c r="B28" s="17" t="n"/>
      <c r="C28" s="5" t="n"/>
      <c r="D28" s="7" t="n"/>
      <c r="E28" s="7" t="n"/>
      <c r="F28" s="5" t="n"/>
      <c r="G28" s="5" t="n"/>
      <c r="H28" s="5" t="n"/>
      <c r="I28" s="5" t="n"/>
      <c r="J28" s="8">
        <f>IF(OR(H28="",I28=""),"",ROUND(PI()*H28*I28/60000,1))</f>
        <v/>
      </c>
      <c r="K28" s="8">
        <f>IF(J28="",IF(I28="","","휠 지름 입력"),IF(J28&gt;30,"⚠️ 고속 &gt;30",IF(J28&gt;25,"⚠️ 사내 상한 25 초과","OK ≤25")))</f>
        <v/>
      </c>
      <c r="L28" s="18" t="n"/>
      <c r="M28" s="5" t="n"/>
      <c r="N28" s="19">
        <f>IF(OR(L28="",M28="",M28=0),"",ROUND(L28/M28,3))</f>
        <v/>
      </c>
      <c r="O28" s="20" t="n"/>
      <c r="P28" s="5" t="n"/>
      <c r="Q28" s="8">
        <f>IF(O28="","",IF(O28&gt;0.075*1.5,"⚠️ 고절입 &gt;150%",IF(O28&gt;0.075,"⚠️ 0.075 초과","실적 범위")))</f>
        <v/>
      </c>
      <c r="R28" s="5" t="n"/>
      <c r="S28" s="20" t="n"/>
      <c r="T28" s="20" t="n"/>
      <c r="U28" s="20" t="n"/>
      <c r="V28" s="20" t="n"/>
      <c r="W28" s="20" t="n"/>
      <c r="X28" s="5" t="n"/>
      <c r="Y28" s="21">
        <f>IF(COUNT(U28:W28)=0,"",ROUND(AVERAGE(U28:W28),4))</f>
        <v/>
      </c>
      <c r="Z28" s="8">
        <f>IF(OR(Y28="",T28=""),"",ROUND((Y28-T28)*1000,1))</f>
        <v/>
      </c>
      <c r="AA28" s="8">
        <f>IF(COUNT(U28:W28)&lt;2,"",ROUND((MAX(U28:W28)-MIN(U28:W28))*1000,1))</f>
        <v/>
      </c>
      <c r="AB28" s="21">
        <f>IF(OR(Y28="",S28=""),"",ROUND(Y28/S28,4))</f>
        <v/>
      </c>
      <c r="AC28" s="8">
        <f>IF(AB28="","",IF(AB28&lt;0.95,"🔴 가늚 (&lt;0.95)",IF(AB28&gt;0.975,"🟡 굵음 (&gt;0.975)","🟢 범위 안")))</f>
        <v/>
      </c>
      <c r="AD28" s="19">
        <f>IF(AB28="","",ROUND(AB28^4,3))</f>
        <v/>
      </c>
      <c r="AE28" s="5" t="n"/>
      <c r="AF28" s="5" t="n"/>
      <c r="AG28" s="7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7" t="n"/>
      <c r="AV28" s="5" t="n"/>
      <c r="AW28" s="7" t="n"/>
    </row>
    <row r="29" ht="18" customHeight="1">
      <c r="A29" s="5" t="n"/>
      <c r="B29" s="17" t="n"/>
      <c r="C29" s="5" t="n"/>
      <c r="D29" s="7" t="n"/>
      <c r="E29" s="7" t="n"/>
      <c r="F29" s="5" t="n"/>
      <c r="G29" s="5" t="n"/>
      <c r="H29" s="5" t="n"/>
      <c r="I29" s="5" t="n"/>
      <c r="J29" s="8">
        <f>IF(OR(H29="",I29=""),"",ROUND(PI()*H29*I29/60000,1))</f>
        <v/>
      </c>
      <c r="K29" s="8">
        <f>IF(J29="",IF(I29="","","휠 지름 입력"),IF(J29&gt;30,"⚠️ 고속 &gt;30",IF(J29&gt;25,"⚠️ 사내 상한 25 초과","OK ≤25")))</f>
        <v/>
      </c>
      <c r="L29" s="18" t="n"/>
      <c r="M29" s="5" t="n"/>
      <c r="N29" s="19">
        <f>IF(OR(L29="",M29="",M29=0),"",ROUND(L29/M29,3))</f>
        <v/>
      </c>
      <c r="O29" s="20" t="n"/>
      <c r="P29" s="5" t="n"/>
      <c r="Q29" s="8">
        <f>IF(O29="","",IF(O29&gt;0.075*1.5,"⚠️ 고절입 &gt;150%",IF(O29&gt;0.075,"⚠️ 0.075 초과","실적 범위")))</f>
        <v/>
      </c>
      <c r="R29" s="5" t="n"/>
      <c r="S29" s="20" t="n"/>
      <c r="T29" s="20" t="n"/>
      <c r="U29" s="20" t="n"/>
      <c r="V29" s="20" t="n"/>
      <c r="W29" s="20" t="n"/>
      <c r="X29" s="5" t="n"/>
      <c r="Y29" s="21">
        <f>IF(COUNT(U29:W29)=0,"",ROUND(AVERAGE(U29:W29),4))</f>
        <v/>
      </c>
      <c r="Z29" s="8">
        <f>IF(OR(Y29="",T29=""),"",ROUND((Y29-T29)*1000,1))</f>
        <v/>
      </c>
      <c r="AA29" s="8">
        <f>IF(COUNT(U29:W29)&lt;2,"",ROUND((MAX(U29:W29)-MIN(U29:W29))*1000,1))</f>
        <v/>
      </c>
      <c r="AB29" s="21">
        <f>IF(OR(Y29="",S29=""),"",ROUND(Y29/S29,4))</f>
        <v/>
      </c>
      <c r="AC29" s="8">
        <f>IF(AB29="","",IF(AB29&lt;0.95,"🔴 가늚 (&lt;0.95)",IF(AB29&gt;0.975,"🟡 굵음 (&gt;0.975)","🟢 범위 안")))</f>
        <v/>
      </c>
      <c r="AD29" s="19">
        <f>IF(AB29="","",ROUND(AB29^4,3))</f>
        <v/>
      </c>
      <c r="AE29" s="5" t="n"/>
      <c r="AF29" s="5" t="n"/>
      <c r="AG29" s="7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7" t="n"/>
      <c r="AV29" s="5" t="n"/>
      <c r="AW29" s="7" t="n"/>
    </row>
    <row r="30" ht="18" customHeight="1">
      <c r="A30" s="5" t="n"/>
      <c r="B30" s="17" t="n"/>
      <c r="C30" s="5" t="n"/>
      <c r="D30" s="7" t="n"/>
      <c r="E30" s="7" t="n"/>
      <c r="F30" s="5" t="n"/>
      <c r="G30" s="5" t="n"/>
      <c r="H30" s="5" t="n"/>
      <c r="I30" s="5" t="n"/>
      <c r="J30" s="8">
        <f>IF(OR(H30="",I30=""),"",ROUND(PI()*H30*I30/60000,1))</f>
        <v/>
      </c>
      <c r="K30" s="8">
        <f>IF(J30="",IF(I30="","","휠 지름 입력"),IF(J30&gt;30,"⚠️ 고속 &gt;30",IF(J30&gt;25,"⚠️ 사내 상한 25 초과","OK ≤25")))</f>
        <v/>
      </c>
      <c r="L30" s="18" t="n"/>
      <c r="M30" s="5" t="n"/>
      <c r="N30" s="19">
        <f>IF(OR(L30="",M30="",M30=0),"",ROUND(L30/M30,3))</f>
        <v/>
      </c>
      <c r="O30" s="20" t="n"/>
      <c r="P30" s="5" t="n"/>
      <c r="Q30" s="8">
        <f>IF(O30="","",IF(O30&gt;0.075*1.5,"⚠️ 고절입 &gt;150%",IF(O30&gt;0.075,"⚠️ 0.075 초과","실적 범위")))</f>
        <v/>
      </c>
      <c r="R30" s="5" t="n"/>
      <c r="S30" s="20" t="n"/>
      <c r="T30" s="20" t="n"/>
      <c r="U30" s="20" t="n"/>
      <c r="V30" s="20" t="n"/>
      <c r="W30" s="20" t="n"/>
      <c r="X30" s="5" t="n"/>
      <c r="Y30" s="21">
        <f>IF(COUNT(U30:W30)=0,"",ROUND(AVERAGE(U30:W30),4))</f>
        <v/>
      </c>
      <c r="Z30" s="8">
        <f>IF(OR(Y30="",T30=""),"",ROUND((Y30-T30)*1000,1))</f>
        <v/>
      </c>
      <c r="AA30" s="8">
        <f>IF(COUNT(U30:W30)&lt;2,"",ROUND((MAX(U30:W30)-MIN(U30:W30))*1000,1))</f>
        <v/>
      </c>
      <c r="AB30" s="21">
        <f>IF(OR(Y30="",S30=""),"",ROUND(Y30/S30,4))</f>
        <v/>
      </c>
      <c r="AC30" s="8">
        <f>IF(AB30="","",IF(AB30&lt;0.95,"🔴 가늚 (&lt;0.95)",IF(AB30&gt;0.975,"🟡 굵음 (&gt;0.975)","🟢 범위 안")))</f>
        <v/>
      </c>
      <c r="AD30" s="19">
        <f>IF(AB30="","",ROUND(AB30^4,3))</f>
        <v/>
      </c>
      <c r="AE30" s="5" t="n"/>
      <c r="AF30" s="5" t="n"/>
      <c r="AG30" s="7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7" t="n"/>
      <c r="AV30" s="5" t="n"/>
      <c r="AW30" s="7" t="n"/>
    </row>
    <row r="31" ht="18" customHeight="1">
      <c r="A31" s="5" t="n"/>
      <c r="B31" s="17" t="n"/>
      <c r="C31" s="5" t="n"/>
      <c r="D31" s="7" t="n"/>
      <c r="E31" s="7" t="n"/>
      <c r="F31" s="5" t="n"/>
      <c r="G31" s="5" t="n"/>
      <c r="H31" s="5" t="n"/>
      <c r="I31" s="5" t="n"/>
      <c r="J31" s="8">
        <f>IF(OR(H31="",I31=""),"",ROUND(PI()*H31*I31/60000,1))</f>
        <v/>
      </c>
      <c r="K31" s="8">
        <f>IF(J31="",IF(I31="","","휠 지름 입력"),IF(J31&gt;30,"⚠️ 고속 &gt;30",IF(J31&gt;25,"⚠️ 사내 상한 25 초과","OK ≤25")))</f>
        <v/>
      </c>
      <c r="L31" s="18" t="n"/>
      <c r="M31" s="5" t="n"/>
      <c r="N31" s="19">
        <f>IF(OR(L31="",M31="",M31=0),"",ROUND(L31/M31,3))</f>
        <v/>
      </c>
      <c r="O31" s="20" t="n"/>
      <c r="P31" s="5" t="n"/>
      <c r="Q31" s="8">
        <f>IF(O31="","",IF(O31&gt;0.075*1.5,"⚠️ 고절입 &gt;150%",IF(O31&gt;0.075,"⚠️ 0.075 초과","실적 범위")))</f>
        <v/>
      </c>
      <c r="R31" s="5" t="n"/>
      <c r="S31" s="20" t="n"/>
      <c r="T31" s="20" t="n"/>
      <c r="U31" s="20" t="n"/>
      <c r="V31" s="20" t="n"/>
      <c r="W31" s="20" t="n"/>
      <c r="X31" s="5" t="n"/>
      <c r="Y31" s="21">
        <f>IF(COUNT(U31:W31)=0,"",ROUND(AVERAGE(U31:W31),4))</f>
        <v/>
      </c>
      <c r="Z31" s="8">
        <f>IF(OR(Y31="",T31=""),"",ROUND((Y31-T31)*1000,1))</f>
        <v/>
      </c>
      <c r="AA31" s="8">
        <f>IF(COUNT(U31:W31)&lt;2,"",ROUND((MAX(U31:W31)-MIN(U31:W31))*1000,1))</f>
        <v/>
      </c>
      <c r="AB31" s="21">
        <f>IF(OR(Y31="",S31=""),"",ROUND(Y31/S31,4))</f>
        <v/>
      </c>
      <c r="AC31" s="8">
        <f>IF(AB31="","",IF(AB31&lt;0.95,"🔴 가늚 (&lt;0.95)",IF(AB31&gt;0.975,"🟡 굵음 (&gt;0.975)","🟢 범위 안")))</f>
        <v/>
      </c>
      <c r="AD31" s="19">
        <f>IF(AB31="","",ROUND(AB31^4,3))</f>
        <v/>
      </c>
      <c r="AE31" s="5" t="n"/>
      <c r="AF31" s="5" t="n"/>
      <c r="AG31" s="7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7" t="n"/>
      <c r="AV31" s="5" t="n"/>
      <c r="AW31" s="7" t="n"/>
    </row>
    <row r="32" ht="18" customHeight="1">
      <c r="A32" s="5" t="n"/>
      <c r="B32" s="17" t="n"/>
      <c r="C32" s="5" t="n"/>
      <c r="D32" s="7" t="n"/>
      <c r="E32" s="7" t="n"/>
      <c r="F32" s="5" t="n"/>
      <c r="G32" s="5" t="n"/>
      <c r="H32" s="5" t="n"/>
      <c r="I32" s="5" t="n"/>
      <c r="J32" s="8">
        <f>IF(OR(H32="",I32=""),"",ROUND(PI()*H32*I32/60000,1))</f>
        <v/>
      </c>
      <c r="K32" s="8">
        <f>IF(J32="",IF(I32="","","휠 지름 입력"),IF(J32&gt;30,"⚠️ 고속 &gt;30",IF(J32&gt;25,"⚠️ 사내 상한 25 초과","OK ≤25")))</f>
        <v/>
      </c>
      <c r="L32" s="18" t="n"/>
      <c r="M32" s="5" t="n"/>
      <c r="N32" s="19">
        <f>IF(OR(L32="",M32="",M32=0),"",ROUND(L32/M32,3))</f>
        <v/>
      </c>
      <c r="O32" s="20" t="n"/>
      <c r="P32" s="5" t="n"/>
      <c r="Q32" s="8">
        <f>IF(O32="","",IF(O32&gt;0.075*1.5,"⚠️ 고절입 &gt;150%",IF(O32&gt;0.075,"⚠️ 0.075 초과","실적 범위")))</f>
        <v/>
      </c>
      <c r="R32" s="5" t="n"/>
      <c r="S32" s="20" t="n"/>
      <c r="T32" s="20" t="n"/>
      <c r="U32" s="20" t="n"/>
      <c r="V32" s="20" t="n"/>
      <c r="W32" s="20" t="n"/>
      <c r="X32" s="5" t="n"/>
      <c r="Y32" s="21">
        <f>IF(COUNT(U32:W32)=0,"",ROUND(AVERAGE(U32:W32),4))</f>
        <v/>
      </c>
      <c r="Z32" s="8">
        <f>IF(OR(Y32="",T32=""),"",ROUND((Y32-T32)*1000,1))</f>
        <v/>
      </c>
      <c r="AA32" s="8">
        <f>IF(COUNT(U32:W32)&lt;2,"",ROUND((MAX(U32:W32)-MIN(U32:W32))*1000,1))</f>
        <v/>
      </c>
      <c r="AB32" s="21">
        <f>IF(OR(Y32="",S32=""),"",ROUND(Y32/S32,4))</f>
        <v/>
      </c>
      <c r="AC32" s="8">
        <f>IF(AB32="","",IF(AB32&lt;0.95,"🔴 가늚 (&lt;0.95)",IF(AB32&gt;0.975,"🟡 굵음 (&gt;0.975)","🟢 범위 안")))</f>
        <v/>
      </c>
      <c r="AD32" s="19">
        <f>IF(AB32="","",ROUND(AB32^4,3))</f>
        <v/>
      </c>
      <c r="AE32" s="5" t="n"/>
      <c r="AF32" s="5" t="n"/>
      <c r="AG32" s="7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7" t="n"/>
      <c r="AV32" s="5" t="n"/>
      <c r="AW32" s="7" t="n"/>
    </row>
    <row r="33" ht="18" customHeight="1">
      <c r="A33" s="5" t="n"/>
      <c r="B33" s="17" t="n"/>
      <c r="C33" s="5" t="n"/>
      <c r="D33" s="7" t="n"/>
      <c r="E33" s="7" t="n"/>
      <c r="F33" s="5" t="n"/>
      <c r="G33" s="5" t="n"/>
      <c r="H33" s="5" t="n"/>
      <c r="I33" s="5" t="n"/>
      <c r="J33" s="8">
        <f>IF(OR(H33="",I33=""),"",ROUND(PI()*H33*I33/60000,1))</f>
        <v/>
      </c>
      <c r="K33" s="8">
        <f>IF(J33="",IF(I33="","","휠 지름 입력"),IF(J33&gt;30,"⚠️ 고속 &gt;30",IF(J33&gt;25,"⚠️ 사내 상한 25 초과","OK ≤25")))</f>
        <v/>
      </c>
      <c r="L33" s="18" t="n"/>
      <c r="M33" s="5" t="n"/>
      <c r="N33" s="19">
        <f>IF(OR(L33="",M33="",M33=0),"",ROUND(L33/M33,3))</f>
        <v/>
      </c>
      <c r="O33" s="20" t="n"/>
      <c r="P33" s="5" t="n"/>
      <c r="Q33" s="8">
        <f>IF(O33="","",IF(O33&gt;0.075*1.5,"⚠️ 고절입 &gt;150%",IF(O33&gt;0.075,"⚠️ 0.075 초과","실적 범위")))</f>
        <v/>
      </c>
      <c r="R33" s="5" t="n"/>
      <c r="S33" s="20" t="n"/>
      <c r="T33" s="20" t="n"/>
      <c r="U33" s="20" t="n"/>
      <c r="V33" s="20" t="n"/>
      <c r="W33" s="20" t="n"/>
      <c r="X33" s="5" t="n"/>
      <c r="Y33" s="21">
        <f>IF(COUNT(U33:W33)=0,"",ROUND(AVERAGE(U33:W33),4))</f>
        <v/>
      </c>
      <c r="Z33" s="8">
        <f>IF(OR(Y33="",T33=""),"",ROUND((Y33-T33)*1000,1))</f>
        <v/>
      </c>
      <c r="AA33" s="8">
        <f>IF(COUNT(U33:W33)&lt;2,"",ROUND((MAX(U33:W33)-MIN(U33:W33))*1000,1))</f>
        <v/>
      </c>
      <c r="AB33" s="21">
        <f>IF(OR(Y33="",S33=""),"",ROUND(Y33/S33,4))</f>
        <v/>
      </c>
      <c r="AC33" s="8">
        <f>IF(AB33="","",IF(AB33&lt;0.95,"🔴 가늚 (&lt;0.95)",IF(AB33&gt;0.975,"🟡 굵음 (&gt;0.975)","🟢 범위 안")))</f>
        <v/>
      </c>
      <c r="AD33" s="19">
        <f>IF(AB33="","",ROUND(AB33^4,3))</f>
        <v/>
      </c>
      <c r="AE33" s="5" t="n"/>
      <c r="AF33" s="5" t="n"/>
      <c r="AG33" s="7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7" t="n"/>
      <c r="AV33" s="5" t="n"/>
      <c r="AW33" s="7" t="n"/>
    </row>
    <row r="34" ht="18" customHeight="1">
      <c r="A34" s="5" t="n"/>
      <c r="B34" s="17" t="n"/>
      <c r="C34" s="5" t="n"/>
      <c r="D34" s="7" t="n"/>
      <c r="E34" s="7" t="n"/>
      <c r="F34" s="5" t="n"/>
      <c r="G34" s="5" t="n"/>
      <c r="H34" s="5" t="n"/>
      <c r="I34" s="5" t="n"/>
      <c r="J34" s="8">
        <f>IF(OR(H34="",I34=""),"",ROUND(PI()*H34*I34/60000,1))</f>
        <v/>
      </c>
      <c r="K34" s="8">
        <f>IF(J34="",IF(I34="","","휠 지름 입력"),IF(J34&gt;30,"⚠️ 고속 &gt;30",IF(J34&gt;25,"⚠️ 사내 상한 25 초과","OK ≤25")))</f>
        <v/>
      </c>
      <c r="L34" s="18" t="n"/>
      <c r="M34" s="5" t="n"/>
      <c r="N34" s="19">
        <f>IF(OR(L34="",M34="",M34=0),"",ROUND(L34/M34,3))</f>
        <v/>
      </c>
      <c r="O34" s="20" t="n"/>
      <c r="P34" s="5" t="n"/>
      <c r="Q34" s="8">
        <f>IF(O34="","",IF(O34&gt;0.075*1.5,"⚠️ 고절입 &gt;150%",IF(O34&gt;0.075,"⚠️ 0.075 초과","실적 범위")))</f>
        <v/>
      </c>
      <c r="R34" s="5" t="n"/>
      <c r="S34" s="20" t="n"/>
      <c r="T34" s="20" t="n"/>
      <c r="U34" s="20" t="n"/>
      <c r="V34" s="20" t="n"/>
      <c r="W34" s="20" t="n"/>
      <c r="X34" s="5" t="n"/>
      <c r="Y34" s="21">
        <f>IF(COUNT(U34:W34)=0,"",ROUND(AVERAGE(U34:W34),4))</f>
        <v/>
      </c>
      <c r="Z34" s="8">
        <f>IF(OR(Y34="",T34=""),"",ROUND((Y34-T34)*1000,1))</f>
        <v/>
      </c>
      <c r="AA34" s="8">
        <f>IF(COUNT(U34:W34)&lt;2,"",ROUND((MAX(U34:W34)-MIN(U34:W34))*1000,1))</f>
        <v/>
      </c>
      <c r="AB34" s="21">
        <f>IF(OR(Y34="",S34=""),"",ROUND(Y34/S34,4))</f>
        <v/>
      </c>
      <c r="AC34" s="8">
        <f>IF(AB34="","",IF(AB34&lt;0.95,"🔴 가늚 (&lt;0.95)",IF(AB34&gt;0.975,"🟡 굵음 (&gt;0.975)","🟢 범위 안")))</f>
        <v/>
      </c>
      <c r="AD34" s="19">
        <f>IF(AB34="","",ROUND(AB34^4,3))</f>
        <v/>
      </c>
      <c r="AE34" s="5" t="n"/>
      <c r="AF34" s="5" t="n"/>
      <c r="AG34" s="7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7" t="n"/>
      <c r="AV34" s="5" t="n"/>
      <c r="AW34" s="7" t="n"/>
    </row>
  </sheetData>
  <autoFilter ref="A4:AW34"/>
  <mergeCells count="8">
    <mergeCell ref="G3:K3"/>
    <mergeCell ref="AT3:AW3"/>
    <mergeCell ref="L3:R3"/>
    <mergeCell ref="AK3:AM3"/>
    <mergeCell ref="A3:F3"/>
    <mergeCell ref="S3:AD3"/>
    <mergeCell ref="AE3:AJ3"/>
    <mergeCell ref="AN3:AS3"/>
  </mergeCells>
  <dataValidations count="3">
    <dataValidation sqref="AH5:AH34 AI5:AI34" showDropDown="0" showInputMessage="0" showErrorMessage="0" allowBlank="1" type="list">
      <formula1>"유,무"</formula1>
    </dataValidation>
    <dataValidation sqref="AV5:AV34" showDropDown="0" showInputMessage="0" showErrorMessage="0" allowBlank="1" type="list">
      <formula1>"실측 검증,사내 경험값,추정값"</formula1>
    </dataValidation>
    <dataValidation sqref="AT5:AT34" showDropDown="0" showInputMessage="0" showErrorMessage="0" allowBlank="1" type="list">
      <formula1>"합격,보류,불합격,재시험"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2" t="inlineStr">
        <is>
          <t>테스트 1 요약 — AFCY_D3.8_S6 (D3, 실측 D 2.955 mm) · 1번 공구 1 ~ 4회 · 2026-10-19 ~ 20 · 종결</t>
        </is>
      </c>
    </row>
    <row r="2">
      <c r="A2" s="2" t="inlineStr">
        <is>
          <t>GX7 · HID 12° 휠 Ø125.102 (1A1 단순화) · 3,500 rpm (22.93 m/s) · 정삭 3.0 mm/min · A Spin 25 rpm · Roughing 끔 · 측정값 = 실측 검증(공구 1개), 측정 장비 미기록</t>
        </is>
      </c>
    </row>
    <row r="4" ht="36" customHeight="1">
      <c r="A4" s="23" t="inlineStr">
        <is>
          <t>회</t>
        </is>
      </c>
      <c r="B4" s="23" t="inlineStr">
        <is>
          <t>입력 Final Ø (mm)</t>
        </is>
      </c>
      <c r="C4" s="23" t="inlineStr">
        <is>
          <t>정삭 Infeed rate (mm/min)</t>
        </is>
      </c>
      <c r="D4" s="23" t="inlineStr">
        <is>
          <t>dn 머리 (mm)</t>
        </is>
      </c>
      <c r="E4" s="23" t="inlineStr">
        <is>
          <t>dn 테이퍼 (mm)</t>
        </is>
      </c>
      <c r="F4" s="23" t="inlineStr">
        <is>
          <t>목표 dn (mm)</t>
        </is>
      </c>
      <c r="G4" s="23" t="inlineStr">
        <is>
          <t>허용 하한 (mm)</t>
        </is>
      </c>
      <c r="H4" s="23" t="inlineStr">
        <is>
          <t>허용 상한 (mm)</t>
        </is>
      </c>
      <c r="I4" s="23" t="inlineStr">
        <is>
          <t>머리 − 입력 (mm)</t>
        </is>
      </c>
      <c r="J4" s="23" t="inlineStr">
        <is>
          <t>비율 dn머리 ÷ D</t>
        </is>
      </c>
      <c r="K4" s="23" t="inlineStr">
        <is>
          <t>판정</t>
        </is>
      </c>
    </row>
    <row r="5">
      <c r="A5" s="16" t="n">
        <v>1</v>
      </c>
      <c r="B5" s="24" t="n">
        <v>3.05</v>
      </c>
      <c r="C5" s="16" t="n">
        <v>5</v>
      </c>
      <c r="D5" s="24" t="n">
        <v>3</v>
      </c>
      <c r="E5" s="24" t="n"/>
      <c r="F5" s="24" t="n">
        <v>2.84</v>
      </c>
      <c r="G5" s="24" t="n">
        <v>2.807</v>
      </c>
      <c r="H5" s="24" t="n">
        <v>2.881</v>
      </c>
      <c r="I5" s="24">
        <f>D5-B5</f>
        <v/>
      </c>
      <c r="J5" s="25">
        <f>D5/2.955</f>
        <v/>
      </c>
      <c r="K5" s="16">
        <f>IF(AND(D5&gt;=G5,D5&lt;=H5,OR(E5="",AND(E5&gt;=G5,E5&lt;=H5))),"합격","재시험")</f>
        <v/>
      </c>
    </row>
    <row r="6">
      <c r="A6" s="16" t="n">
        <v>2</v>
      </c>
      <c r="B6" s="24" t="n">
        <v>2.93</v>
      </c>
      <c r="C6" s="16" t="n">
        <v>5</v>
      </c>
      <c r="D6" s="24" t="n">
        <v>2.986</v>
      </c>
      <c r="E6" s="24" t="n">
        <v>2.99</v>
      </c>
      <c r="F6" s="24" t="n">
        <v>2.84</v>
      </c>
      <c r="G6" s="24" t="n">
        <v>2.807</v>
      </c>
      <c r="H6" s="24" t="n">
        <v>2.881</v>
      </c>
      <c r="I6" s="24">
        <f>D6-B6</f>
        <v/>
      </c>
      <c r="J6" s="25">
        <f>D6/2.955</f>
        <v/>
      </c>
      <c r="K6" s="16">
        <f>IF(AND(D6&gt;=G6,D6&lt;=H6,OR(E6="",AND(E6&gt;=G6,E6&lt;=H6))),"합격","재시험")</f>
        <v/>
      </c>
    </row>
    <row r="7">
      <c r="A7" s="16" t="n">
        <v>3</v>
      </c>
      <c r="B7" s="24" t="n">
        <v>2.86</v>
      </c>
      <c r="C7" s="16" t="n">
        <v>5</v>
      </c>
      <c r="D7" s="24" t="n">
        <v>2.921</v>
      </c>
      <c r="E7" s="24" t="n">
        <v>2.9315</v>
      </c>
      <c r="F7" s="24" t="n">
        <v>2.84</v>
      </c>
      <c r="G7" s="24" t="n">
        <v>2.807</v>
      </c>
      <c r="H7" s="24" t="n">
        <v>2.881</v>
      </c>
      <c r="I7" s="24">
        <f>D7-B7</f>
        <v/>
      </c>
      <c r="J7" s="25">
        <f>D7/2.955</f>
        <v/>
      </c>
      <c r="K7" s="16">
        <f>IF(AND(D7&gt;=G7,D7&lt;=H7,OR(E7="",AND(E7&gt;=G7,E7&lt;=H7))),"합격","재시험")</f>
        <v/>
      </c>
    </row>
    <row r="8">
      <c r="A8" s="16" t="n">
        <v>4</v>
      </c>
      <c r="B8" s="24" t="n">
        <v>2.79</v>
      </c>
      <c r="C8" s="16" t="n">
        <v>1</v>
      </c>
      <c r="D8" s="24" t="n">
        <v>2.8535</v>
      </c>
      <c r="E8" s="24" t="n">
        <v>2.86</v>
      </c>
      <c r="F8" s="24" t="n">
        <v>2.84</v>
      </c>
      <c r="G8" s="24" t="n">
        <v>2.807</v>
      </c>
      <c r="H8" s="24" t="n">
        <v>2.881</v>
      </c>
      <c r="I8" s="24">
        <f>D8-B8</f>
        <v/>
      </c>
      <c r="J8" s="25">
        <f>D8/2.955</f>
        <v/>
      </c>
      <c r="K8" s="16">
        <f>IF(AND(D8&gt;=G8,D8&lt;=H8,OR(E8="",AND(E8&gt;=G8,E8&lt;=H8))),"합격","재시험")</f>
        <v/>
      </c>
    </row>
    <row r="10">
      <c r="A10" s="2" t="inlineStr">
        <is>
          <t>※ 1회 머리 값 3.00 = 위치 미기록 · 가공 전 지름 해석 2가지(블랭크 4.0 / 몸통 약 3.00) — 위키 AFCY 시험 페이지 §4. 2 ~ 4회 측정 − 입력 평균 약 +0.063 mm [사내 경험값 후보].</t>
        </is>
      </c>
    </row>
    <row r="11">
      <c r="A11" s="2" t="inlineStr">
        <is>
          <t>※ dn 값은 측정 범위의 중간값(예 2.853 ~ 2.854 → 2.8535). 테이퍼 쪽 1회 미측정.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</cols>
  <sheetData>
    <row r="1">
      <c r="A1" s="22" t="inlineStr">
        <is>
          <t>테스트 1 · 2 비교 — D3 넥 원통연삭 · 2026-10-20 (GX7 · HID 12° 휠 Ø125.102 · 3,500 rpm = 22.93 m/s)</t>
        </is>
      </c>
    </row>
    <row r="2">
      <c r="A2" s="2" t="inlineStr">
        <is>
          <t>측정: Mitutoyo 293-340-30 마이크로미터 (분해능 0.001 mm) · 실측 검증(공구 1개씩) · 양산 적용 ❌</t>
        </is>
      </c>
    </row>
    <row r="4">
      <c r="A4" s="26" t="inlineStr">
        <is>
          <t>항목</t>
        </is>
      </c>
      <c r="B4" s="26" t="inlineStr">
        <is>
          <t>테스트 1 (1번 공구 · 4회째)</t>
        </is>
      </c>
      <c r="C4" s="26" t="inlineStr">
        <is>
          <t>테스트 2 (2번 공구 · 1회)</t>
        </is>
      </c>
    </row>
    <row r="5">
      <c r="A5" s="27" t="inlineStr">
        <is>
          <t>실측 D (mm)</t>
        </is>
      </c>
      <c r="B5" s="28" t="n">
        <v>2.955</v>
      </c>
      <c r="C5" s="28" t="n">
        <v>2.97</v>
      </c>
    </row>
    <row r="6">
      <c r="A6" s="27" t="inlineStr">
        <is>
          <t>목표 dn = 0.96 × D (mm)</t>
        </is>
      </c>
      <c r="B6" s="28">
        <f>ROUND(0.96*B5,3)</f>
        <v/>
      </c>
      <c r="C6" s="28">
        <f>ROUND(0.96*C5,3)</f>
        <v/>
      </c>
    </row>
    <row r="7">
      <c r="A7" s="27" t="inlineStr">
        <is>
          <t>허용 하한 0.95 × D (mm)</t>
        </is>
      </c>
      <c r="B7" s="28">
        <f>ROUND(0.95*B5,3)</f>
        <v/>
      </c>
      <c r="C7" s="28">
        <f>ROUND(0.95*C5,3)</f>
        <v/>
      </c>
    </row>
    <row r="8">
      <c r="A8" s="27" t="inlineStr">
        <is>
          <t>허용 상한 0.975 × D (mm)</t>
        </is>
      </c>
      <c r="B8" s="28">
        <f>ROUND(0.975*B5,3)</f>
        <v/>
      </c>
      <c r="C8" s="28">
        <f>ROUND(0.975*C5,3)</f>
        <v/>
      </c>
    </row>
    <row r="9">
      <c r="A9" s="27" t="inlineStr">
        <is>
          <t>방식</t>
        </is>
      </c>
      <c r="B9" s="27" t="inlineStr">
        <is>
          <t>정삭만 · Stock 1.333 · Infeed 1.0</t>
        </is>
      </c>
      <c r="C9" s="27" t="inlineStr">
        <is>
          <t>황삭 Diagonal 0.075×1 (4 mm/min · A Spin 50) + 정삭 Stock 0.020 · Infeed 0.5</t>
        </is>
      </c>
    </row>
    <row r="10">
      <c r="A10" s="27" t="inlineStr">
        <is>
          <t>입력 Final Ø (mm)</t>
        </is>
      </c>
      <c r="B10" s="28" t="n">
        <v>2.79</v>
      </c>
      <c r="C10" s="28" t="n">
        <v>2.825</v>
      </c>
    </row>
    <row r="11">
      <c r="A11" s="27" t="inlineStr">
        <is>
          <t>dn 머리 (mm)</t>
        </is>
      </c>
      <c r="B11" s="28" t="n">
        <v>2.8535</v>
      </c>
      <c r="C11" s="28" t="n">
        <v>2.89</v>
      </c>
    </row>
    <row r="12">
      <c r="A12" s="27" t="inlineStr">
        <is>
          <t>dn 중간 (mm)</t>
        </is>
      </c>
      <c r="B12" s="28" t="n">
        <v>2.8545</v>
      </c>
      <c r="C12" s="28" t="n">
        <v>2.905</v>
      </c>
    </row>
    <row r="13">
      <c r="A13" s="27" t="inlineStr">
        <is>
          <t>dn 테이퍼 (mm)</t>
        </is>
      </c>
      <c r="B13" s="28" t="n">
        <v>2.86</v>
      </c>
      <c r="C13" s="28" t="n">
        <v>2.907</v>
      </c>
    </row>
    <row r="14">
      <c r="A14" s="27" t="inlineStr">
        <is>
          <t>머리 − 입력 (mm)</t>
        </is>
      </c>
      <c r="B14" s="28">
        <f>B11-B10</f>
        <v/>
      </c>
      <c r="C14" s="28">
        <f>C11-C10</f>
        <v/>
      </c>
    </row>
    <row r="15">
      <c r="A15" s="27" t="inlineStr">
        <is>
          <t>테이퍼 − 입력 (mm)</t>
        </is>
      </c>
      <c r="B15" s="28">
        <f>B13-B10</f>
        <v/>
      </c>
      <c r="C15" s="28">
        <f>C13-C10</f>
        <v/>
      </c>
    </row>
    <row r="16">
      <c r="A16" s="27" t="inlineStr">
        <is>
          <t>비율 머리 ÷ D</t>
        </is>
      </c>
      <c r="B16" s="29">
        <f>B11/B5</f>
        <v/>
      </c>
      <c r="C16" s="29">
        <f>C11/C5</f>
        <v/>
      </c>
    </row>
    <row r="17">
      <c r="A17" s="27" t="inlineStr">
        <is>
          <t>비율 테이퍼 ÷ D</t>
        </is>
      </c>
      <c r="B17" s="29">
        <f>B13/B5</f>
        <v/>
      </c>
      <c r="C17" s="29">
        <f>C13/C5</f>
        <v/>
      </c>
    </row>
    <row r="18">
      <c r="A18" s="27" t="inlineStr">
        <is>
          <t>판정</t>
        </is>
      </c>
      <c r="B18" s="27">
        <f>IF(AND(MIN(B11:B13)&gt;=B7,MAX(B11:B13)&lt;=B8),"합격","보류/재시험")</f>
        <v/>
      </c>
      <c r="C18" s="27">
        <f>IF(AND(MIN(C11:C13)&gt;=C7,MAX(C11:C13)&lt;=C8),"합격","보류/재시험")</f>
        <v/>
      </c>
    </row>
    <row r="19">
      <c r="A19" s="27" t="inlineStr">
        <is>
          <t>진입 찍힘</t>
        </is>
      </c>
      <c r="B19" s="27" t="inlineStr">
        <is>
          <t>있음 (같은 자리)</t>
        </is>
      </c>
      <c r="C19" s="27" t="inlineStr">
        <is>
          <t>없음 ✅</t>
        </is>
      </c>
    </row>
    <row r="20">
      <c r="A20" s="27" t="inlineStr">
        <is>
          <t>넥 끝 부하</t>
        </is>
      </c>
      <c r="B20" s="27" t="inlineStr">
        <is>
          <t>테이퍼 쪽 +3 ~ 4 %</t>
        </is>
      </c>
      <c r="C20" s="27" t="inlineStr">
        <is>
          <t>황삭 테이퍼 면 5 ~ 10 % · 정삭 진입 3 %</t>
        </is>
      </c>
    </row>
    <row r="21">
      <c r="A21" s="27" t="inlineStr">
        <is>
          <t>가공 시간</t>
        </is>
      </c>
      <c r="B21" s="27" t="inlineStr">
        <is>
          <t>iGrind 표시 04:57</t>
        </is>
      </c>
      <c r="C21" s="27" t="inlineStr">
        <is>
          <t>실제 약 8 분 (CIM3D 6:28)</t>
        </is>
      </c>
    </row>
    <row r="23">
      <c r="A23" s="2" t="inlineStr">
        <is>
          <t>※ dn 은 측정 범위 중간값. 테스트 2 는 중간 · 테이퍼가 상한 초과(굵은 쪽 → 재정삭 가능). 원인 추정: 넥 끝 X −19.44 가 기존 15° 테이퍼 면을 같이 깎아 부하 급증 [추정값]. 다음: L2 확인 → 섹션 분할 + Washout 15° (위키 AFCY 시험 페이지 §7-A).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34" customWidth="1" min="3" max="3"/>
  </cols>
  <sheetData>
    <row r="1">
      <c r="A1" s="13" t="inlineStr">
        <is>
          <t>항목</t>
        </is>
      </c>
      <c r="B1" s="13" t="inlineStr">
        <is>
          <t>내용</t>
        </is>
      </c>
      <c r="C1" s="13" t="inlineStr">
        <is>
          <t>신뢰도 / 출처</t>
        </is>
      </c>
    </row>
    <row r="2">
      <c r="A2" s="14" t="inlineStr">
        <is>
          <t>목적</t>
        </is>
      </c>
      <c r="B2" s="14" t="inlineStr">
        <is>
          <t>넥 원통연삭 시험 연삭 1개마다 조건·측정값·설비 상태를 한 줄로 남겨, 같은 조건을 다시 낼 수 있게 한다 (cnc-wiki CLAUDE.md §9).</t>
        </is>
      </c>
      <c r="C2" s="14" t="inlineStr"/>
    </row>
    <row r="3">
      <c r="A3" s="14" t="inlineStr">
        <is>
          <t>기록 규칙</t>
        </is>
      </c>
      <c r="B3" s="14" t="inlineStr">
        <is>
          <t>공구 1개 = 1행. 조건을 바꾸면 새 행. 지난 행은 고치지 않는다(틀린 값은 비고에 정정 사유).</t>
        </is>
      </c>
      <c r="C3" s="14" t="inlineStr">
        <is>
          <t>decisions 원칙 · CLAUDE.md §2-8</t>
        </is>
      </c>
    </row>
    <row r="4">
      <c r="A4" s="14" t="inlineStr">
        <is>
          <t>dn 측정 위치</t>
        </is>
      </c>
      <c r="B4" s="14" t="inlineStr">
        <is>
          <t>넥 직선 구간 3곳(머리 쪽 · 중간 · 테이퍼 쪽). 미리 넣은 X 위치는 예시 — 실제 측정한 X 를 적는다. ①~③ 차가 크면 테이퍼(축방향 휨·휠 마모) 의심.</t>
        </is>
      </c>
      <c r="C4" s="14" t="inlineStr">
        <is>
          <t>추정값 — Cowork 제안</t>
        </is>
      </c>
    </row>
    <row r="5">
      <c r="A5" s="14" t="inlineStr">
        <is>
          <t>dn 목표</t>
        </is>
      </c>
      <c r="B5" s="14" t="inlineStr">
        <is>
          <t>사내 기본 dn = 0.96 × D, 허용 0.95 ~ 0.975 × D. 2JJCR 은 확정값 Ø3.85(비율 0.9625).</t>
        </is>
      </c>
      <c r="C5" s="14" t="inlineStr">
        <is>
          <t>decisions 2026-10-20 (2) · 2026-10-19 (6)</t>
        </is>
      </c>
    </row>
    <row r="6">
      <c r="A6" s="14" t="inlineStr">
        <is>
          <t>dn 공차</t>
        </is>
      </c>
      <c r="B6" s="14" t="inlineStr">
        <is>
          <t>사내 공차는 아직 정하지 않았다 → 「목표 대비 (μm)」만 계산하고 합부 판정은 현장에서. 참고: Micro 100 은 넥 지름 공차 +0.00 / −0.13 mm(넥 = 여유 치수).</t>
        </is>
      </c>
      <c r="C6" s="14" t="inlineStr">
        <is>
          <t>확인 필요 / Micro 100 [제조사 기준]</t>
        </is>
      </c>
    </row>
    <row r="7">
      <c r="A7" s="14" t="inlineStr">
        <is>
          <t>굽힘 강성 비</t>
        </is>
      </c>
      <c r="B7" s="14" t="inlineStr">
        <is>
          <t>(dn ÷ D)⁴. 원형 단면 I = π × dn⁴ ÷ 64, 외팔보 처짐 δ = F × L³ ÷ (3 × E × I). 0.96⁴ = 0.849.</t>
        </is>
      </c>
      <c r="C7" s="14" t="inlineStr">
        <is>
          <t>[ACA-GERE-MECHMAT]</t>
        </is>
      </c>
    </row>
    <row r="8">
      <c r="A8" s="14" t="inlineStr">
        <is>
          <t>Vc</t>
        </is>
      </c>
      <c r="B8" s="14" t="inlineStr">
        <is>
          <t>Vc = π × 휠 지름(mm) × 휠 회전수(rpm) ÷ 60,000. 휠 지름 미확인 → 입력 전에는 계산 안 함. 3,000 rpm 일 때 Ø100 → 15.7 · Ø125 → 19.6 · Ø150 → 23.6 m/s.</t>
        </is>
      </c>
      <c r="C8" s="14" t="inlineStr">
        <is>
          <t>계산 · 휠 지름 확인 필요</t>
        </is>
      </c>
    </row>
    <row r="9">
      <c r="A9" s="14" t="inlineStr">
        <is>
          <t>Vc 판정</t>
        </is>
      </c>
      <c r="B9" s="14" t="inlineStr">
        <is>
          <t>&gt; 30 m/s ⚠️ 고속 연삭(Resin Bond 초과 가능성) · &gt; 25 m/s 사내 상한 초과 · Norton Winter 레진 다이아 + 초경 사례 18 ~ 22 m/s.</t>
        </is>
      </c>
      <c r="C9" s="14" t="inlineStr">
        <is>
          <t>CLAUDE.md §2 · [VEN-NORTON-WINTER-2023] [제조사 기준]</t>
        </is>
      </c>
    </row>
    <row r="10">
      <c r="A10" s="14" t="inlineStr">
        <is>
          <t>fa</t>
        </is>
      </c>
      <c r="B10" s="14" t="inlineStr">
        <is>
          <t>회전당 축방향 이송 fa = vf ÷ A Spin. 현행 2.0 ÷ 25 = 0.08 mm/rev.</t>
        </is>
      </c>
      <c r="C10" s="14" t="inlineStr">
        <is>
          <t>계산 · 현행값 [사내 경험값]</t>
        </is>
      </c>
    </row>
    <row r="11">
      <c r="A11" s="14" t="inlineStr">
        <is>
          <t>절입 판정</t>
        </is>
      </c>
      <c r="B11" s="14" t="inlineStr">
        <is>
          <t>반경 0.075 mm/패스 = 사내 1패스 실적(Ø4 → Ø3.85). 초과 시 ⚠️, 150%(0.1125 mm) 초과 시 ⚠️ 고절입. 반경/직경 기준은 iGrind 에서 확인 필요.</t>
        </is>
      </c>
      <c r="C11" s="14" t="inlineStr">
        <is>
          <t>[사내 경험값] · CLAUDE.md §2</t>
        </is>
      </c>
    </row>
    <row r="12">
      <c r="A12" s="14" t="inlineStr">
        <is>
          <t>정삭 1패스 계산</t>
        </is>
      </c>
      <c r="B12" s="14" t="inlineStr">
        <is>
          <t>(Step length + washout) ÷ vf. 2JJCR: (15.62 + 0.28) ÷ 2.0 = 7.95 분. CIM3D 표시 3:15 와 불일치(미결) → 실측 사이클로 확인.</t>
        </is>
      </c>
      <c r="C12" s="14" t="inlineStr">
        <is>
          <t>[추정값]</t>
        </is>
      </c>
    </row>
    <row r="13">
      <c r="A13" s="14" t="inlineStr">
        <is>
          <t>설비 상태</t>
        </is>
      </c>
      <c r="B13" s="14" t="inlineStr">
        <is>
          <t>런아웃 · 휠 밸런스 · 마지막 드레싱 · 쿨런트 농도 · 예열은 결과에 영향 — 빈칸이면 「미측정」이라고 적는다.</t>
        </is>
      </c>
      <c r="C13" s="14" t="inlineStr">
        <is>
          <t>CLAUDE.md §9-2</t>
        </is>
      </c>
    </row>
    <row r="14">
      <c r="A14" s="14" t="inlineStr">
        <is>
          <t>신뢰도</t>
        </is>
      </c>
      <c r="B14" s="14" t="inlineStr">
        <is>
          <t>측정값이 들어간 행 = 실측 검증. 조건만 넣고 아직 안 깎은 행 = 추정값.</t>
        </is>
      </c>
      <c r="C14" s="14" t="inlineStr">
        <is>
          <t>CLAUDE.md §2</t>
        </is>
      </c>
    </row>
    <row r="15">
      <c r="A15" s="14" t="inlineStr">
        <is>
          <t>안전</t>
        </is>
      </c>
      <c r="B15" s="14" t="inlineStr">
        <is>
          <t>⚠️ 검증 전 양산 적용 금지. CIM3D → 시험 1개 → 측정 → 검증. 테스트 제품은 Blank OD 6.0 확인(4.0 이면 1패스로 잡혀 과부하 위험). Overhang 섹션마다 OFF 확인.</t>
        </is>
      </c>
      <c r="C15" s="14" t="inlineStr">
        <is>
          <t>decisions 2026-10-19 (5) · worklog 10-19 #4</t>
        </is>
      </c>
    </row>
    <row r="16">
      <c r="A16" s="14" t="inlineStr">
        <is>
          <t>기록 후</t>
        </is>
      </c>
      <c r="B16" s="14" t="inlineStr">
        <is>
          <t>측정이 끝나면 Cowork(컴퓨터1)에 「기록표 반영」이라고 하면 위키(조건검토 · iGrind 페이지 · 굽힘강성표 §4)와 decisions 에 옮긴다.</t>
        </is>
      </c>
      <c r="C16" s="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70" customWidth="1" min="3" max="3"/>
    <col width="16" customWidth="1" min="4" max="4"/>
  </cols>
  <sheetData>
    <row r="1">
      <c r="A1" s="15" t="inlineStr">
        <is>
          <t>날짜</t>
        </is>
      </c>
      <c r="B1" s="15" t="inlineStr">
        <is>
          <t>판</t>
        </is>
      </c>
      <c r="C1" s="15" t="inlineStr">
        <is>
          <t>내용</t>
        </is>
      </c>
      <c r="D1" s="15" t="inlineStr">
        <is>
          <t>작성</t>
        </is>
      </c>
    </row>
    <row r="2">
      <c r="A2" s="16" t="inlineStr">
        <is>
          <t>2026-10-20</t>
        </is>
      </c>
      <c r="B2" s="16" t="inlineStr">
        <is>
          <t>v1</t>
        </is>
      </c>
      <c r="C2" s="16" t="inlineStr">
        <is>
          <t>신규 — 시험 연삭 기록표. T1(2JJCR)·T2(테스트 D4) 조건 미리 입력, 측정값 빈칸</t>
        </is>
      </c>
      <c r="D2" s="16" t="inlineStr">
        <is>
          <t>Cowork(컴퓨터1)</t>
        </is>
      </c>
    </row>
    <row r="3">
      <c r="A3" t="inlineStr">
        <is>
          <t>2026-10-20</t>
        </is>
      </c>
      <c r="B3" t="inlineStr">
        <is>
          <t>v1</t>
        </is>
      </c>
      <c r="C3" t="inlineStr">
        <is>
          <t>T3~T6 AFCY_D3.8_S6(D3) 1~4차 실측 · T7 5번째 공구 셋팅(가공 전) 추가 — 출처 프로젝트 12_PC2발신 · 원본 백업 .bak_20261020</t>
        </is>
      </c>
      <c r="D3" t="inlineStr">
        <is>
          <t>Cowork(컴퓨터1)</t>
        </is>
      </c>
    </row>
    <row r="4">
      <c r="A4" t="inlineStr">
        <is>
          <t>2026-10-20</t>
        </is>
      </c>
      <c r="B4" t="inlineStr">
        <is>
          <t>v1</t>
        </is>
      </c>
      <c r="C4" t="inlineStr">
        <is>
          <t>테스트 이름 규칙 반영(T3~T6 = 테스트1-1~4회, T7 = 테스트2) · 「테스트1_요약」 시트(표 + 입력 vs 측정 그래프) 추가 · 테스트1 종결</t>
        </is>
      </c>
      <c r="D4" t="inlineStr">
        <is>
          <t>Cowork(컴퓨터1)</t>
        </is>
      </c>
    </row>
    <row r="5">
      <c r="A5" t="inlineStr">
        <is>
          <t>2026-10-20</t>
        </is>
      </c>
      <c r="B5" t="inlineStr">
        <is>
          <t>v1</t>
        </is>
      </c>
      <c r="C5" t="inlineStr">
        <is>
          <t>T3 비고(1회 비접촉 확정) · T3~T6 측정 장비 · T7 테스트 2 실측(보류) · 「테스트2_요약」(테스트 1 · 2 비교) 시트 추가</t>
        </is>
      </c>
      <c r="D5" t="inlineStr">
        <is>
          <t>Cowork(컴퓨터1)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2026-10-20T01:06:42Z</dcterms:created>
  <dcterms:modified xmlns:dcterms="http://purl.org/dc/terms/" xmlns:xsi="http://www.w3.org/2001/XMLSchema-instance" xsi:type="dcterms:W3CDTF">2026-10-20T05:15:16Z</dcterms:modified>
</cp:coreProperties>
</file>