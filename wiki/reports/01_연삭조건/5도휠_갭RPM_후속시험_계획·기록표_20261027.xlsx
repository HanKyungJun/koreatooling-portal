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험계획" sheetId="1" state="visible" r:id="rId3"/>
    <sheet name="기록표" sheetId="2" state="visible" r:id="rId4"/>
    <sheet name="블라인드 판정" sheetId="3" state="visible" r:id="rId5"/>
    <sheet name="집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Noto Sans CJK SC"/>
            <family val="2"/>
          </rPr>
          <t xml:space="preserve">이송은 시험계획 시트 </t>
        </r>
        <r>
          <rPr>
            <sz val="10"/>
            <rFont val="Arial"/>
            <family val="2"/>
          </rPr>
          <t xml:space="preserve">B</t>
        </r>
        <r>
          <rPr>
            <sz val="10"/>
            <rFont val="Noto Sans CJK SC"/>
            <family val="2"/>
          </rPr>
          <t xml:space="preserve">열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현장 결정값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을 따라온다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바꿨으면 여기 덮어쓰고 비고에 적을 것</t>
        </r>
      </text>
    </comment>
  </commentList>
</comments>
</file>

<file path=xl/sharedStrings.xml><?xml version="1.0" encoding="utf-8"?>
<sst xmlns="http://schemas.openxmlformats.org/spreadsheetml/2006/main" count="186" uniqueCount="139">
  <si>
    <r>
      <rPr>
        <b val="true"/>
        <sz val="22"/>
        <rFont val="맑은 고딕"/>
        <family val="0"/>
        <charset val="1"/>
      </rPr>
      <t xml:space="preserve">5</t>
    </r>
    <r>
      <rPr>
        <b val="true"/>
        <sz val="22"/>
        <rFont val="Noto Sans CJK SC"/>
        <family val="2"/>
      </rPr>
      <t xml:space="preserve">도 </t>
    </r>
    <r>
      <rPr>
        <b val="true"/>
        <sz val="22"/>
        <rFont val="맑은 고딕"/>
        <family val="0"/>
        <charset val="1"/>
      </rPr>
      <t xml:space="preserve">Ø125 </t>
    </r>
    <r>
      <rPr>
        <b val="true"/>
        <sz val="22"/>
        <rFont val="Noto Sans CJK SC"/>
        <family val="2"/>
      </rPr>
      <t xml:space="preserve">휠 갭</t>
    </r>
    <r>
      <rPr>
        <b val="true"/>
        <sz val="22"/>
        <rFont val="맑은 고딕"/>
        <family val="0"/>
        <charset val="1"/>
      </rPr>
      <t xml:space="preserve">(End Face Gash) RPM </t>
    </r>
    <r>
      <rPr>
        <b val="true"/>
        <sz val="22"/>
        <rFont val="Noto Sans CJK SC"/>
        <family val="2"/>
      </rPr>
      <t xml:space="preserve">후속 시험 계획 — </t>
    </r>
    <r>
      <rPr>
        <b val="true"/>
        <sz val="22"/>
        <rFont val="맑은 고딕"/>
        <family val="0"/>
        <charset val="1"/>
      </rPr>
      <t xml:space="preserve">2,900 vs 3,200 rpm</t>
    </r>
  </si>
  <si>
    <r>
      <rPr>
        <sz val="13"/>
        <rFont val="Noto Sans CJK SC"/>
        <family val="2"/>
      </rPr>
      <t xml:space="preserve">목적</t>
    </r>
    <r>
      <rPr>
        <sz val="13"/>
        <rFont val="맑은 고딕"/>
        <family val="0"/>
        <charset val="1"/>
      </rPr>
      <t xml:space="preserve">: 2026-10-19 </t>
    </r>
    <r>
      <rPr>
        <sz val="13"/>
        <rFont val="Noto Sans CJK SC"/>
        <family val="2"/>
      </rPr>
      <t xml:space="preserve">사진 시험의 최적값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평 </t>
    </r>
    <r>
      <rPr>
        <sz val="13"/>
        <rFont val="맑은 고딕"/>
        <family val="0"/>
        <charset val="1"/>
      </rPr>
      <t xml:space="preserve">2,900 · 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R 3,200 rpm, </t>
    </r>
    <r>
      <rPr>
        <sz val="13"/>
        <rFont val="Noto Sans CJK SC"/>
        <family val="2"/>
      </rPr>
      <t xml:space="preserve">추정값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을 수치 측정으로 확인해 「실측 검증」으로 올릴지 판단</t>
    </r>
  </si>
  <si>
    <r>
      <rPr>
        <i val="true"/>
        <sz val="13"/>
        <color rgb="FF808080"/>
        <rFont val="Noto Sans CJK SC"/>
        <family val="2"/>
      </rPr>
      <t xml:space="preserve">노란 칸 </t>
    </r>
    <r>
      <rPr>
        <i val="true"/>
        <sz val="13"/>
        <color rgb="FF808080"/>
        <rFont val="맑은 고딕"/>
        <family val="0"/>
        <charset val="1"/>
      </rPr>
      <t xml:space="preserve">= </t>
    </r>
    <r>
      <rPr>
        <i val="true"/>
        <sz val="13"/>
        <color rgb="FF808080"/>
        <rFont val="Noto Sans CJK SC"/>
        <family val="2"/>
      </rPr>
      <t xml:space="preserve">현장 입력</t>
    </r>
    <r>
      <rPr>
        <i val="true"/>
        <sz val="13"/>
        <color rgb="FF808080"/>
        <rFont val="맑은 고딕"/>
        <family val="0"/>
        <charset val="1"/>
      </rPr>
      <t xml:space="preserve">(</t>
    </r>
    <r>
      <rPr>
        <i val="true"/>
        <sz val="13"/>
        <color rgb="FF808080"/>
        <rFont val="Noto Sans CJK SC"/>
        <family val="2"/>
      </rPr>
      <t xml:space="preserve">한경준님</t>
    </r>
    <r>
      <rPr>
        <i val="true"/>
        <sz val="13"/>
        <color rgb="FF808080"/>
        <rFont val="맑은 고딕"/>
        <family val="0"/>
        <charset val="1"/>
      </rPr>
      <t xml:space="preserve">) · </t>
    </r>
    <r>
      <rPr>
        <i val="true"/>
        <sz val="13"/>
        <color rgb="FF808080"/>
        <rFont val="Noto Sans CJK SC"/>
        <family val="2"/>
      </rPr>
      <t xml:space="preserve">파란 글씨 </t>
    </r>
    <r>
      <rPr>
        <i val="true"/>
        <sz val="13"/>
        <color rgb="FF808080"/>
        <rFont val="맑은 고딕"/>
        <family val="0"/>
        <charset val="1"/>
      </rPr>
      <t xml:space="preserve">= </t>
    </r>
    <r>
      <rPr>
        <i val="true"/>
        <sz val="13"/>
        <color rgb="FF808080"/>
        <rFont val="Noto Sans CJK SC"/>
        <family val="2"/>
      </rPr>
      <t xml:space="preserve">입력값 </t>
    </r>
    <r>
      <rPr>
        <i val="true"/>
        <sz val="13"/>
        <color rgb="FF808080"/>
        <rFont val="맑은 고딕"/>
        <family val="0"/>
        <charset val="1"/>
      </rPr>
      <t xml:space="preserve">· </t>
    </r>
    <r>
      <rPr>
        <i val="true"/>
        <sz val="13"/>
        <color rgb="FF808080"/>
        <rFont val="Noto Sans CJK SC"/>
        <family val="2"/>
      </rPr>
      <t xml:space="preserve">검은 글씨 </t>
    </r>
    <r>
      <rPr>
        <i val="true"/>
        <sz val="13"/>
        <color rgb="FF808080"/>
        <rFont val="맑은 고딕"/>
        <family val="0"/>
        <charset val="1"/>
      </rPr>
      <t xml:space="preserve">= </t>
    </r>
    <r>
      <rPr>
        <i val="true"/>
        <sz val="13"/>
        <color rgb="FF808080"/>
        <rFont val="Noto Sans CJK SC"/>
        <family val="2"/>
      </rPr>
      <t xml:space="preserve">계산식 </t>
    </r>
    <r>
      <rPr>
        <i val="true"/>
        <sz val="13"/>
        <color rgb="FF808080"/>
        <rFont val="맑은 고딕"/>
        <family val="0"/>
        <charset val="1"/>
      </rPr>
      <t xml:space="preserve">· </t>
    </r>
    <r>
      <rPr>
        <i val="true"/>
        <sz val="13"/>
        <color rgb="FF808080"/>
        <rFont val="Noto Sans CJK SC"/>
        <family val="2"/>
      </rPr>
      <t xml:space="preserve">양산 적용 ❌</t>
    </r>
    <r>
      <rPr>
        <i val="true"/>
        <sz val="13"/>
        <color rgb="FF808080"/>
        <rFont val="맑은 고딕"/>
        <family val="0"/>
        <charset val="1"/>
      </rPr>
      <t xml:space="preserve">(</t>
    </r>
    <r>
      <rPr>
        <i val="true"/>
        <sz val="13"/>
        <color rgb="FF808080"/>
        <rFont val="Noto Sans CJK SC"/>
        <family val="2"/>
      </rPr>
      <t xml:space="preserve">시험 단계</t>
    </r>
    <r>
      <rPr>
        <i val="true"/>
        <sz val="13"/>
        <color rgb="FF808080"/>
        <rFont val="맑은 고딕"/>
        <family val="0"/>
        <charset val="1"/>
      </rPr>
      <t xml:space="preserve">)</t>
    </r>
  </si>
  <si>
    <r>
      <rPr>
        <b val="true"/>
        <sz val="15"/>
        <rFont val="맑은 고딕"/>
        <family val="0"/>
        <charset val="1"/>
      </rPr>
      <t xml:space="preserve">1. </t>
    </r>
    <r>
      <rPr>
        <b val="true"/>
        <sz val="15"/>
        <rFont val="Noto Sans CJK SC"/>
        <family val="2"/>
      </rPr>
      <t xml:space="preserve">고정 조건</t>
    </r>
  </si>
  <si>
    <t xml:space="preserve">항목</t>
  </si>
  <si>
    <t xml:space="preserve">값</t>
  </si>
  <si>
    <t xml:space="preserve">단위</t>
  </si>
  <si>
    <r>
      <rPr>
        <b val="true"/>
        <sz val="13"/>
        <rFont val="Noto Sans CJK SC"/>
        <family val="2"/>
      </rPr>
      <t xml:space="preserve">비고 </t>
    </r>
    <r>
      <rPr>
        <b val="true"/>
        <sz val="13"/>
        <rFont val="맑은 고딕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근거</t>
    </r>
  </si>
  <si>
    <t xml:space="preserve">장비</t>
  </si>
  <si>
    <t xml:space="preserve">ANCA FastGrind (FG)</t>
  </si>
  <si>
    <r>
      <rPr>
        <sz val="13"/>
        <rFont val="맑은 고딕"/>
        <family val="0"/>
        <charset val="1"/>
      </rPr>
      <t xml:space="preserve">10-19 </t>
    </r>
    <r>
      <rPr>
        <sz val="13"/>
        <rFont val="Noto Sans CJK SC"/>
        <family val="2"/>
      </rPr>
      <t xml:space="preserve">시험과 같은 장비</t>
    </r>
  </si>
  <si>
    <t xml:space="preserve">휠</t>
  </si>
  <si>
    <r>
      <rPr>
        <sz val="13"/>
        <color rgb="FF0000FF"/>
        <rFont val="맑은 고딕"/>
        <family val="0"/>
        <charset val="1"/>
      </rPr>
      <t xml:space="preserve">5</t>
    </r>
    <r>
      <rPr>
        <sz val="13"/>
        <color rgb="FF0000FF"/>
        <rFont val="Noto Sans CJK SC"/>
        <family val="2"/>
      </rPr>
      <t xml:space="preserve">도 </t>
    </r>
    <r>
      <rPr>
        <sz val="13"/>
        <color rgb="FF0000FF"/>
        <rFont val="맑은 고딕"/>
        <family val="0"/>
        <charset val="1"/>
      </rPr>
      <t xml:space="preserve">Ø125 × T5 · V 5° · #400 · </t>
    </r>
    <r>
      <rPr>
        <sz val="13"/>
        <color rgb="FF0000FF"/>
        <rFont val="Noto Sans CJK SC"/>
        <family val="2"/>
      </rPr>
      <t xml:space="preserve">레진 </t>
    </r>
    <r>
      <rPr>
        <sz val="13"/>
        <color rgb="FF0000FF"/>
        <rFont val="맑은 고딕"/>
        <family val="0"/>
        <charset val="1"/>
      </rPr>
      <t xml:space="preserve">· C125 (</t>
    </r>
    <r>
      <rPr>
        <sz val="13"/>
        <color rgb="FF0000FF"/>
        <rFont val="Noto Sans CJK SC"/>
        <family val="2"/>
      </rPr>
      <t xml:space="preserve">스택 </t>
    </r>
    <r>
      <rPr>
        <sz val="13"/>
        <color rgb="FF0000FF"/>
        <rFont val="맑은 고딕"/>
        <family val="0"/>
        <charset val="1"/>
      </rPr>
      <t xml:space="preserve">1-2)</t>
    </r>
  </si>
  <si>
    <r>
      <rPr>
        <sz val="13"/>
        <rFont val="맑은 고딕"/>
        <family val="0"/>
        <charset val="1"/>
      </rPr>
      <t xml:space="preserve">[[</t>
    </r>
    <r>
      <rPr>
        <sz val="13"/>
        <rFont val="Noto Sans CJK SC"/>
        <family val="2"/>
      </rPr>
      <t xml:space="preserve">휠</t>
    </r>
    <r>
      <rPr>
        <sz val="13"/>
        <rFont val="맑은 고딕"/>
        <family val="0"/>
        <charset val="1"/>
      </rPr>
      <t xml:space="preserve">-5</t>
    </r>
    <r>
      <rPr>
        <sz val="13"/>
        <rFont val="Noto Sans CJK SC"/>
        <family val="2"/>
      </rPr>
      <t xml:space="preserve">도</t>
    </r>
    <r>
      <rPr>
        <sz val="13"/>
        <rFont val="맑은 고딕"/>
        <family val="0"/>
        <charset val="1"/>
      </rPr>
      <t xml:space="preserve">-Ø125-1-2]]</t>
    </r>
  </si>
  <si>
    <r>
      <rPr>
        <sz val="13"/>
        <rFont val="Noto Sans CJK SC"/>
        <family val="2"/>
      </rPr>
      <t xml:space="preserve">휠 지름 </t>
    </r>
    <r>
      <rPr>
        <sz val="13"/>
        <rFont val="맑은 고딕"/>
        <family val="0"/>
        <charset val="1"/>
      </rPr>
      <t xml:space="preserve">D</t>
    </r>
  </si>
  <si>
    <t xml:space="preserve">mm</t>
  </si>
  <si>
    <r>
      <rPr>
        <sz val="13"/>
        <rFont val="Noto Sans CJK SC"/>
        <family val="2"/>
      </rPr>
      <t xml:space="preserve">실측값이 있으면 바꿀 것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예</t>
    </r>
    <r>
      <rPr>
        <sz val="13"/>
        <rFont val="맑은 고딕"/>
        <family val="0"/>
        <charset val="1"/>
      </rPr>
      <t xml:space="preserve">: 125.102)</t>
    </r>
  </si>
  <si>
    <r>
      <rPr>
        <sz val="13"/>
        <rFont val="Noto Sans CJK SC"/>
        <family val="2"/>
      </rPr>
      <t xml:space="preserve">절입 </t>
    </r>
    <r>
      <rPr>
        <sz val="13"/>
        <rFont val="맑은 고딕"/>
        <family val="0"/>
        <charset val="1"/>
      </rPr>
      <t xml:space="preserve">DOC · ae</t>
    </r>
  </si>
  <si>
    <r>
      <rPr>
        <sz val="13"/>
        <rFont val="맑은 고딕"/>
        <family val="0"/>
        <charset val="1"/>
      </rPr>
      <t xml:space="preserve">10-19 </t>
    </r>
    <r>
      <rPr>
        <sz val="13"/>
        <rFont val="Noto Sans CJK SC"/>
        <family val="2"/>
      </rPr>
      <t xml:space="preserve">시험과 같게</t>
    </r>
  </si>
  <si>
    <r>
      <rPr>
        <sz val="13"/>
        <rFont val="Noto Sans CJK SC"/>
        <family val="2"/>
      </rPr>
      <t xml:space="preserve">이송 </t>
    </r>
    <r>
      <rPr>
        <sz val="13"/>
        <rFont val="맑은 고딕"/>
        <family val="0"/>
        <charset val="1"/>
      </rPr>
      <t xml:space="preserve">vf — </t>
    </r>
    <r>
      <rPr>
        <sz val="13"/>
        <rFont val="Noto Sans CJK SC"/>
        <family val="2"/>
      </rPr>
      <t xml:space="preserve">평</t>
    </r>
  </si>
  <si>
    <t xml:space="preserve">mm/min</t>
  </si>
  <si>
    <r>
      <rPr>
        <sz val="13"/>
        <rFont val="Noto Sans CJK SC"/>
        <family val="2"/>
      </rPr>
      <t xml:space="preserve">⬜ 현장 결정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한 값 고정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제안 </t>
    </r>
    <r>
      <rPr>
        <sz val="13"/>
        <rFont val="맑은 고딕"/>
        <family val="0"/>
        <charset val="1"/>
      </rPr>
      <t xml:space="preserve">12)</t>
    </r>
  </si>
  <si>
    <r>
      <rPr>
        <sz val="13"/>
        <rFont val="Noto Sans CJK SC"/>
        <family val="2"/>
      </rPr>
      <t xml:space="preserve">이송 </t>
    </r>
    <r>
      <rPr>
        <sz val="13"/>
        <rFont val="맑은 고딕"/>
        <family val="0"/>
        <charset val="1"/>
      </rPr>
      <t xml:space="preserve">vf — 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R</t>
    </r>
  </si>
  <si>
    <r>
      <rPr>
        <sz val="13"/>
        <rFont val="Noto Sans CJK SC"/>
        <family val="2"/>
      </rPr>
      <t xml:space="preserve">⬜ 현장 결정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한 값 고정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제안 </t>
    </r>
    <r>
      <rPr>
        <sz val="13"/>
        <rFont val="맑은 고딕"/>
        <family val="0"/>
        <charset val="1"/>
      </rPr>
      <t xml:space="preserve">18)</t>
    </r>
  </si>
  <si>
    <t xml:space="preserve">사내 원주속도 상한</t>
  </si>
  <si>
    <t xml:space="preserve">m/s</t>
  </si>
  <si>
    <t xml:space="preserve">사내 결정 — 넘으면 시험 금지</t>
  </si>
  <si>
    <t xml:space="preserve">공구</t>
  </si>
  <si>
    <r>
      <rPr>
        <sz val="13"/>
        <color rgb="FF0000FF"/>
        <rFont val="Noto Sans CJK SC"/>
        <family val="2"/>
      </rPr>
      <t xml:space="preserve">초경 엔드밀 </t>
    </r>
    <r>
      <rPr>
        <sz val="13"/>
        <color rgb="FF0000FF"/>
        <rFont val="맑은 고딕"/>
        <family val="0"/>
        <charset val="1"/>
      </rPr>
      <t xml:space="preserve">D6 2</t>
    </r>
    <r>
      <rPr>
        <sz val="13"/>
        <color rgb="FF0000FF"/>
        <rFont val="Noto Sans CJK SC"/>
        <family val="2"/>
      </rPr>
      <t xml:space="preserve">날 — 평 </t>
    </r>
    <r>
      <rPr>
        <sz val="13"/>
        <color rgb="FF0000FF"/>
        <rFont val="맑은 고딕"/>
        <family val="0"/>
        <charset val="1"/>
      </rPr>
      <t xml:space="preserve">· </t>
    </r>
    <r>
      <rPr>
        <sz val="13"/>
        <color rgb="FF0000FF"/>
        <rFont val="Noto Sans CJK SC"/>
        <family val="2"/>
      </rPr>
      <t xml:space="preserve">코너</t>
    </r>
    <r>
      <rPr>
        <sz val="13"/>
        <color rgb="FF0000FF"/>
        <rFont val="맑은 고딕"/>
        <family val="0"/>
        <charset val="1"/>
      </rPr>
      <t xml:space="preserve">R (</t>
    </r>
    <r>
      <rPr>
        <sz val="13"/>
        <color rgb="FF0000FF"/>
        <rFont val="Noto Sans CJK SC"/>
        <family val="2"/>
      </rPr>
      <t xml:space="preserve">재연마품</t>
    </r>
    <r>
      <rPr>
        <sz val="13"/>
        <color rgb="FF0000FF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</si>
  <si>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형상별 </t>
    </r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개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같은 로트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같은 마모 상태 권장</t>
    </r>
  </si>
  <si>
    <t xml:space="preserve">드레싱</t>
  </si>
  <si>
    <r>
      <rPr>
        <sz val="13"/>
        <color rgb="FF0000FF"/>
        <rFont val="Noto Sans CJK SC"/>
        <family val="2"/>
      </rPr>
      <t xml:space="preserve">각 형상 블록 시작 직전 </t>
    </r>
    <r>
      <rPr>
        <sz val="13"/>
        <color rgb="FF0000FF"/>
        <rFont val="맑은 고딕"/>
        <family val="0"/>
        <charset val="1"/>
      </rPr>
      <t xml:space="preserve">1</t>
    </r>
    <r>
      <rPr>
        <sz val="13"/>
        <color rgb="FF0000FF"/>
        <rFont val="Noto Sans CJK SC"/>
        <family val="2"/>
      </rPr>
      <t xml:space="preserve">회</t>
    </r>
  </si>
  <si>
    <r>
      <rPr>
        <sz val="13"/>
        <rFont val="Noto Sans CJK SC"/>
        <family val="2"/>
      </rPr>
      <t xml:space="preserve">블록 중간 드레싱 금지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바꾸면 기록</t>
    </r>
    <r>
      <rPr>
        <sz val="13"/>
        <rFont val="맑은 고딕"/>
        <family val="0"/>
        <charset val="1"/>
      </rPr>
      <t xml:space="preserve">)</t>
    </r>
  </si>
  <si>
    <t xml:space="preserve">쿨런트</t>
  </si>
  <si>
    <r>
      <rPr>
        <sz val="13"/>
        <rFont val="Noto Sans CJK SC"/>
        <family val="2"/>
      </rPr>
      <t xml:space="preserve">⬜ 종류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농도</t>
    </r>
    <r>
      <rPr>
        <sz val="13"/>
        <rFont val="맑은 고딕"/>
        <family val="0"/>
        <charset val="1"/>
      </rPr>
      <t xml:space="preserve">(%) </t>
    </r>
    <r>
      <rPr>
        <sz val="13"/>
        <rFont val="Noto Sans CJK SC"/>
        <family val="2"/>
      </rPr>
      <t xml:space="preserve">기록</t>
    </r>
  </si>
  <si>
    <r>
      <rPr>
        <b val="true"/>
        <sz val="15"/>
        <rFont val="맑은 고딕"/>
        <family val="0"/>
        <charset val="1"/>
      </rPr>
      <t xml:space="preserve">2. RPM </t>
    </r>
    <r>
      <rPr>
        <b val="true"/>
        <sz val="15"/>
        <rFont val="Noto Sans CJK SC"/>
        <family val="2"/>
      </rPr>
      <t xml:space="preserve">수준 </t>
    </r>
    <r>
      <rPr>
        <b val="true"/>
        <sz val="15"/>
        <rFont val="맑은 고딕"/>
        <family val="0"/>
        <charset val="1"/>
      </rPr>
      <t xml:space="preserve">· </t>
    </r>
    <r>
      <rPr>
        <b val="true"/>
        <sz val="15"/>
        <rFont val="Noto Sans CJK SC"/>
        <family val="2"/>
      </rPr>
      <t xml:space="preserve">원주속도 </t>
    </r>
    <r>
      <rPr>
        <b val="true"/>
        <sz val="15"/>
        <rFont val="맑은 고딕"/>
        <family val="0"/>
        <charset val="1"/>
      </rPr>
      <t xml:space="preserve">· Q'w (</t>
    </r>
    <r>
      <rPr>
        <b val="true"/>
        <sz val="15"/>
        <rFont val="Noto Sans CJK SC"/>
        <family val="2"/>
      </rPr>
      <t xml:space="preserve">계산</t>
    </r>
    <r>
      <rPr>
        <b val="true"/>
        <sz val="15"/>
        <rFont val="맑은 고딕"/>
        <family val="0"/>
        <charset val="1"/>
      </rPr>
      <t xml:space="preserve">)</t>
    </r>
  </si>
  <si>
    <r>
      <rPr>
        <b val="true"/>
        <sz val="13"/>
        <rFont val="맑은 고딕"/>
        <family val="0"/>
        <charset val="1"/>
      </rPr>
      <t xml:space="preserve">RPM </t>
    </r>
    <r>
      <rPr>
        <b val="true"/>
        <sz val="13"/>
        <rFont val="Noto Sans CJK SC"/>
        <family val="2"/>
      </rPr>
      <t xml:space="preserve">수준</t>
    </r>
  </si>
  <si>
    <t xml:space="preserve">N (rpm)</t>
  </si>
  <si>
    <t xml:space="preserve">Vc (m/s) = π × D × N ÷ 60,000</t>
  </si>
  <si>
    <r>
      <rPr>
        <b val="true"/>
        <sz val="13"/>
        <rFont val="Noto Sans CJK SC"/>
        <family val="2"/>
      </rPr>
      <t xml:space="preserve">상한 이내</t>
    </r>
    <r>
      <rPr>
        <b val="true"/>
        <sz val="13"/>
        <rFont val="맑은 고딕"/>
        <family val="0"/>
        <charset val="1"/>
      </rPr>
      <t xml:space="preserve">?</t>
    </r>
  </si>
  <si>
    <r>
      <rPr>
        <b val="true"/>
        <sz val="13"/>
        <rFont val="맑은 고딕"/>
        <family val="0"/>
        <charset val="1"/>
      </rPr>
      <t xml:space="preserve">Q'w </t>
    </r>
    <r>
      <rPr>
        <b val="true"/>
        <sz val="13"/>
        <rFont val="Noto Sans CJK SC"/>
        <family val="2"/>
      </rPr>
      <t xml:space="preserve">평 </t>
    </r>
    <r>
      <rPr>
        <b val="true"/>
        <sz val="13"/>
        <rFont val="맑은 고딕"/>
        <family val="0"/>
        <charset val="1"/>
      </rPr>
      <t xml:space="preserve">(mm³/(mm·s)) = ae × vf ÷ 60</t>
    </r>
  </si>
  <si>
    <r>
      <rPr>
        <b val="true"/>
        <sz val="13"/>
        <rFont val="맑은 고딕"/>
        <family val="0"/>
        <charset val="1"/>
      </rPr>
      <t xml:space="preserve">Q'w </t>
    </r>
    <r>
      <rPr>
        <b val="true"/>
        <sz val="13"/>
        <rFont val="Noto Sans CJK SC"/>
        <family val="2"/>
      </rPr>
      <t xml:space="preserve">코너</t>
    </r>
    <r>
      <rPr>
        <b val="true"/>
        <sz val="13"/>
        <rFont val="맑은 고딕"/>
        <family val="0"/>
        <charset val="1"/>
      </rPr>
      <t xml:space="preserve">R (mm³/(mm·s))</t>
    </r>
  </si>
  <si>
    <t xml:space="preserve">A</t>
  </si>
  <si>
    <t xml:space="preserve">B</t>
  </si>
  <si>
    <r>
      <rPr>
        <i val="true"/>
        <sz val="13"/>
        <color rgb="FF808080"/>
        <rFont val="Noto Sans CJK SC"/>
        <family val="2"/>
      </rPr>
      <t xml:space="preserve">검산</t>
    </r>
    <r>
      <rPr>
        <i val="true"/>
        <sz val="13"/>
        <color rgb="FF808080"/>
        <rFont val="맑은 고딕"/>
        <family val="0"/>
        <charset val="1"/>
      </rPr>
      <t xml:space="preserve">: π × 125 × 2,900 ÷ 60,000 = 18.98 m/s · π × 125 × 3,200 ÷ 60,000 = 20.94 m/s · </t>
    </r>
    <r>
      <rPr>
        <i val="true"/>
        <sz val="13"/>
        <color rgb="FF808080"/>
        <rFont val="Noto Sans CJK SC"/>
        <family val="2"/>
      </rPr>
      <t xml:space="preserve">상한 </t>
    </r>
    <r>
      <rPr>
        <i val="true"/>
        <sz val="13"/>
        <color rgb="FF808080"/>
        <rFont val="맑은 고딕"/>
        <family val="0"/>
        <charset val="1"/>
      </rPr>
      <t xml:space="preserve">25 m/s → N </t>
    </r>
    <r>
      <rPr>
        <i val="true"/>
        <sz val="13"/>
        <color rgb="FF808080"/>
        <rFont val="Noto Sans CJK SC"/>
        <family val="2"/>
      </rPr>
      <t xml:space="preserve">최대 </t>
    </r>
    <r>
      <rPr>
        <i val="true"/>
        <sz val="13"/>
        <color rgb="FF808080"/>
        <rFont val="맑은 고딕"/>
        <family val="0"/>
        <charset val="1"/>
      </rPr>
      <t xml:space="preserve">= 25 × 60,000 ÷ (π × 125) = 3,820 rpm</t>
    </r>
  </si>
  <si>
    <r>
      <rPr>
        <b val="true"/>
        <sz val="15"/>
        <rFont val="맑은 고딕"/>
        <family val="0"/>
        <charset val="1"/>
      </rPr>
      <t xml:space="preserve">3. </t>
    </r>
    <r>
      <rPr>
        <b val="true"/>
        <sz val="15"/>
        <rFont val="Noto Sans CJK SC"/>
        <family val="2"/>
      </rPr>
      <t xml:space="preserve">진행 순서 </t>
    </r>
    <r>
      <rPr>
        <b val="true"/>
        <sz val="15"/>
        <rFont val="맑은 고딕"/>
        <family val="0"/>
        <charset val="1"/>
      </rPr>
      <t xml:space="preserve">(12</t>
    </r>
    <r>
      <rPr>
        <b val="true"/>
        <sz val="15"/>
        <rFont val="Noto Sans CJK SC"/>
        <family val="2"/>
      </rPr>
      <t xml:space="preserve">개 — 형상별 </t>
    </r>
    <r>
      <rPr>
        <b val="true"/>
        <sz val="15"/>
        <rFont val="맑은 고딕"/>
        <family val="0"/>
        <charset val="1"/>
      </rPr>
      <t xml:space="preserve">A-B-B-A-A-B </t>
    </r>
    <r>
      <rPr>
        <b val="true"/>
        <sz val="15"/>
        <rFont val="Noto Sans CJK SC"/>
        <family val="2"/>
      </rPr>
      <t xml:space="preserve">로 번갈아</t>
    </r>
    <r>
      <rPr>
        <b val="true"/>
        <sz val="15"/>
        <rFont val="맑은 고딕"/>
        <family val="0"/>
        <charset val="1"/>
      </rPr>
      <t xml:space="preserve">, </t>
    </r>
    <r>
      <rPr>
        <b val="true"/>
        <sz val="15"/>
        <rFont val="Noto Sans CJK SC"/>
        <family val="2"/>
      </rPr>
      <t xml:space="preserve">휠 상태 변화를 두 </t>
    </r>
    <r>
      <rPr>
        <b val="true"/>
        <sz val="15"/>
        <rFont val="맑은 고딕"/>
        <family val="0"/>
        <charset val="1"/>
      </rPr>
      <t xml:space="preserve">RPM </t>
    </r>
    <r>
      <rPr>
        <b val="true"/>
        <sz val="15"/>
        <rFont val="Noto Sans CJK SC"/>
        <family val="2"/>
      </rPr>
      <t xml:space="preserve">에 고르게 나눔</t>
    </r>
    <r>
      <rPr>
        <b val="true"/>
        <sz val="15"/>
        <rFont val="맑은 고딕"/>
        <family val="0"/>
        <charset val="1"/>
      </rPr>
      <t xml:space="preserve">)</t>
    </r>
  </si>
  <si>
    <r>
      <rPr>
        <i val="true"/>
        <sz val="13"/>
        <color rgb="FF808080"/>
        <rFont val="Noto Sans CJK SC"/>
        <family val="2"/>
      </rPr>
      <t xml:space="preserve">시편 각인</t>
    </r>
    <r>
      <rPr>
        <i val="true"/>
        <sz val="13"/>
        <color rgb="FF808080"/>
        <rFont val="맑은 고딕"/>
        <family val="0"/>
        <charset val="1"/>
      </rPr>
      <t xml:space="preserve">·</t>
    </r>
    <r>
      <rPr>
        <i val="true"/>
        <sz val="13"/>
        <color rgb="FF808080"/>
        <rFont val="Noto Sans CJK SC"/>
        <family val="2"/>
      </rPr>
      <t xml:space="preserve">사진 파일명에는 </t>
    </r>
    <r>
      <rPr>
        <i val="true"/>
        <sz val="13"/>
        <color rgb="FF808080"/>
        <rFont val="맑은 고딕"/>
        <family val="0"/>
        <charset val="1"/>
      </rPr>
      <t xml:space="preserve">RPM </t>
    </r>
    <r>
      <rPr>
        <i val="true"/>
        <sz val="13"/>
        <color rgb="FF808080"/>
        <rFont val="Noto Sans CJK SC"/>
        <family val="2"/>
      </rPr>
      <t xml:space="preserve">대신 「블라인드 코드」만 쓴다</t>
    </r>
    <r>
      <rPr>
        <i val="true"/>
        <sz val="13"/>
        <color rgb="FF808080"/>
        <rFont val="맑은 고딕"/>
        <family val="0"/>
        <charset val="1"/>
      </rPr>
      <t xml:space="preserve">. RPM </t>
    </r>
    <r>
      <rPr>
        <i val="true"/>
        <sz val="13"/>
        <color rgb="FF808080"/>
        <rFont val="Noto Sans CJK SC"/>
        <family val="2"/>
      </rPr>
      <t xml:space="preserve">대응표는 판정이 끝날 때까지 보지 않는다</t>
    </r>
    <r>
      <rPr>
        <i val="true"/>
        <sz val="13"/>
        <color rgb="FF808080"/>
        <rFont val="맑은 고딕"/>
        <family val="0"/>
        <charset val="1"/>
      </rPr>
      <t xml:space="preserve">(</t>
    </r>
    <r>
      <rPr>
        <i val="true"/>
        <sz val="13"/>
        <color rgb="FF808080"/>
        <rFont val="Noto Sans CJK SC"/>
        <family val="2"/>
      </rPr>
      <t xml:space="preserve">기록표 시트 오른쪽 접힌 열</t>
    </r>
    <r>
      <rPr>
        <i val="true"/>
        <sz val="13"/>
        <color rgb="FF808080"/>
        <rFont val="맑은 고딕"/>
        <family val="0"/>
        <charset val="1"/>
      </rPr>
      <t xml:space="preserve">).</t>
    </r>
  </si>
  <si>
    <t xml:space="preserve">1</t>
  </si>
  <si>
    <r>
      <rPr>
        <sz val="13"/>
        <rFont val="Noto Sans CJK SC"/>
        <family val="2"/>
      </rPr>
      <t xml:space="preserve">드레싱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평 블록 시작 전</t>
    </r>
    <r>
      <rPr>
        <sz val="13"/>
        <rFont val="맑은 고딕"/>
        <family val="0"/>
        <charset val="1"/>
      </rPr>
      <t xml:space="preserve">) → </t>
    </r>
    <r>
      <rPr>
        <sz val="13"/>
        <rFont val="Noto Sans CJK SC"/>
        <family val="2"/>
      </rPr>
      <t xml:space="preserve">휠 회전 방향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스핀들 부하 표시 확인</t>
    </r>
  </si>
  <si>
    <t xml:space="preserve">2</t>
  </si>
  <si>
    <r>
      <rPr>
        <sz val="13"/>
        <rFont val="Noto Sans CJK SC"/>
        <family val="2"/>
      </rPr>
      <t xml:space="preserve">평 </t>
    </r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개</t>
    </r>
    <r>
      <rPr>
        <sz val="13"/>
        <rFont val="맑은 고딕"/>
        <family val="0"/>
        <charset val="1"/>
      </rPr>
      <t xml:space="preserve">: </t>
    </r>
    <r>
      <rPr>
        <sz val="13"/>
        <rFont val="Noto Sans CJK SC"/>
        <family val="2"/>
      </rPr>
      <t xml:space="preserve">기록표 </t>
    </r>
    <r>
      <rPr>
        <sz val="13"/>
        <rFont val="맑은 고딕"/>
        <family val="0"/>
        <charset val="1"/>
      </rPr>
      <t xml:space="preserve">1 ~ 6 </t>
    </r>
    <r>
      <rPr>
        <sz val="13"/>
        <rFont val="Noto Sans CJK SC"/>
        <family val="2"/>
      </rPr>
      <t xml:space="preserve">순서대로 가공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각 가공 후 스핀들 부하</t>
    </r>
    <r>
      <rPr>
        <sz val="13"/>
        <rFont val="맑은 고딕"/>
        <family val="0"/>
        <charset val="1"/>
      </rPr>
      <t xml:space="preserve">(%) · </t>
    </r>
    <r>
      <rPr>
        <sz val="13"/>
        <rFont val="Noto Sans CJK SC"/>
        <family val="2"/>
      </rPr>
      <t xml:space="preserve">사이클타임 기록</t>
    </r>
  </si>
  <si>
    <t xml:space="preserve">3</t>
  </si>
  <si>
    <r>
      <rPr>
        <sz val="13"/>
        <rFont val="Noto Sans CJK SC"/>
        <family val="2"/>
      </rPr>
      <t xml:space="preserve">드레싱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R </t>
    </r>
    <r>
      <rPr>
        <sz val="13"/>
        <rFont val="Noto Sans CJK SC"/>
        <family val="2"/>
      </rPr>
      <t xml:space="preserve">블록 시작 전</t>
    </r>
    <r>
      <rPr>
        <sz val="13"/>
        <rFont val="맑은 고딕"/>
        <family val="0"/>
        <charset val="1"/>
      </rPr>
      <t xml:space="preserve">)</t>
    </r>
  </si>
  <si>
    <t xml:space="preserve">4</t>
  </si>
  <si>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R 6</t>
    </r>
    <r>
      <rPr>
        <sz val="13"/>
        <rFont val="Noto Sans CJK SC"/>
        <family val="2"/>
      </rPr>
      <t xml:space="preserve">개</t>
    </r>
    <r>
      <rPr>
        <sz val="13"/>
        <rFont val="맑은 고딕"/>
        <family val="0"/>
        <charset val="1"/>
      </rPr>
      <t xml:space="preserve">: </t>
    </r>
    <r>
      <rPr>
        <sz val="13"/>
        <rFont val="Noto Sans CJK SC"/>
        <family val="2"/>
      </rPr>
      <t xml:space="preserve">기록표 </t>
    </r>
    <r>
      <rPr>
        <sz val="13"/>
        <rFont val="맑은 고딕"/>
        <family val="0"/>
        <charset val="1"/>
      </rPr>
      <t xml:space="preserve">7 ~ 12 </t>
    </r>
    <r>
      <rPr>
        <sz val="13"/>
        <rFont val="Noto Sans CJK SC"/>
        <family val="2"/>
      </rPr>
      <t xml:space="preserve">순서대로</t>
    </r>
  </si>
  <si>
    <t xml:space="preserve">5</t>
  </si>
  <si>
    <r>
      <rPr>
        <sz val="13"/>
        <rFont val="Noto Sans CJK SC"/>
        <family val="2"/>
      </rPr>
      <t xml:space="preserve">같은 배율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같은 조명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같은 각도로 날 끝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갭 면 사진 — 파일명 </t>
    </r>
    <r>
      <rPr>
        <sz val="13"/>
        <rFont val="맑은 고딕"/>
        <family val="0"/>
        <charset val="1"/>
      </rPr>
      <t xml:space="preserve">= </t>
    </r>
    <r>
      <rPr>
        <sz val="13"/>
        <rFont val="Noto Sans CJK SC"/>
        <family val="2"/>
      </rPr>
      <t xml:space="preserve">블라인드 코드</t>
    </r>
  </si>
  <si>
    <t xml:space="preserve">6</t>
  </si>
  <si>
    <r>
      <rPr>
        <sz val="13"/>
        <rFont val="Noto Sans CJK SC"/>
        <family val="2"/>
      </rPr>
      <t xml:space="preserve">현미경 눈금으로 치핑 최대 폭</t>
    </r>
    <r>
      <rPr>
        <sz val="13"/>
        <rFont val="맑은 고딕"/>
        <family val="0"/>
        <charset val="1"/>
      </rPr>
      <t xml:space="preserve">(μm) </t>
    </r>
    <r>
      <rPr>
        <sz val="13"/>
        <rFont val="Noto Sans CJK SC"/>
        <family val="2"/>
      </rPr>
      <t xml:space="preserve">읽기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가능하면 갭 면 </t>
    </r>
    <r>
      <rPr>
        <sz val="13"/>
        <rFont val="맑은 고딕"/>
        <family val="0"/>
        <charset val="1"/>
      </rPr>
      <t xml:space="preserve">Ra(μm)</t>
    </r>
  </si>
  <si>
    <t xml:space="preserve">7</t>
  </si>
  <si>
    <r>
      <rPr>
        <sz val="13"/>
        <rFont val="Noto Sans CJK SC"/>
        <family val="2"/>
      </rPr>
      <t xml:space="preserve">블라인드 판정 시트에 판정자가 코드별 순위 입력 → 그 뒤 </t>
    </r>
    <r>
      <rPr>
        <sz val="13"/>
        <rFont val="맑은 고딕"/>
        <family val="0"/>
        <charset val="1"/>
      </rPr>
      <t xml:space="preserve">RPM </t>
    </r>
    <r>
      <rPr>
        <sz val="13"/>
        <rFont val="Noto Sans CJK SC"/>
        <family val="2"/>
      </rPr>
      <t xml:space="preserve">공개</t>
    </r>
  </si>
  <si>
    <t xml:space="preserve">8</t>
  </si>
  <si>
    <r>
      <rPr>
        <sz val="13"/>
        <rFont val="맑은 고딕"/>
        <family val="0"/>
        <charset val="1"/>
      </rPr>
      <t xml:space="preserve">3,500 rpm </t>
    </r>
    <r>
      <rPr>
        <sz val="13"/>
        <rFont val="Noto Sans CJK SC"/>
        <family val="2"/>
      </rPr>
      <t xml:space="preserve">무지개빛 재촬영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별건</t>
    </r>
    <r>
      <rPr>
        <sz val="13"/>
        <rFont val="맑은 고딕"/>
        <family val="0"/>
        <charset val="1"/>
      </rPr>
      <t xml:space="preserve">): </t>
    </r>
    <r>
      <rPr>
        <sz val="13"/>
        <rFont val="Noto Sans CJK SC"/>
        <family val="2"/>
      </rPr>
      <t xml:space="preserve">조명 각도를 바꿔 색이 움직이면 광학 효과</t>
    </r>
  </si>
  <si>
    <r>
      <rPr>
        <b val="true"/>
        <sz val="15"/>
        <rFont val="맑은 고딕"/>
        <family val="0"/>
        <charset val="1"/>
      </rPr>
      <t xml:space="preserve">4. </t>
    </r>
    <r>
      <rPr>
        <b val="true"/>
        <sz val="15"/>
        <rFont val="Noto Sans CJK SC"/>
        <family val="2"/>
      </rPr>
      <t xml:space="preserve">판정 기준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미리 정함</t>
    </r>
    <r>
      <rPr>
        <b val="true"/>
        <sz val="15"/>
        <rFont val="맑은 고딕"/>
        <family val="0"/>
        <charset val="1"/>
      </rPr>
      <t xml:space="preserve">)</t>
    </r>
  </si>
  <si>
    <t xml:space="preserve">•</t>
  </si>
  <si>
    <r>
      <rPr>
        <sz val="13"/>
        <rFont val="Noto Sans CJK SC"/>
        <family val="2"/>
      </rPr>
      <t xml:space="preserve">형상별로 두 </t>
    </r>
    <r>
      <rPr>
        <sz val="13"/>
        <rFont val="맑은 고딕"/>
        <family val="0"/>
        <charset val="1"/>
      </rPr>
      <t xml:space="preserve">RPM </t>
    </r>
    <r>
      <rPr>
        <sz val="13"/>
        <rFont val="Noto Sans CJK SC"/>
        <family val="2"/>
      </rPr>
      <t xml:space="preserve">의 치핑 최대 폭 평균 차이가 시편 간 흩어짐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최대−최소</t>
    </r>
    <r>
      <rPr>
        <sz val="13"/>
        <rFont val="맑은 고딕"/>
        <family val="0"/>
        <charset val="1"/>
      </rPr>
      <t xml:space="preserve">)</t>
    </r>
    <r>
      <rPr>
        <sz val="13"/>
        <rFont val="Noto Sans CJK SC"/>
        <family val="2"/>
      </rPr>
      <t xml:space="preserve">보다 크면 「차이 있음」 — </t>
    </r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개씩이라 통계 검정은 하지 않는다</t>
    </r>
  </si>
  <si>
    <r>
      <rPr>
        <sz val="13"/>
        <rFont val="Noto Sans CJK SC"/>
        <family val="2"/>
      </rPr>
      <t xml:space="preserve">블라인드 순위 평균과 측정값이 같은 방향이면 결과를 「실측 검증」으로 올리고 휠 페이지 </t>
    </r>
    <r>
      <rPr>
        <sz val="13"/>
        <rFont val="맑은 고딕"/>
        <family val="0"/>
        <charset val="1"/>
      </rPr>
      <t xml:space="preserve">§6 </t>
    </r>
    <r>
      <rPr>
        <sz val="13"/>
        <rFont val="Noto Sans CJK SC"/>
        <family val="2"/>
      </rPr>
      <t xml:space="preserve">기준값 후보로 등재 </t>
    </r>
    <r>
      <rPr>
        <sz val="13"/>
        <rFont val="맑은 고딕"/>
        <family val="0"/>
        <charset val="1"/>
      </rPr>
      <t xml:space="preserve">· </t>
    </r>
    <r>
      <rPr>
        <sz val="13"/>
        <rFont val="Noto Sans CJK SC"/>
        <family val="2"/>
      </rPr>
      <t xml:space="preserve">양산 적용은 그 뒤 별도 결정</t>
    </r>
  </si>
  <si>
    <t xml:space="preserve">방향이 엇갈리면 결론 보류 — 시편 수를 늘리거나 이송을 한 단계 바꿔 재시험</t>
  </si>
  <si>
    <r>
      <rPr>
        <i val="true"/>
        <sz val="13"/>
        <color rgb="FF808080"/>
        <rFont val="Noto Sans CJK SC"/>
        <family val="2"/>
      </rPr>
      <t xml:space="preserve">근거</t>
    </r>
    <r>
      <rPr>
        <i val="true"/>
        <sz val="13"/>
        <color rgb="FF808080"/>
        <rFont val="맑은 고딕"/>
        <family val="0"/>
        <charset val="1"/>
      </rPr>
      <t xml:space="preserve">: [[comparisons/5</t>
    </r>
    <r>
      <rPr>
        <i val="true"/>
        <sz val="13"/>
        <color rgb="FF808080"/>
        <rFont val="Noto Sans CJK SC"/>
        <family val="2"/>
      </rPr>
      <t xml:space="preserve">도휠</t>
    </r>
    <r>
      <rPr>
        <i val="true"/>
        <sz val="13"/>
        <color rgb="FF808080"/>
        <rFont val="맑은 고딕"/>
        <family val="0"/>
        <charset val="1"/>
      </rPr>
      <t xml:space="preserve">-</t>
    </r>
    <r>
      <rPr>
        <i val="true"/>
        <sz val="13"/>
        <color rgb="FF808080"/>
        <rFont val="Noto Sans CJK SC"/>
        <family val="2"/>
      </rPr>
      <t xml:space="preserve">갭</t>
    </r>
    <r>
      <rPr>
        <i val="true"/>
        <sz val="13"/>
        <color rgb="FF808080"/>
        <rFont val="맑은 고딕"/>
        <family val="0"/>
        <charset val="1"/>
      </rPr>
      <t xml:space="preserve">-RPM</t>
    </r>
    <r>
      <rPr>
        <i val="true"/>
        <sz val="13"/>
        <color rgb="FF808080"/>
        <rFont val="Noto Sans CJK SC"/>
        <family val="2"/>
      </rPr>
      <t xml:space="preserve">시험</t>
    </r>
    <r>
      <rPr>
        <i val="true"/>
        <sz val="13"/>
        <color rgb="FF808080"/>
        <rFont val="맑은 고딕"/>
        <family val="0"/>
        <charset val="1"/>
      </rPr>
      <t xml:space="preserve">-</t>
    </r>
    <r>
      <rPr>
        <i val="true"/>
        <sz val="13"/>
        <color rgb="FF808080"/>
        <rFont val="Noto Sans CJK SC"/>
        <family val="2"/>
      </rPr>
      <t xml:space="preserve">신뢰도</t>
    </r>
    <r>
      <rPr>
        <i val="true"/>
        <sz val="13"/>
        <color rgb="FF808080"/>
        <rFont val="맑은 고딕"/>
        <family val="0"/>
        <charset val="1"/>
      </rPr>
      <t xml:space="preserve">-</t>
    </r>
    <r>
      <rPr>
        <i val="true"/>
        <sz val="13"/>
        <color rgb="FF808080"/>
        <rFont val="Noto Sans CJK SC"/>
        <family val="2"/>
      </rPr>
      <t xml:space="preserve">검토</t>
    </r>
    <r>
      <rPr>
        <i val="true"/>
        <sz val="13"/>
        <color rgb="FF808080"/>
        <rFont val="맑은 고딕"/>
        <family val="0"/>
        <charset val="1"/>
      </rPr>
      <t xml:space="preserve">-2026-10]] §5 · [[</t>
    </r>
    <r>
      <rPr>
        <i val="true"/>
        <sz val="13"/>
        <color rgb="FF808080"/>
        <rFont val="Noto Sans CJK SC"/>
        <family val="2"/>
      </rPr>
      <t xml:space="preserve">휠</t>
    </r>
    <r>
      <rPr>
        <i val="true"/>
        <sz val="13"/>
        <color rgb="FF808080"/>
        <rFont val="맑은 고딕"/>
        <family val="0"/>
        <charset val="1"/>
      </rPr>
      <t xml:space="preserve">-5</t>
    </r>
    <r>
      <rPr>
        <i val="true"/>
        <sz val="13"/>
        <color rgb="FF808080"/>
        <rFont val="Noto Sans CJK SC"/>
        <family val="2"/>
      </rPr>
      <t xml:space="preserve">도</t>
    </r>
    <r>
      <rPr>
        <i val="true"/>
        <sz val="13"/>
        <color rgb="FF808080"/>
        <rFont val="맑은 고딕"/>
        <family val="0"/>
        <charset val="1"/>
      </rPr>
      <t xml:space="preserve">-Ø125-1-2]] §6.4 · tasks P2 </t>
    </r>
    <r>
      <rPr>
        <i val="true"/>
        <sz val="13"/>
        <color rgb="FF808080"/>
        <rFont val="Noto Sans CJK SC"/>
        <family val="2"/>
      </rPr>
      <t xml:space="preserve">「</t>
    </r>
    <r>
      <rPr>
        <i val="true"/>
        <sz val="13"/>
        <color rgb="FF808080"/>
        <rFont val="맑은 고딕"/>
        <family val="0"/>
        <charset val="1"/>
      </rPr>
      <t xml:space="preserve">5</t>
    </r>
    <r>
      <rPr>
        <i val="true"/>
        <sz val="13"/>
        <color rgb="FF808080"/>
        <rFont val="Noto Sans CJK SC"/>
        <family val="2"/>
      </rPr>
      <t xml:space="preserve">도 </t>
    </r>
    <r>
      <rPr>
        <i val="true"/>
        <sz val="13"/>
        <color rgb="FF808080"/>
        <rFont val="맑은 고딕"/>
        <family val="0"/>
        <charset val="1"/>
      </rPr>
      <t xml:space="preserve">Ø125 </t>
    </r>
    <r>
      <rPr>
        <i val="true"/>
        <sz val="13"/>
        <color rgb="FF808080"/>
        <rFont val="Noto Sans CJK SC"/>
        <family val="2"/>
      </rPr>
      <t xml:space="preserve">휠 갭 </t>
    </r>
    <r>
      <rPr>
        <i val="true"/>
        <sz val="13"/>
        <color rgb="FF808080"/>
        <rFont val="맑은 고딕"/>
        <family val="0"/>
        <charset val="1"/>
      </rPr>
      <t xml:space="preserve">RPM </t>
    </r>
    <r>
      <rPr>
        <i val="true"/>
        <sz val="13"/>
        <color rgb="FF808080"/>
        <rFont val="Noto Sans CJK SC"/>
        <family val="2"/>
      </rPr>
      <t xml:space="preserve">후속 시험」 </t>
    </r>
    <r>
      <rPr>
        <i val="true"/>
        <sz val="13"/>
        <color rgb="FF808080"/>
        <rFont val="맑은 고딕"/>
        <family val="0"/>
        <charset val="1"/>
      </rPr>
      <t xml:space="preserve">(2026-10-27 Cowork </t>
    </r>
    <r>
      <rPr>
        <i val="true"/>
        <sz val="13"/>
        <color rgb="FF808080"/>
        <rFont val="Noto Sans CJK SC"/>
        <family val="2"/>
      </rPr>
      <t xml:space="preserve">작성</t>
    </r>
    <r>
      <rPr>
        <i val="true"/>
        <sz val="13"/>
        <color rgb="FF808080"/>
        <rFont val="맑은 고딕"/>
        <family val="0"/>
        <charset val="1"/>
      </rPr>
      <t xml:space="preserve">)</t>
    </r>
  </si>
  <si>
    <r>
      <rPr>
        <b val="true"/>
        <sz val="22"/>
        <rFont val="Noto Sans CJK SC"/>
        <family val="2"/>
      </rPr>
      <t xml:space="preserve">시험 기록표 — 갭 </t>
    </r>
    <r>
      <rPr>
        <b val="true"/>
        <sz val="22"/>
        <rFont val="맑은 고딕"/>
        <family val="0"/>
        <charset val="1"/>
      </rPr>
      <t xml:space="preserve">RPM 2,900 vs 3,200</t>
    </r>
  </si>
  <si>
    <r>
      <rPr>
        <i val="true"/>
        <sz val="13"/>
        <color rgb="FF808080"/>
        <rFont val="Noto Sans CJK SC"/>
        <family val="2"/>
      </rPr>
      <t xml:space="preserve">노란 칸을 채운다 </t>
    </r>
    <r>
      <rPr>
        <i val="true"/>
        <sz val="13"/>
        <color rgb="FF808080"/>
        <rFont val="맑은 고딕"/>
        <family val="0"/>
        <charset val="1"/>
      </rPr>
      <t xml:space="preserve">· 3</t>
    </r>
    <r>
      <rPr>
        <i val="true"/>
        <sz val="13"/>
        <color rgb="FF808080"/>
        <rFont val="Noto Sans CJK SC"/>
        <family val="2"/>
      </rPr>
      <t xml:space="preserve">행은 형식 예시</t>
    </r>
    <r>
      <rPr>
        <i val="true"/>
        <sz val="13"/>
        <color rgb="FF808080"/>
        <rFont val="맑은 고딕"/>
        <family val="0"/>
        <charset val="1"/>
      </rPr>
      <t xml:space="preserve">(</t>
    </r>
    <r>
      <rPr>
        <i val="true"/>
        <sz val="13"/>
        <color rgb="FF808080"/>
        <rFont val="Noto Sans CJK SC"/>
        <family val="2"/>
      </rPr>
      <t xml:space="preserve">회색</t>
    </r>
    <r>
      <rPr>
        <i val="true"/>
        <sz val="13"/>
        <color rgb="FF808080"/>
        <rFont val="맑은 고딕"/>
        <family val="0"/>
        <charset val="1"/>
      </rPr>
      <t xml:space="preserve">, </t>
    </r>
    <r>
      <rPr>
        <i val="true"/>
        <sz val="13"/>
        <color rgb="FF808080"/>
        <rFont val="Noto Sans CJK SC"/>
        <family val="2"/>
      </rPr>
      <t xml:space="preserve">집계 제외</t>
    </r>
    <r>
      <rPr>
        <i val="true"/>
        <sz val="13"/>
        <color rgb="FF808080"/>
        <rFont val="맑은 고딕"/>
        <family val="0"/>
        <charset val="1"/>
      </rPr>
      <t xml:space="preserve">) · RPM · </t>
    </r>
    <r>
      <rPr>
        <i val="true"/>
        <sz val="13"/>
        <color rgb="FF808080"/>
        <rFont val="Noto Sans CJK SC"/>
        <family val="2"/>
      </rPr>
      <t xml:space="preserve">원주속도 열</t>
    </r>
    <r>
      <rPr>
        <i val="true"/>
        <sz val="13"/>
        <color rgb="FF808080"/>
        <rFont val="맑은 고딕"/>
        <family val="0"/>
        <charset val="1"/>
      </rPr>
      <t xml:space="preserve">(R ~ T)</t>
    </r>
    <r>
      <rPr>
        <i val="true"/>
        <sz val="13"/>
        <color rgb="FF808080"/>
        <rFont val="Noto Sans CJK SC"/>
        <family val="2"/>
      </rPr>
      <t xml:space="preserve">은 판정 끝날 때까지 접어 둔다</t>
    </r>
  </si>
  <si>
    <t xml:space="preserve">예시</t>
  </si>
  <si>
    <t xml:space="preserve">X0</t>
  </si>
  <si>
    <t xml:space="preserve">평</t>
  </si>
  <si>
    <t xml:space="preserve">P-0</t>
  </si>
  <si>
    <t xml:space="preserve">2026-11-03 09:10</t>
  </si>
  <si>
    <t xml:space="preserve">다운</t>
  </si>
  <si>
    <r>
      <rPr>
        <i val="true"/>
        <sz val="13"/>
        <color rgb="FF808080"/>
        <rFont val="Noto Sans CJK SC"/>
        <family val="2"/>
      </rPr>
      <t xml:space="preserve">수용성 </t>
    </r>
    <r>
      <rPr>
        <i val="true"/>
        <sz val="13"/>
        <color rgb="FF808080"/>
        <rFont val="맑은 고딕"/>
        <family val="0"/>
        <charset val="1"/>
      </rPr>
      <t xml:space="preserve">5</t>
    </r>
  </si>
  <si>
    <r>
      <rPr>
        <i val="true"/>
        <sz val="13"/>
        <color rgb="FF808080"/>
        <rFont val="맑은 고딕"/>
        <family val="0"/>
        <charset val="1"/>
      </rPr>
      <t xml:space="preserve">X0_</t>
    </r>
    <r>
      <rPr>
        <i val="true"/>
        <sz val="13"/>
        <color rgb="FF808080"/>
        <rFont val="Noto Sans CJK SC"/>
        <family val="2"/>
      </rPr>
      <t xml:space="preserve">날끝</t>
    </r>
    <r>
      <rPr>
        <i val="true"/>
        <sz val="13"/>
        <color rgb="FF808080"/>
        <rFont val="맑은 고딕"/>
        <family val="0"/>
        <charset val="1"/>
      </rPr>
      <t xml:space="preserve">.jpg</t>
    </r>
  </si>
  <si>
    <t xml:space="preserve">예시 — 집계 제외</t>
  </si>
  <si>
    <t xml:space="preserve">순서</t>
  </si>
  <si>
    <t xml:space="preserve">블라인드 코드</t>
  </si>
  <si>
    <t xml:space="preserve">형상</t>
  </si>
  <si>
    <t xml:space="preserve">시편 번호</t>
  </si>
  <si>
    <t xml:space="preserve">가공 일시</t>
  </si>
  <si>
    <r>
      <rPr>
        <b val="true"/>
        <sz val="13"/>
        <rFont val="Noto Sans CJK SC"/>
        <family val="2"/>
      </rPr>
      <t xml:space="preserve">이송 </t>
    </r>
    <r>
      <rPr>
        <b val="true"/>
        <sz val="13"/>
        <rFont val="맑은 고딕"/>
        <family val="0"/>
        <charset val="1"/>
      </rPr>
      <t xml:space="preserve">vf (mm/min)</t>
    </r>
  </si>
  <si>
    <r>
      <rPr>
        <b val="true"/>
        <sz val="13"/>
        <rFont val="Noto Sans CJK SC"/>
        <family val="2"/>
      </rPr>
      <t xml:space="preserve">절입 </t>
    </r>
    <r>
      <rPr>
        <b val="true"/>
        <sz val="13"/>
        <rFont val="맑은 고딕"/>
        <family val="0"/>
        <charset val="1"/>
      </rPr>
      <t xml:space="preserve">ae (mm)</t>
    </r>
  </si>
  <si>
    <r>
      <rPr>
        <b val="true"/>
        <sz val="13"/>
        <rFont val="Noto Sans CJK SC"/>
        <family val="2"/>
      </rPr>
      <t xml:space="preserve">휠 회전 방향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업</t>
    </r>
    <r>
      <rPr>
        <b val="true"/>
        <sz val="13"/>
        <rFont val="맑은 고딕"/>
        <family val="0"/>
        <charset val="1"/>
      </rPr>
      <t xml:space="preserve">/</t>
    </r>
    <r>
      <rPr>
        <b val="true"/>
        <sz val="13"/>
        <rFont val="Noto Sans CJK SC"/>
        <family val="2"/>
      </rPr>
      <t xml:space="preserve">다운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</si>
  <si>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13"/>
        <rFont val="Noto Sans CJK SC"/>
        <family val="2"/>
      </rPr>
      <t xml:space="preserve">스핀들 부하 </t>
    </r>
    <r>
      <rPr>
        <b val="true"/>
        <sz val="13"/>
        <rFont val="맑은 고딕"/>
        <family val="0"/>
        <charset val="1"/>
      </rPr>
      <t xml:space="preserve">(%)</t>
    </r>
  </si>
  <si>
    <r>
      <rPr>
        <b val="true"/>
        <sz val="13"/>
        <rFont val="Noto Sans CJK SC"/>
        <family val="2"/>
      </rPr>
      <t xml:space="preserve">쿨런트 </t>
    </r>
    <r>
      <rPr>
        <b val="true"/>
        <sz val="13"/>
        <rFont val="맑은 고딕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농도 </t>
    </r>
    <r>
      <rPr>
        <b val="true"/>
        <sz val="13"/>
        <rFont val="맑은 고딕"/>
        <family val="0"/>
        <charset val="1"/>
      </rPr>
      <t xml:space="preserve">(%)</t>
    </r>
  </si>
  <si>
    <r>
      <rPr>
        <b val="true"/>
        <sz val="13"/>
        <rFont val="Noto Sans CJK SC"/>
        <family val="2"/>
      </rPr>
      <t xml:space="preserve">사이클타임 </t>
    </r>
    <r>
      <rPr>
        <b val="true"/>
        <sz val="13"/>
        <rFont val="맑은 고딕"/>
        <family val="0"/>
        <charset val="1"/>
      </rPr>
      <t xml:space="preserve">(s)</t>
    </r>
  </si>
  <si>
    <r>
      <rPr>
        <b val="true"/>
        <sz val="13"/>
        <rFont val="Noto Sans CJK SC"/>
        <family val="2"/>
      </rPr>
      <t xml:space="preserve">치핑 최대 폭 </t>
    </r>
    <r>
      <rPr>
        <b val="true"/>
        <sz val="13"/>
        <rFont val="맑은 고딕"/>
        <family val="0"/>
        <charset val="1"/>
      </rPr>
      <t xml:space="preserve">(μm)</t>
    </r>
  </si>
  <si>
    <r>
      <rPr>
        <b val="true"/>
        <sz val="13"/>
        <rFont val="Noto Sans CJK SC"/>
        <family val="2"/>
      </rPr>
      <t xml:space="preserve">갭 면 </t>
    </r>
    <r>
      <rPr>
        <b val="true"/>
        <sz val="13"/>
        <rFont val="맑은 고딕"/>
        <family val="0"/>
        <charset val="1"/>
      </rPr>
      <t xml:space="preserve">Ra (μm)</t>
    </r>
  </si>
  <si>
    <t xml:space="preserve">사진 파일명</t>
  </si>
  <si>
    <t xml:space="preserve">비고</t>
  </si>
  <si>
    <t xml:space="preserve">RPM (rpm)</t>
  </si>
  <si>
    <t xml:space="preserve">Vc (m/s)</t>
  </si>
  <si>
    <t xml:space="preserve">Q'w (mm³/(mm·s))</t>
  </si>
  <si>
    <t xml:space="preserve">K7</t>
  </si>
  <si>
    <t xml:space="preserve">P-1</t>
  </si>
  <si>
    <t xml:space="preserve">M2</t>
  </si>
  <si>
    <t xml:space="preserve">P-2</t>
  </si>
  <si>
    <t xml:space="preserve">Q5</t>
  </si>
  <si>
    <t xml:space="preserve">P-3</t>
  </si>
  <si>
    <t xml:space="preserve">D8</t>
  </si>
  <si>
    <t xml:space="preserve">P-4</t>
  </si>
  <si>
    <t xml:space="preserve">T3</t>
  </si>
  <si>
    <t xml:space="preserve">P-5</t>
  </si>
  <si>
    <t xml:space="preserve">W6</t>
  </si>
  <si>
    <t xml:space="preserve">P-6</t>
  </si>
  <si>
    <t xml:space="preserve">H4</t>
  </si>
  <si>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R</t>
    </r>
  </si>
  <si>
    <t xml:space="preserve">C-1</t>
  </si>
  <si>
    <t xml:space="preserve">R9</t>
  </si>
  <si>
    <t xml:space="preserve">C-2</t>
  </si>
  <si>
    <t xml:space="preserve">B1</t>
  </si>
  <si>
    <t xml:space="preserve">C-3</t>
  </si>
  <si>
    <t xml:space="preserve">N5</t>
  </si>
  <si>
    <t xml:space="preserve">C-4</t>
  </si>
  <si>
    <t xml:space="preserve">F2</t>
  </si>
  <si>
    <t xml:space="preserve">C-5</t>
  </si>
  <si>
    <t xml:space="preserve">J8</t>
  </si>
  <si>
    <t xml:space="preserve">C-6</t>
  </si>
  <si>
    <r>
      <rPr>
        <b val="true"/>
        <sz val="22"/>
        <rFont val="Noto Sans CJK SC"/>
        <family val="2"/>
      </rPr>
      <t xml:space="preserve">블라인드 판정 — 사진만 보고 순위</t>
    </r>
    <r>
      <rPr>
        <b val="true"/>
        <sz val="22"/>
        <rFont val="맑은 고딕"/>
        <family val="0"/>
        <charset val="1"/>
      </rPr>
      <t xml:space="preserve">(1 = </t>
    </r>
    <r>
      <rPr>
        <b val="true"/>
        <sz val="22"/>
        <rFont val="Noto Sans CJK SC"/>
        <family val="2"/>
      </rPr>
      <t xml:space="preserve">가장 좋음</t>
    </r>
    <r>
      <rPr>
        <b val="true"/>
        <sz val="22"/>
        <rFont val="맑은 고딕"/>
        <family val="0"/>
        <charset val="1"/>
      </rPr>
      <t xml:space="preserve">)</t>
    </r>
  </si>
  <si>
    <r>
      <rPr>
        <i val="true"/>
        <sz val="13"/>
        <color rgb="FF808080"/>
        <rFont val="Noto Sans CJK SC"/>
        <family val="2"/>
      </rPr>
      <t xml:space="preserve">형상별로 </t>
    </r>
    <r>
      <rPr>
        <i val="true"/>
        <sz val="13"/>
        <color rgb="FF808080"/>
        <rFont val="맑은 고딕"/>
        <family val="0"/>
        <charset val="1"/>
      </rPr>
      <t xml:space="preserve">6</t>
    </r>
    <r>
      <rPr>
        <i val="true"/>
        <sz val="13"/>
        <color rgb="FF808080"/>
        <rFont val="Noto Sans CJK SC"/>
        <family val="2"/>
      </rPr>
      <t xml:space="preserve">장씩 순위를 매긴 뒤에만 </t>
    </r>
    <r>
      <rPr>
        <i val="true"/>
        <sz val="13"/>
        <color rgb="FF808080"/>
        <rFont val="맑은 고딕"/>
        <family val="0"/>
        <charset val="1"/>
      </rPr>
      <t xml:space="preserve">RPM </t>
    </r>
    <r>
      <rPr>
        <i val="true"/>
        <sz val="13"/>
        <color rgb="FF808080"/>
        <rFont val="Noto Sans CJK SC"/>
        <family val="2"/>
      </rPr>
      <t xml:space="preserve">열을 본다</t>
    </r>
    <r>
      <rPr>
        <i val="true"/>
        <sz val="13"/>
        <color rgb="FF808080"/>
        <rFont val="맑은 고딕"/>
        <family val="0"/>
        <charset val="1"/>
      </rPr>
      <t xml:space="preserve">. </t>
    </r>
    <r>
      <rPr>
        <i val="true"/>
        <sz val="13"/>
        <color rgb="FF808080"/>
        <rFont val="Noto Sans CJK SC"/>
        <family val="2"/>
      </rPr>
      <t xml:space="preserve">날 끝 </t>
    </r>
    <r>
      <rPr>
        <i val="true"/>
        <sz val="13"/>
        <color rgb="FF808080"/>
        <rFont val="맑은 고딕"/>
        <family val="0"/>
        <charset val="1"/>
      </rPr>
      <t xml:space="preserve">· </t>
    </r>
    <r>
      <rPr>
        <i val="true"/>
        <sz val="13"/>
        <color rgb="FF808080"/>
        <rFont val="Noto Sans CJK SC"/>
        <family val="2"/>
      </rPr>
      <t xml:space="preserve">갭 면을 따로 매긴다</t>
    </r>
    <r>
      <rPr>
        <i val="true"/>
        <sz val="13"/>
        <color rgb="FF808080"/>
        <rFont val="맑은 고딕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</si>
  <si>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날 끝 순위 </t>
    </r>
    <r>
      <rPr>
        <b val="true"/>
        <sz val="13"/>
        <rFont val="맑은 고딕"/>
        <family val="0"/>
        <charset val="1"/>
      </rPr>
      <t xml:space="preserve">(1~6)</t>
    </r>
  </si>
  <si>
    <r>
      <rPr>
        <b val="true"/>
        <sz val="13"/>
        <rFont val="Noto Sans CJK SC"/>
        <family val="2"/>
      </rPr>
      <t xml:space="preserve">갭 면 순위 </t>
    </r>
    <r>
      <rPr>
        <b val="true"/>
        <sz val="13"/>
        <rFont val="맑은 고딕"/>
        <family val="0"/>
        <charset val="1"/>
      </rPr>
      <t xml:space="preserve">(1~6)</t>
    </r>
  </si>
  <si>
    <t xml:space="preserve">판정자</t>
  </si>
  <si>
    <r>
      <rPr>
        <b val="true"/>
        <sz val="13"/>
        <rFont val="맑은 고딕"/>
        <family val="0"/>
        <charset val="1"/>
      </rPr>
      <t xml:space="preserve">RPM (</t>
    </r>
    <r>
      <rPr>
        <b val="true"/>
        <sz val="13"/>
        <rFont val="Noto Sans CJK SC"/>
        <family val="2"/>
      </rPr>
      <t xml:space="preserve">판정 후 공개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</si>
  <si>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22"/>
        <rFont val="Noto Sans CJK SC"/>
        <family val="2"/>
      </rPr>
      <t xml:space="preserve">집계 — 형상 </t>
    </r>
    <r>
      <rPr>
        <b val="true"/>
        <sz val="22"/>
        <rFont val="맑은 고딕"/>
        <family val="0"/>
        <charset val="1"/>
      </rPr>
      <t xml:space="preserve">× RPM</t>
    </r>
  </si>
  <si>
    <r>
      <rPr>
        <i val="true"/>
        <sz val="13"/>
        <color rgb="FF808080"/>
        <rFont val="Noto Sans CJK SC"/>
        <family val="2"/>
      </rPr>
      <t xml:space="preserve">값이 비어 있으면 「</t>
    </r>
    <r>
      <rPr>
        <i val="true"/>
        <sz val="13"/>
        <color rgb="FF808080"/>
        <rFont val="맑은 고딕"/>
        <family val="0"/>
        <charset val="1"/>
      </rPr>
      <t xml:space="preserve">-</t>
    </r>
    <r>
      <rPr>
        <i val="true"/>
        <sz val="13"/>
        <color rgb="FF808080"/>
        <rFont val="Noto Sans CJK SC"/>
        <family val="2"/>
      </rPr>
      <t xml:space="preserve">」</t>
    </r>
    <r>
      <rPr>
        <i val="true"/>
        <sz val="13"/>
        <color rgb="FF808080"/>
        <rFont val="맑은 고딕"/>
        <family val="0"/>
        <charset val="1"/>
      </rPr>
      <t xml:space="preserve">. </t>
    </r>
    <r>
      <rPr>
        <i val="true"/>
        <sz val="13"/>
        <color rgb="FF808080"/>
        <rFont val="Noto Sans CJK SC"/>
        <family val="2"/>
      </rPr>
      <t xml:space="preserve">시편 </t>
    </r>
    <r>
      <rPr>
        <i val="true"/>
        <sz val="13"/>
        <color rgb="FF808080"/>
        <rFont val="맑은 고딕"/>
        <family val="0"/>
        <charset val="1"/>
      </rPr>
      <t xml:space="preserve">3</t>
    </r>
    <r>
      <rPr>
        <i val="true"/>
        <sz val="13"/>
        <color rgb="FF808080"/>
        <rFont val="Noto Sans CJK SC"/>
        <family val="2"/>
      </rPr>
      <t xml:space="preserve">개씩이라 평균 차이와 흩어짐</t>
    </r>
    <r>
      <rPr>
        <i val="true"/>
        <sz val="13"/>
        <color rgb="FF808080"/>
        <rFont val="맑은 고딕"/>
        <family val="0"/>
        <charset val="1"/>
      </rPr>
      <t xml:space="preserve">(</t>
    </r>
    <r>
      <rPr>
        <i val="true"/>
        <sz val="13"/>
        <color rgb="FF808080"/>
        <rFont val="Noto Sans CJK SC"/>
        <family val="2"/>
      </rPr>
      <t xml:space="preserve">최대−최소</t>
    </r>
    <r>
      <rPr>
        <i val="true"/>
        <sz val="13"/>
        <color rgb="FF808080"/>
        <rFont val="맑은 고딕"/>
        <family val="0"/>
        <charset val="1"/>
      </rPr>
      <t xml:space="preserve">)</t>
    </r>
    <r>
      <rPr>
        <i val="true"/>
        <sz val="13"/>
        <color rgb="FF808080"/>
        <rFont val="Noto Sans CJK SC"/>
        <family val="2"/>
      </rPr>
      <t xml:space="preserve">을 나란히 본다</t>
    </r>
    <r>
      <rPr>
        <i val="true"/>
        <sz val="13"/>
        <color rgb="FF808080"/>
        <rFont val="맑은 고딕"/>
        <family val="0"/>
        <charset val="1"/>
      </rPr>
      <t xml:space="preserve">.</t>
    </r>
  </si>
  <si>
    <t xml:space="preserve">시편 수</t>
  </si>
  <si>
    <r>
      <rPr>
        <b val="true"/>
        <sz val="13"/>
        <rFont val="Noto Sans CJK SC"/>
        <family val="2"/>
      </rPr>
      <t xml:space="preserve">치핑 최대 폭 평균 </t>
    </r>
    <r>
      <rPr>
        <b val="true"/>
        <sz val="13"/>
        <rFont val="맑은 고딕"/>
        <family val="0"/>
        <charset val="1"/>
      </rPr>
      <t xml:space="preserve">(μm)</t>
    </r>
  </si>
  <si>
    <r>
      <rPr>
        <b val="true"/>
        <sz val="13"/>
        <rFont val="Noto Sans CJK SC"/>
        <family val="2"/>
      </rPr>
      <t xml:space="preserve">치핑 최대−최소 </t>
    </r>
    <r>
      <rPr>
        <b val="true"/>
        <sz val="13"/>
        <rFont val="맑은 고딕"/>
        <family val="0"/>
        <charset val="1"/>
      </rPr>
      <t xml:space="preserve">(μm)</t>
    </r>
  </si>
  <si>
    <r>
      <rPr>
        <b val="true"/>
        <sz val="13"/>
        <rFont val="맑은 고딕"/>
        <family val="0"/>
        <charset val="1"/>
      </rPr>
      <t xml:space="preserve">Ra </t>
    </r>
    <r>
      <rPr>
        <b val="true"/>
        <sz val="13"/>
        <rFont val="Noto Sans CJK SC"/>
        <family val="2"/>
      </rPr>
      <t xml:space="preserve">평균 </t>
    </r>
    <r>
      <rPr>
        <b val="true"/>
        <sz val="13"/>
        <rFont val="맑은 고딕"/>
        <family val="0"/>
        <charset val="1"/>
      </rPr>
      <t xml:space="preserve">(μm)</t>
    </r>
  </si>
  <si>
    <r>
      <rPr>
        <b val="true"/>
        <sz val="13"/>
        <rFont val="Noto Sans CJK SC"/>
        <family val="2"/>
      </rPr>
      <t xml:space="preserve">스핀들 부하 평균 </t>
    </r>
    <r>
      <rPr>
        <b val="true"/>
        <sz val="13"/>
        <rFont val="맑은 고딕"/>
        <family val="0"/>
        <charset val="1"/>
      </rPr>
      <t xml:space="preserve">(%)</t>
    </r>
  </si>
  <si>
    <t xml:space="preserve">날 끝 순위 평균</t>
  </si>
  <si>
    <t xml:space="preserve">갭 면 순위 평균</t>
  </si>
  <si>
    <r>
      <rPr>
        <i val="true"/>
        <sz val="13"/>
        <color rgb="FF808080"/>
        <rFont val="Noto Sans CJK SC"/>
        <family val="2"/>
      </rPr>
      <t xml:space="preserve">판정은 시험계획 </t>
    </r>
    <r>
      <rPr>
        <i val="true"/>
        <sz val="13"/>
        <color rgb="FF808080"/>
        <rFont val="맑은 고딕"/>
        <family val="0"/>
        <charset val="1"/>
      </rPr>
      <t xml:space="preserve">§4 </t>
    </r>
    <r>
      <rPr>
        <i val="true"/>
        <sz val="13"/>
        <color rgb="FF808080"/>
        <rFont val="Noto Sans CJK SC"/>
        <family val="2"/>
      </rPr>
      <t xml:space="preserve">기준을 따른다</t>
    </r>
    <r>
      <rPr>
        <i val="true"/>
        <sz val="13"/>
        <color rgb="FF808080"/>
        <rFont val="맑은 고딕"/>
        <family val="0"/>
        <charset val="1"/>
      </rPr>
      <t xml:space="preserve">. </t>
    </r>
    <r>
      <rPr>
        <i val="true"/>
        <sz val="13"/>
        <color rgb="FF808080"/>
        <rFont val="Noto Sans CJK SC"/>
        <family val="2"/>
      </rPr>
      <t xml:space="preserve">결과는 휠 페이지 </t>
    </r>
    <r>
      <rPr>
        <i val="true"/>
        <sz val="13"/>
        <color rgb="FF808080"/>
        <rFont val="맑은 고딕"/>
        <family val="0"/>
        <charset val="1"/>
      </rPr>
      <t xml:space="preserve">§6.4 </t>
    </r>
    <r>
      <rPr>
        <i val="true"/>
        <sz val="13"/>
        <color rgb="FF808080"/>
        <rFont val="Noto Sans CJK SC"/>
        <family val="2"/>
      </rPr>
      <t xml:space="preserve">아래 새 절로 기록</t>
    </r>
    <r>
      <rPr>
        <i val="true"/>
        <sz val="13"/>
        <color rgb="FF808080"/>
        <rFont val="맑은 고딕"/>
        <family val="0"/>
        <charset val="1"/>
      </rPr>
      <t xml:space="preserve">(</t>
    </r>
    <r>
      <rPr>
        <i val="true"/>
        <sz val="13"/>
        <color rgb="FF808080"/>
        <rFont val="Noto Sans CJK SC"/>
        <family val="2"/>
      </rPr>
      <t xml:space="preserve">기존 </t>
    </r>
    <r>
      <rPr>
        <i val="true"/>
        <sz val="13"/>
        <color rgb="FF808080"/>
        <rFont val="맑은 고딕"/>
        <family val="0"/>
        <charset val="1"/>
      </rPr>
      <t xml:space="preserve">10-19 </t>
    </r>
    <r>
      <rPr>
        <i val="true"/>
        <sz val="13"/>
        <color rgb="FF808080"/>
        <rFont val="Noto Sans CJK SC"/>
        <family val="2"/>
      </rPr>
      <t xml:space="preserve">기록은 지우지 않음</t>
    </r>
    <r>
      <rPr>
        <i val="true"/>
        <sz val="13"/>
        <color rgb="FF808080"/>
        <rFont val="맑은 고딕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</si>
</sst>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맑은 고딕"/>
      <family val="0"/>
      <charset val="1"/>
    </font>
    <font>
      <b val="true"/>
      <sz val="22"/>
      <name val="Noto Sans CJK SC"/>
      <family val="2"/>
    </font>
    <font>
      <sz val="13"/>
      <name val="Noto Sans CJK SC"/>
      <family val="2"/>
    </font>
    <font>
      <sz val="13"/>
      <name val="맑은 고딕"/>
      <family val="0"/>
      <charset val="1"/>
    </font>
    <font>
      <i val="true"/>
      <sz val="13"/>
      <color rgb="FF808080"/>
      <name val="Noto Sans CJK SC"/>
      <family val="2"/>
    </font>
    <font>
      <i val="true"/>
      <sz val="13"/>
      <color rgb="FF808080"/>
      <name val="맑은 고딕"/>
      <family val="0"/>
      <charset val="1"/>
    </font>
    <font>
      <b val="true"/>
      <sz val="15"/>
      <name val="맑은 고딕"/>
      <family val="0"/>
      <charset val="1"/>
    </font>
    <font>
      <b val="true"/>
      <sz val="15"/>
      <name val="Noto Sans CJK SC"/>
      <family val="2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13"/>
      <color rgb="FF0000FF"/>
      <name val="맑은 고딕"/>
      <family val="0"/>
      <charset val="1"/>
    </font>
    <font>
      <sz val="13"/>
      <color rgb="FF0000FF"/>
      <name val="Noto Sans CJK SC"/>
      <family val="2"/>
    </font>
    <font>
      <sz val="10"/>
      <name val="Noto Sans CJK SC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30"/>
  </cols>
  <sheetData>
    <row r="1" customFormat="false" ht="32.8" hidden="false" customHeight="false" outlineLevel="0" collapsed="false">
      <c r="A1" s="1" t="s">
        <v>0</v>
      </c>
    </row>
    <row r="2" customFormat="false" ht="20.1" hidden="false" customHeight="false" outlineLevel="0" collapsed="false">
      <c r="A2" s="2" t="s">
        <v>1</v>
      </c>
    </row>
    <row r="3" customFormat="false" ht="20.1" hidden="false" customHeight="false" outlineLevel="0" collapsed="false">
      <c r="A3" s="3" t="s">
        <v>2</v>
      </c>
    </row>
    <row r="5" customFormat="false" ht="23.1" hidden="false" customHeight="false" outlineLevel="0" collapsed="false">
      <c r="A5" s="4" t="s">
        <v>3</v>
      </c>
    </row>
    <row r="6" customFormat="false" ht="20.1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38.8" hidden="false" customHeight="false" outlineLevel="0" collapsed="false">
      <c r="A7" s="6" t="s">
        <v>8</v>
      </c>
      <c r="B7" s="7" t="s">
        <v>9</v>
      </c>
      <c r="C7" s="6"/>
      <c r="D7" s="8" t="s">
        <v>10</v>
      </c>
    </row>
    <row r="8" customFormat="false" ht="38.8" hidden="false" customHeight="false" outlineLevel="0" collapsed="false">
      <c r="A8" s="6" t="s">
        <v>11</v>
      </c>
      <c r="B8" s="7" t="s">
        <v>12</v>
      </c>
      <c r="C8" s="6"/>
      <c r="D8" s="8" t="s">
        <v>13</v>
      </c>
    </row>
    <row r="9" customFormat="false" ht="57.45" hidden="false" customHeight="false" outlineLevel="0" collapsed="false">
      <c r="A9" s="6" t="s">
        <v>14</v>
      </c>
      <c r="B9" s="7" t="n">
        <v>125</v>
      </c>
      <c r="C9" s="8" t="s">
        <v>15</v>
      </c>
      <c r="D9" s="6" t="s">
        <v>16</v>
      </c>
    </row>
    <row r="10" customFormat="false" ht="38.8" hidden="false" customHeight="false" outlineLevel="0" collapsed="false">
      <c r="A10" s="6" t="s">
        <v>17</v>
      </c>
      <c r="B10" s="7" t="n">
        <v>0.32</v>
      </c>
      <c r="C10" s="8" t="s">
        <v>15</v>
      </c>
      <c r="D10" s="8" t="s">
        <v>18</v>
      </c>
    </row>
    <row r="11" customFormat="false" ht="53.7" hidden="false" customHeight="false" outlineLevel="0" collapsed="false">
      <c r="A11" s="6" t="s">
        <v>19</v>
      </c>
      <c r="B11" s="9"/>
      <c r="C11" s="8" t="s">
        <v>20</v>
      </c>
      <c r="D11" s="6" t="s">
        <v>21</v>
      </c>
    </row>
    <row r="12" customFormat="false" ht="53.7" hidden="false" customHeight="false" outlineLevel="0" collapsed="false">
      <c r="A12" s="6" t="s">
        <v>22</v>
      </c>
      <c r="B12" s="9"/>
      <c r="C12" s="8" t="s">
        <v>20</v>
      </c>
      <c r="D12" s="6" t="s">
        <v>23</v>
      </c>
    </row>
    <row r="13" customFormat="false" ht="57.45" hidden="false" customHeight="false" outlineLevel="0" collapsed="false">
      <c r="A13" s="6" t="s">
        <v>24</v>
      </c>
      <c r="B13" s="7" t="n">
        <v>25</v>
      </c>
      <c r="C13" s="8" t="s">
        <v>25</v>
      </c>
      <c r="D13" s="6" t="s">
        <v>26</v>
      </c>
    </row>
    <row r="14" customFormat="false" ht="57.45" hidden="false" customHeight="false" outlineLevel="0" collapsed="false">
      <c r="A14" s="6" t="s">
        <v>27</v>
      </c>
      <c r="B14" s="10" t="s">
        <v>28</v>
      </c>
      <c r="C14" s="6"/>
      <c r="D14" s="6" t="s">
        <v>29</v>
      </c>
    </row>
    <row r="15" customFormat="false" ht="57.45" hidden="false" customHeight="false" outlineLevel="0" collapsed="false">
      <c r="A15" s="6" t="s">
        <v>30</v>
      </c>
      <c r="B15" s="10" t="s">
        <v>31</v>
      </c>
      <c r="C15" s="6"/>
      <c r="D15" s="6" t="s">
        <v>32</v>
      </c>
    </row>
    <row r="16" customFormat="false" ht="38.8" hidden="false" customHeight="false" outlineLevel="0" collapsed="false">
      <c r="A16" s="6" t="s">
        <v>33</v>
      </c>
      <c r="B16" s="9"/>
      <c r="C16" s="6"/>
      <c r="D16" s="6" t="s">
        <v>34</v>
      </c>
    </row>
    <row r="18" customFormat="false" ht="23.1" hidden="false" customHeight="false" outlineLevel="0" collapsed="false">
      <c r="A18" s="4" t="s">
        <v>35</v>
      </c>
    </row>
    <row r="19" customFormat="false" ht="35.05" hidden="false" customHeight="false" outlineLevel="0" collapsed="false">
      <c r="A19" s="11" t="s">
        <v>36</v>
      </c>
      <c r="B19" s="11" t="s">
        <v>37</v>
      </c>
      <c r="C19" s="11" t="s">
        <v>38</v>
      </c>
      <c r="D19" s="5" t="s">
        <v>39</v>
      </c>
      <c r="E19" s="11" t="s">
        <v>40</v>
      </c>
      <c r="F19" s="11" t="s">
        <v>41</v>
      </c>
    </row>
    <row r="20" customFormat="false" ht="20.1" hidden="false" customHeight="false" outlineLevel="0" collapsed="false">
      <c r="A20" s="12" t="s">
        <v>42</v>
      </c>
      <c r="B20" s="13" t="n">
        <v>2900</v>
      </c>
      <c r="C20" s="14" t="n">
        <f aca="false">PI()*$B$9*B20/60000</f>
        <v>18.9804556154383</v>
      </c>
      <c r="D20" s="12" t="str">
        <f aca="false">IF(C20&lt;=$B$13,"OK","❌ 상한 초과")</f>
        <v>OK</v>
      </c>
      <c r="E20" s="15" t="str">
        <f aca="false">IF($B$11="","이송 입력 전",$B$10*$B$11/60)</f>
        <v>이송 입력 전</v>
      </c>
      <c r="F20" s="15" t="str">
        <f aca="false">IF($B$12="","이송 입력 전",$B$10*$B$12/60)</f>
        <v>이송 입력 전</v>
      </c>
    </row>
    <row r="21" customFormat="false" ht="20.1" hidden="false" customHeight="false" outlineLevel="0" collapsed="false">
      <c r="A21" s="12" t="s">
        <v>43</v>
      </c>
      <c r="B21" s="13" t="n">
        <v>3200</v>
      </c>
      <c r="C21" s="14" t="n">
        <f aca="false">PI()*$B$9*B21/60000</f>
        <v>20.943951023932</v>
      </c>
      <c r="D21" s="12" t="str">
        <f aca="false">IF(C21&lt;=$B$13,"OK","❌ 상한 초과")</f>
        <v>OK</v>
      </c>
      <c r="E21" s="15" t="str">
        <f aca="false">IF($B$11="","이송 입력 전",$B$10*$B$11/60)</f>
        <v>이송 입력 전</v>
      </c>
      <c r="F21" s="15" t="str">
        <f aca="false">IF($B$12="","이송 입력 전",$B$10*$B$12/60)</f>
        <v>이송 입력 전</v>
      </c>
    </row>
    <row r="23" customFormat="false" ht="20.1" hidden="false" customHeight="false" outlineLevel="0" collapsed="false">
      <c r="A23" s="3" t="s">
        <v>44</v>
      </c>
    </row>
    <row r="25" customFormat="false" ht="23.1" hidden="false" customHeight="false" outlineLevel="0" collapsed="false">
      <c r="A25" s="4" t="s">
        <v>45</v>
      </c>
    </row>
    <row r="26" customFormat="false" ht="20.1" hidden="false" customHeight="false" outlineLevel="0" collapsed="false">
      <c r="A26" s="3" t="s">
        <v>46</v>
      </c>
    </row>
    <row r="27" customFormat="false" ht="20.1" hidden="false" customHeight="true" outlineLevel="0" collapsed="false">
      <c r="A27" s="16" t="s">
        <v>47</v>
      </c>
      <c r="B27" s="17" t="s">
        <v>48</v>
      </c>
      <c r="C27" s="17"/>
      <c r="D27" s="17"/>
      <c r="E27" s="17"/>
      <c r="F27" s="17"/>
    </row>
    <row r="28" customFormat="false" ht="20.1" hidden="false" customHeight="true" outlineLevel="0" collapsed="false">
      <c r="A28" s="16" t="s">
        <v>49</v>
      </c>
      <c r="B28" s="17" t="s">
        <v>50</v>
      </c>
      <c r="C28" s="17"/>
      <c r="D28" s="17"/>
      <c r="E28" s="17"/>
      <c r="F28" s="17"/>
    </row>
    <row r="29" customFormat="false" ht="20.1" hidden="false" customHeight="true" outlineLevel="0" collapsed="false">
      <c r="A29" s="16" t="s">
        <v>51</v>
      </c>
      <c r="B29" s="17" t="s">
        <v>52</v>
      </c>
      <c r="C29" s="17"/>
      <c r="D29" s="17"/>
      <c r="E29" s="17"/>
      <c r="F29" s="17"/>
    </row>
    <row r="30" customFormat="false" ht="20.1" hidden="false" customHeight="true" outlineLevel="0" collapsed="false">
      <c r="A30" s="16" t="s">
        <v>53</v>
      </c>
      <c r="B30" s="17" t="s">
        <v>54</v>
      </c>
      <c r="C30" s="17"/>
      <c r="D30" s="17"/>
      <c r="E30" s="17"/>
      <c r="F30" s="17"/>
    </row>
    <row r="31" customFormat="false" ht="20.1" hidden="false" customHeight="true" outlineLevel="0" collapsed="false">
      <c r="A31" s="16" t="s">
        <v>55</v>
      </c>
      <c r="B31" s="17" t="s">
        <v>56</v>
      </c>
      <c r="C31" s="17"/>
      <c r="D31" s="17"/>
      <c r="E31" s="17"/>
      <c r="F31" s="17"/>
    </row>
    <row r="32" customFormat="false" ht="20.1" hidden="false" customHeight="true" outlineLevel="0" collapsed="false">
      <c r="A32" s="16" t="s">
        <v>57</v>
      </c>
      <c r="B32" s="17" t="s">
        <v>58</v>
      </c>
      <c r="C32" s="17"/>
      <c r="D32" s="17"/>
      <c r="E32" s="17"/>
      <c r="F32" s="17"/>
    </row>
    <row r="33" customFormat="false" ht="20.1" hidden="false" customHeight="true" outlineLevel="0" collapsed="false">
      <c r="A33" s="16" t="s">
        <v>59</v>
      </c>
      <c r="B33" s="17" t="s">
        <v>60</v>
      </c>
      <c r="C33" s="17"/>
      <c r="D33" s="17"/>
      <c r="E33" s="17"/>
      <c r="F33" s="17"/>
    </row>
    <row r="34" customFormat="false" ht="20.1" hidden="false" customHeight="true" outlineLevel="0" collapsed="false">
      <c r="A34" s="16" t="s">
        <v>61</v>
      </c>
      <c r="B34" s="18" t="s">
        <v>62</v>
      </c>
      <c r="C34" s="18"/>
      <c r="D34" s="18"/>
      <c r="E34" s="18"/>
      <c r="F34" s="18"/>
    </row>
    <row r="36" customFormat="false" ht="23.1" hidden="false" customHeight="false" outlineLevel="0" collapsed="false">
      <c r="A36" s="4" t="s">
        <v>63</v>
      </c>
    </row>
    <row r="37" customFormat="false" ht="20.1" hidden="false" customHeight="true" outlineLevel="0" collapsed="false">
      <c r="A37" s="0" t="s">
        <v>64</v>
      </c>
      <c r="B37" s="17" t="s">
        <v>65</v>
      </c>
      <c r="C37" s="17"/>
      <c r="D37" s="17"/>
      <c r="E37" s="17"/>
      <c r="F37" s="17"/>
    </row>
    <row r="38" customFormat="false" ht="20.1" hidden="false" customHeight="true" outlineLevel="0" collapsed="false">
      <c r="A38" s="0" t="s">
        <v>64</v>
      </c>
      <c r="B38" s="17" t="s">
        <v>66</v>
      </c>
      <c r="C38" s="17"/>
      <c r="D38" s="17"/>
      <c r="E38" s="17"/>
      <c r="F38" s="17"/>
    </row>
    <row r="39" customFormat="false" ht="20.1" hidden="false" customHeight="true" outlineLevel="0" collapsed="false">
      <c r="A39" s="0" t="s">
        <v>64</v>
      </c>
      <c r="B39" s="17" t="s">
        <v>67</v>
      </c>
      <c r="C39" s="17"/>
      <c r="D39" s="17"/>
      <c r="E39" s="17"/>
      <c r="F39" s="17"/>
    </row>
    <row r="41" customFormat="false" ht="20.1" hidden="false" customHeight="false" outlineLevel="0" collapsed="false">
      <c r="A41" s="3" t="s">
        <v>68</v>
      </c>
    </row>
  </sheetData>
  <mergeCells count="11">
    <mergeCell ref="B27:F27"/>
    <mergeCell ref="B28:F28"/>
    <mergeCell ref="B29:F29"/>
    <mergeCell ref="B30:F30"/>
    <mergeCell ref="B31:F31"/>
    <mergeCell ref="B32:F32"/>
    <mergeCell ref="B33:F33"/>
    <mergeCell ref="B34:F34"/>
    <mergeCell ref="B37:F37"/>
    <mergeCell ref="B38:F38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24"/>
    <col collapsed="false" customWidth="true" hidden="false" outlineLevel="0" max="17" min="16" style="0" width="3"/>
    <col collapsed="false" customWidth="true" hidden="true" outlineLevel="0" max="18" min="18" style="0" width="12"/>
    <col collapsed="false" customWidth="true" hidden="true" outlineLevel="0" max="19" min="19" style="0" width="10"/>
    <col collapsed="false" customWidth="true" hidden="true" outlineLevel="0" max="20" min="20" style="0" width="14"/>
  </cols>
  <sheetData>
    <row r="1" customFormat="false" ht="32.8" hidden="false" customHeight="false" outlineLevel="0" collapsed="false">
      <c r="A1" s="19" t="s">
        <v>69</v>
      </c>
    </row>
    <row r="2" customFormat="false" ht="20.1" hidden="false" customHeight="false" outlineLevel="0" collapsed="false">
      <c r="A2" s="3" t="s">
        <v>70</v>
      </c>
    </row>
    <row r="3" customFormat="false" ht="31.3" hidden="false" customHeight="false" outlineLevel="0" collapsed="false">
      <c r="A3" s="20" t="s">
        <v>71</v>
      </c>
      <c r="B3" s="21" t="s">
        <v>72</v>
      </c>
      <c r="C3" s="20" t="s">
        <v>73</v>
      </c>
      <c r="D3" s="21" t="s">
        <v>74</v>
      </c>
      <c r="E3" s="21" t="s">
        <v>75</v>
      </c>
      <c r="F3" s="20" t="n">
        <v>12</v>
      </c>
      <c r="G3" s="20" t="n">
        <v>0.32</v>
      </c>
      <c r="H3" s="20" t="s">
        <v>76</v>
      </c>
      <c r="I3" s="20" t="n">
        <v>38</v>
      </c>
      <c r="J3" s="20" t="s">
        <v>77</v>
      </c>
      <c r="K3" s="20" t="n">
        <v>95</v>
      </c>
      <c r="L3" s="20" t="n">
        <v>18</v>
      </c>
      <c r="M3" s="20" t="n">
        <v>0.35</v>
      </c>
      <c r="N3" s="21" t="s">
        <v>78</v>
      </c>
      <c r="O3" s="20" t="s">
        <v>79</v>
      </c>
    </row>
    <row r="4" customFormat="false" ht="46.25" hidden="false" customHeight="false" outlineLevel="0" collapsed="false">
      <c r="A4" s="5" t="s">
        <v>80</v>
      </c>
      <c r="B4" s="5" t="s">
        <v>81</v>
      </c>
      <c r="C4" s="5" t="s">
        <v>82</v>
      </c>
      <c r="D4" s="5" t="s">
        <v>83</v>
      </c>
      <c r="E4" s="5" t="s">
        <v>84</v>
      </c>
      <c r="F4" s="5" t="s">
        <v>85</v>
      </c>
      <c r="G4" s="5" t="s">
        <v>86</v>
      </c>
      <c r="H4" s="5" t="s">
        <v>87</v>
      </c>
      <c r="I4" s="5" t="s">
        <v>88</v>
      </c>
      <c r="J4" s="5" t="s">
        <v>89</v>
      </c>
      <c r="K4" s="5" t="s">
        <v>90</v>
      </c>
      <c r="L4" s="5" t="s">
        <v>91</v>
      </c>
      <c r="M4" s="5" t="s">
        <v>92</v>
      </c>
      <c r="N4" s="5" t="s">
        <v>93</v>
      </c>
      <c r="O4" s="5" t="s">
        <v>94</v>
      </c>
      <c r="R4" s="11" t="s">
        <v>95</v>
      </c>
      <c r="S4" s="11" t="s">
        <v>96</v>
      </c>
      <c r="T4" s="11" t="s">
        <v>97</v>
      </c>
    </row>
    <row r="5" customFormat="false" ht="20.1" hidden="false" customHeight="false" outlineLevel="0" collapsed="false">
      <c r="A5" s="12" t="n">
        <v>1</v>
      </c>
      <c r="B5" s="12" t="s">
        <v>98</v>
      </c>
      <c r="C5" s="22" t="s">
        <v>73</v>
      </c>
      <c r="D5" s="12" t="s">
        <v>99</v>
      </c>
      <c r="E5" s="23"/>
      <c r="F5" s="22" t="n">
        <f aca="false">시험계획!$B$11</f>
        <v>0</v>
      </c>
      <c r="G5" s="22" t="n">
        <f aca="false">시험계획!$B$10</f>
        <v>0.32</v>
      </c>
      <c r="H5" s="23"/>
      <c r="I5" s="23"/>
      <c r="J5" s="23"/>
      <c r="K5" s="23"/>
      <c r="L5" s="23"/>
      <c r="M5" s="23"/>
      <c r="N5" s="23"/>
      <c r="O5" s="23"/>
      <c r="R5" s="22" t="n">
        <f aca="false">시험계획!$B$20</f>
        <v>2900</v>
      </c>
      <c r="S5" s="14" t="n">
        <f aca="false">PI()*시험계획!$B$9*R5/60000</f>
        <v>18.9804556154383</v>
      </c>
      <c r="T5" s="15" t="str">
        <f aca="false">IF(F5="","",G5*F5/60)</f>
        <v/>
      </c>
    </row>
    <row r="6" customFormat="false" ht="20.1" hidden="false" customHeight="false" outlineLevel="0" collapsed="false">
      <c r="A6" s="22" t="n">
        <v>2</v>
      </c>
      <c r="B6" s="12" t="s">
        <v>100</v>
      </c>
      <c r="C6" s="22" t="s">
        <v>73</v>
      </c>
      <c r="D6" s="12" t="s">
        <v>101</v>
      </c>
      <c r="E6" s="23"/>
      <c r="F6" s="22" t="n">
        <f aca="false">시험계획!$B$11</f>
        <v>0</v>
      </c>
      <c r="G6" s="22" t="n">
        <f aca="false">시험계획!$B$10</f>
        <v>0.32</v>
      </c>
      <c r="H6" s="23"/>
      <c r="I6" s="23"/>
      <c r="J6" s="23"/>
      <c r="K6" s="23"/>
      <c r="L6" s="23"/>
      <c r="M6" s="23"/>
      <c r="N6" s="23"/>
      <c r="O6" s="23"/>
      <c r="R6" s="22" t="n">
        <f aca="false">시험계획!$B$21</f>
        <v>3200</v>
      </c>
      <c r="S6" s="14" t="n">
        <f aca="false">PI()*시험계획!$B$9*R6/60000</f>
        <v>20.943951023932</v>
      </c>
      <c r="T6" s="15" t="str">
        <f aca="false">IF(F6="","",G6*F6/60)</f>
        <v/>
      </c>
    </row>
    <row r="7" customFormat="false" ht="20.1" hidden="false" customHeight="false" outlineLevel="0" collapsed="false">
      <c r="A7" s="22" t="n">
        <v>3</v>
      </c>
      <c r="B7" s="12" t="s">
        <v>102</v>
      </c>
      <c r="C7" s="22" t="s">
        <v>73</v>
      </c>
      <c r="D7" s="12" t="s">
        <v>103</v>
      </c>
      <c r="E7" s="23"/>
      <c r="F7" s="22" t="n">
        <f aca="false">시험계획!$B$11</f>
        <v>0</v>
      </c>
      <c r="G7" s="22" t="n">
        <f aca="false">시험계획!$B$10</f>
        <v>0.32</v>
      </c>
      <c r="H7" s="23"/>
      <c r="I7" s="23"/>
      <c r="J7" s="23"/>
      <c r="K7" s="23"/>
      <c r="L7" s="23"/>
      <c r="M7" s="23"/>
      <c r="N7" s="23"/>
      <c r="O7" s="23"/>
      <c r="R7" s="22" t="n">
        <f aca="false">시험계획!$B$21</f>
        <v>3200</v>
      </c>
      <c r="S7" s="14" t="n">
        <f aca="false">PI()*시험계획!$B$9*R7/60000</f>
        <v>20.943951023932</v>
      </c>
      <c r="T7" s="15" t="str">
        <f aca="false">IF(F7="","",G7*F7/60)</f>
        <v/>
      </c>
    </row>
    <row r="8" customFormat="false" ht="20.1" hidden="false" customHeight="false" outlineLevel="0" collapsed="false">
      <c r="A8" s="22" t="n">
        <v>4</v>
      </c>
      <c r="B8" s="12" t="s">
        <v>104</v>
      </c>
      <c r="C8" s="22" t="s">
        <v>73</v>
      </c>
      <c r="D8" s="12" t="s">
        <v>105</v>
      </c>
      <c r="E8" s="23"/>
      <c r="F8" s="22" t="n">
        <f aca="false">시험계획!$B$11</f>
        <v>0</v>
      </c>
      <c r="G8" s="22" t="n">
        <f aca="false">시험계획!$B$10</f>
        <v>0.32</v>
      </c>
      <c r="H8" s="23"/>
      <c r="I8" s="23"/>
      <c r="J8" s="23"/>
      <c r="K8" s="23"/>
      <c r="L8" s="23"/>
      <c r="M8" s="23"/>
      <c r="N8" s="23"/>
      <c r="O8" s="23"/>
      <c r="R8" s="22" t="n">
        <f aca="false">시험계획!$B$20</f>
        <v>2900</v>
      </c>
      <c r="S8" s="14" t="n">
        <f aca="false">PI()*시험계획!$B$9*R8/60000</f>
        <v>18.9804556154383</v>
      </c>
      <c r="T8" s="15" t="str">
        <f aca="false">IF(F8="","",G8*F8/60)</f>
        <v/>
      </c>
    </row>
    <row r="9" customFormat="false" ht="20.1" hidden="false" customHeight="false" outlineLevel="0" collapsed="false">
      <c r="A9" s="22" t="n">
        <v>5</v>
      </c>
      <c r="B9" s="12" t="s">
        <v>106</v>
      </c>
      <c r="C9" s="22" t="s">
        <v>73</v>
      </c>
      <c r="D9" s="12" t="s">
        <v>107</v>
      </c>
      <c r="E9" s="23"/>
      <c r="F9" s="22" t="n">
        <f aca="false">시험계획!$B$11</f>
        <v>0</v>
      </c>
      <c r="G9" s="22" t="n">
        <f aca="false">시험계획!$B$10</f>
        <v>0.32</v>
      </c>
      <c r="H9" s="23"/>
      <c r="I9" s="23"/>
      <c r="J9" s="23"/>
      <c r="K9" s="23"/>
      <c r="L9" s="23"/>
      <c r="M9" s="23"/>
      <c r="N9" s="23"/>
      <c r="O9" s="23"/>
      <c r="R9" s="22" t="n">
        <f aca="false">시험계획!$B$20</f>
        <v>2900</v>
      </c>
      <c r="S9" s="14" t="n">
        <f aca="false">PI()*시험계획!$B$9*R9/60000</f>
        <v>18.9804556154383</v>
      </c>
      <c r="T9" s="15" t="str">
        <f aca="false">IF(F9="","",G9*F9/60)</f>
        <v/>
      </c>
    </row>
    <row r="10" customFormat="false" ht="20.1" hidden="false" customHeight="false" outlineLevel="0" collapsed="false">
      <c r="A10" s="22" t="n">
        <v>6</v>
      </c>
      <c r="B10" s="12" t="s">
        <v>108</v>
      </c>
      <c r="C10" s="22" t="s">
        <v>73</v>
      </c>
      <c r="D10" s="12" t="s">
        <v>109</v>
      </c>
      <c r="E10" s="23"/>
      <c r="F10" s="22" t="n">
        <f aca="false">시험계획!$B$11</f>
        <v>0</v>
      </c>
      <c r="G10" s="22" t="n">
        <f aca="false">시험계획!$B$10</f>
        <v>0.32</v>
      </c>
      <c r="H10" s="23"/>
      <c r="I10" s="23"/>
      <c r="J10" s="23"/>
      <c r="K10" s="23"/>
      <c r="L10" s="23"/>
      <c r="M10" s="23"/>
      <c r="N10" s="23"/>
      <c r="O10" s="23"/>
      <c r="R10" s="22" t="n">
        <f aca="false">시험계획!$B$21</f>
        <v>3200</v>
      </c>
      <c r="S10" s="14" t="n">
        <f aca="false">PI()*시험계획!$B$9*R10/60000</f>
        <v>20.943951023932</v>
      </c>
      <c r="T10" s="15" t="str">
        <f aca="false">IF(F10="","",G10*F10/60)</f>
        <v/>
      </c>
    </row>
    <row r="11" customFormat="false" ht="20.1" hidden="false" customHeight="false" outlineLevel="0" collapsed="false">
      <c r="A11" s="22" t="n">
        <v>7</v>
      </c>
      <c r="B11" s="12" t="s">
        <v>110</v>
      </c>
      <c r="C11" s="22" t="s">
        <v>111</v>
      </c>
      <c r="D11" s="12" t="s">
        <v>112</v>
      </c>
      <c r="E11" s="23"/>
      <c r="F11" s="22" t="n">
        <f aca="false">시험계획!$B$12</f>
        <v>0</v>
      </c>
      <c r="G11" s="22" t="n">
        <f aca="false">시험계획!$B$10</f>
        <v>0.32</v>
      </c>
      <c r="H11" s="23"/>
      <c r="I11" s="23"/>
      <c r="J11" s="23"/>
      <c r="K11" s="23"/>
      <c r="L11" s="23"/>
      <c r="M11" s="23"/>
      <c r="N11" s="23"/>
      <c r="O11" s="23"/>
      <c r="R11" s="22" t="n">
        <f aca="false">시험계획!$B$21</f>
        <v>3200</v>
      </c>
      <c r="S11" s="14" t="n">
        <f aca="false">PI()*시험계획!$B$9*R11/60000</f>
        <v>20.943951023932</v>
      </c>
      <c r="T11" s="15" t="str">
        <f aca="false">IF(F11="","",G11*F11/60)</f>
        <v/>
      </c>
    </row>
    <row r="12" customFormat="false" ht="20.1" hidden="false" customHeight="false" outlineLevel="0" collapsed="false">
      <c r="A12" s="22" t="n">
        <v>8</v>
      </c>
      <c r="B12" s="12" t="s">
        <v>113</v>
      </c>
      <c r="C12" s="22" t="s">
        <v>111</v>
      </c>
      <c r="D12" s="12" t="s">
        <v>114</v>
      </c>
      <c r="E12" s="23"/>
      <c r="F12" s="22" t="n">
        <f aca="false">시험계획!$B$12</f>
        <v>0</v>
      </c>
      <c r="G12" s="22" t="n">
        <f aca="false">시험계획!$B$10</f>
        <v>0.32</v>
      </c>
      <c r="H12" s="23"/>
      <c r="I12" s="23"/>
      <c r="J12" s="23"/>
      <c r="K12" s="23"/>
      <c r="L12" s="23"/>
      <c r="M12" s="23"/>
      <c r="N12" s="23"/>
      <c r="O12" s="23"/>
      <c r="R12" s="22" t="n">
        <f aca="false">시험계획!$B$20</f>
        <v>2900</v>
      </c>
      <c r="S12" s="14" t="n">
        <f aca="false">PI()*시험계획!$B$9*R12/60000</f>
        <v>18.9804556154383</v>
      </c>
      <c r="T12" s="15" t="str">
        <f aca="false">IF(F12="","",G12*F12/60)</f>
        <v/>
      </c>
    </row>
    <row r="13" customFormat="false" ht="20.1" hidden="false" customHeight="false" outlineLevel="0" collapsed="false">
      <c r="A13" s="22" t="n">
        <v>9</v>
      </c>
      <c r="B13" s="12" t="s">
        <v>115</v>
      </c>
      <c r="C13" s="22" t="s">
        <v>111</v>
      </c>
      <c r="D13" s="12" t="s">
        <v>116</v>
      </c>
      <c r="E13" s="23"/>
      <c r="F13" s="22" t="n">
        <f aca="false">시험계획!$B$12</f>
        <v>0</v>
      </c>
      <c r="G13" s="22" t="n">
        <f aca="false">시험계획!$B$10</f>
        <v>0.32</v>
      </c>
      <c r="H13" s="23"/>
      <c r="I13" s="23"/>
      <c r="J13" s="23"/>
      <c r="K13" s="23"/>
      <c r="L13" s="23"/>
      <c r="M13" s="23"/>
      <c r="N13" s="23"/>
      <c r="O13" s="23"/>
      <c r="R13" s="22" t="n">
        <f aca="false">시험계획!$B$20</f>
        <v>2900</v>
      </c>
      <c r="S13" s="14" t="n">
        <f aca="false">PI()*시험계획!$B$9*R13/60000</f>
        <v>18.9804556154383</v>
      </c>
      <c r="T13" s="15" t="str">
        <f aca="false">IF(F13="","",G13*F13/60)</f>
        <v/>
      </c>
    </row>
    <row r="14" customFormat="false" ht="20.1" hidden="false" customHeight="false" outlineLevel="0" collapsed="false">
      <c r="A14" s="22" t="n">
        <v>10</v>
      </c>
      <c r="B14" s="12" t="s">
        <v>117</v>
      </c>
      <c r="C14" s="22" t="s">
        <v>111</v>
      </c>
      <c r="D14" s="12" t="s">
        <v>118</v>
      </c>
      <c r="E14" s="23"/>
      <c r="F14" s="22" t="n">
        <f aca="false">시험계획!$B$12</f>
        <v>0</v>
      </c>
      <c r="G14" s="22" t="n">
        <f aca="false">시험계획!$B$10</f>
        <v>0.32</v>
      </c>
      <c r="H14" s="23"/>
      <c r="I14" s="23"/>
      <c r="J14" s="23"/>
      <c r="K14" s="23"/>
      <c r="L14" s="23"/>
      <c r="M14" s="23"/>
      <c r="N14" s="23"/>
      <c r="O14" s="23"/>
      <c r="R14" s="22" t="n">
        <f aca="false">시험계획!$B$21</f>
        <v>3200</v>
      </c>
      <c r="S14" s="14" t="n">
        <f aca="false">PI()*시험계획!$B$9*R14/60000</f>
        <v>20.943951023932</v>
      </c>
      <c r="T14" s="15" t="str">
        <f aca="false">IF(F14="","",G14*F14/60)</f>
        <v/>
      </c>
    </row>
    <row r="15" customFormat="false" ht="20.1" hidden="false" customHeight="false" outlineLevel="0" collapsed="false">
      <c r="A15" s="22" t="n">
        <v>11</v>
      </c>
      <c r="B15" s="12" t="s">
        <v>119</v>
      </c>
      <c r="C15" s="22" t="s">
        <v>111</v>
      </c>
      <c r="D15" s="12" t="s">
        <v>120</v>
      </c>
      <c r="E15" s="23"/>
      <c r="F15" s="22" t="n">
        <f aca="false">시험계획!$B$12</f>
        <v>0</v>
      </c>
      <c r="G15" s="22" t="n">
        <f aca="false">시험계획!$B$10</f>
        <v>0.32</v>
      </c>
      <c r="H15" s="23"/>
      <c r="I15" s="23"/>
      <c r="J15" s="23"/>
      <c r="K15" s="23"/>
      <c r="L15" s="23"/>
      <c r="M15" s="23"/>
      <c r="N15" s="23"/>
      <c r="O15" s="23"/>
      <c r="R15" s="22" t="n">
        <f aca="false">시험계획!$B$21</f>
        <v>3200</v>
      </c>
      <c r="S15" s="14" t="n">
        <f aca="false">PI()*시험계획!$B$9*R15/60000</f>
        <v>20.943951023932</v>
      </c>
      <c r="T15" s="15" t="str">
        <f aca="false">IF(F15="","",G15*F15/60)</f>
        <v/>
      </c>
    </row>
    <row r="16" customFormat="false" ht="20.1" hidden="false" customHeight="false" outlineLevel="0" collapsed="false">
      <c r="A16" s="22" t="n">
        <v>12</v>
      </c>
      <c r="B16" s="12" t="s">
        <v>121</v>
      </c>
      <c r="C16" s="22" t="s">
        <v>111</v>
      </c>
      <c r="D16" s="12" t="s">
        <v>122</v>
      </c>
      <c r="E16" s="23"/>
      <c r="F16" s="22" t="n">
        <f aca="false">시험계획!$B$12</f>
        <v>0</v>
      </c>
      <c r="G16" s="22" t="n">
        <f aca="false">시험계획!$B$10</f>
        <v>0.32</v>
      </c>
      <c r="H16" s="23"/>
      <c r="I16" s="23"/>
      <c r="J16" s="23"/>
      <c r="K16" s="23"/>
      <c r="L16" s="23"/>
      <c r="M16" s="23"/>
      <c r="N16" s="23"/>
      <c r="O16" s="23"/>
      <c r="R16" s="22" t="n">
        <f aca="false">시험계획!$B$20</f>
        <v>2900</v>
      </c>
      <c r="S16" s="14" t="n">
        <f aca="false">PI()*시험계획!$B$9*R16/60000</f>
        <v>18.9804556154383</v>
      </c>
      <c r="T16" s="15" t="str">
        <f aca="false">IF(F16="","",G16*F16/60)</f>
        <v/>
      </c>
    </row>
  </sheetData>
  <dataValidations count="1">
    <dataValidation allowBlank="true" errorStyle="stop" operator="between" showDropDown="false" showErrorMessage="false" showInputMessage="false" sqref="H5:H16" type="list">
      <formula1>"업,다운"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true" outlineLevel="0" max="6" min="6" style="0" width="22"/>
  </cols>
  <sheetData>
    <row r="1" customFormat="false" ht="32.8" hidden="false" customHeight="false" outlineLevel="0" collapsed="false">
      <c r="A1" s="19" t="s">
        <v>123</v>
      </c>
    </row>
    <row r="2" customFormat="false" ht="20.1" hidden="false" customHeight="false" outlineLevel="0" collapsed="false">
      <c r="A2" s="3" t="s">
        <v>124</v>
      </c>
    </row>
    <row r="4" customFormat="false" ht="20.1" hidden="false" customHeight="false" outlineLevel="0" collapsed="false">
      <c r="A4" s="5" t="s">
        <v>81</v>
      </c>
      <c r="B4" s="5" t="s">
        <v>82</v>
      </c>
      <c r="C4" s="5" t="s">
        <v>125</v>
      </c>
      <c r="D4" s="5" t="s">
        <v>126</v>
      </c>
      <c r="E4" s="5" t="s">
        <v>127</v>
      </c>
      <c r="F4" s="11" t="s">
        <v>128</v>
      </c>
    </row>
    <row r="5" customFormat="false" ht="20.1" hidden="false" customHeight="false" outlineLevel="0" collapsed="false">
      <c r="A5" s="12" t="s">
        <v>98</v>
      </c>
      <c r="B5" s="22" t="s">
        <v>73</v>
      </c>
      <c r="C5" s="23"/>
      <c r="D5" s="23"/>
      <c r="E5" s="23"/>
      <c r="F5" s="22" t="n">
        <f aca="false">INDEX(기록표!$R$5:$R$16,MATCH(A5,기록표!$B$5:$B$16,0))</f>
        <v>2900</v>
      </c>
    </row>
    <row r="6" customFormat="false" ht="20.1" hidden="false" customHeight="false" outlineLevel="0" collapsed="false">
      <c r="A6" s="12" t="s">
        <v>100</v>
      </c>
      <c r="B6" s="22" t="s">
        <v>73</v>
      </c>
      <c r="C6" s="23"/>
      <c r="D6" s="23"/>
      <c r="E6" s="23"/>
      <c r="F6" s="22" t="n">
        <f aca="false">INDEX(기록표!$R$5:$R$16,MATCH(A6,기록표!$B$5:$B$16,0))</f>
        <v>3200</v>
      </c>
    </row>
    <row r="7" customFormat="false" ht="20.1" hidden="false" customHeight="false" outlineLevel="0" collapsed="false">
      <c r="A7" s="12" t="s">
        <v>102</v>
      </c>
      <c r="B7" s="22" t="s">
        <v>73</v>
      </c>
      <c r="C7" s="23"/>
      <c r="D7" s="23"/>
      <c r="E7" s="23"/>
      <c r="F7" s="22" t="n">
        <f aca="false">INDEX(기록표!$R$5:$R$16,MATCH(A7,기록표!$B$5:$B$16,0))</f>
        <v>3200</v>
      </c>
    </row>
    <row r="8" customFormat="false" ht="20.1" hidden="false" customHeight="false" outlineLevel="0" collapsed="false">
      <c r="A8" s="12" t="s">
        <v>104</v>
      </c>
      <c r="B8" s="22" t="s">
        <v>73</v>
      </c>
      <c r="C8" s="23"/>
      <c r="D8" s="23"/>
      <c r="E8" s="23"/>
      <c r="F8" s="22" t="n">
        <f aca="false">INDEX(기록표!$R$5:$R$16,MATCH(A8,기록표!$B$5:$B$16,0))</f>
        <v>2900</v>
      </c>
    </row>
    <row r="9" customFormat="false" ht="20.1" hidden="false" customHeight="false" outlineLevel="0" collapsed="false">
      <c r="A9" s="12" t="s">
        <v>106</v>
      </c>
      <c r="B9" s="22" t="s">
        <v>73</v>
      </c>
      <c r="C9" s="23"/>
      <c r="D9" s="23"/>
      <c r="E9" s="23"/>
      <c r="F9" s="22" t="n">
        <f aca="false">INDEX(기록표!$R$5:$R$16,MATCH(A9,기록표!$B$5:$B$16,0))</f>
        <v>2900</v>
      </c>
    </row>
    <row r="10" customFormat="false" ht="20.1" hidden="false" customHeight="false" outlineLevel="0" collapsed="false">
      <c r="A10" s="12" t="s">
        <v>108</v>
      </c>
      <c r="B10" s="22" t="s">
        <v>73</v>
      </c>
      <c r="C10" s="23"/>
      <c r="D10" s="23"/>
      <c r="E10" s="23"/>
      <c r="F10" s="22" t="n">
        <f aca="false">INDEX(기록표!$R$5:$R$16,MATCH(A10,기록표!$B$5:$B$16,0))</f>
        <v>3200</v>
      </c>
    </row>
    <row r="11" customFormat="false" ht="20.1" hidden="false" customHeight="false" outlineLevel="0" collapsed="false">
      <c r="A11" s="12" t="s">
        <v>110</v>
      </c>
      <c r="B11" s="22" t="s">
        <v>111</v>
      </c>
      <c r="C11" s="23"/>
      <c r="D11" s="23"/>
      <c r="E11" s="23"/>
      <c r="F11" s="22" t="n">
        <f aca="false">INDEX(기록표!$R$5:$R$16,MATCH(A11,기록표!$B$5:$B$16,0))</f>
        <v>3200</v>
      </c>
    </row>
    <row r="12" customFormat="false" ht="20.1" hidden="false" customHeight="false" outlineLevel="0" collapsed="false">
      <c r="A12" s="12" t="s">
        <v>113</v>
      </c>
      <c r="B12" s="22" t="s">
        <v>111</v>
      </c>
      <c r="C12" s="23"/>
      <c r="D12" s="23"/>
      <c r="E12" s="23"/>
      <c r="F12" s="22" t="n">
        <f aca="false">INDEX(기록표!$R$5:$R$16,MATCH(A12,기록표!$B$5:$B$16,0))</f>
        <v>2900</v>
      </c>
    </row>
    <row r="13" customFormat="false" ht="20.1" hidden="false" customHeight="false" outlineLevel="0" collapsed="false">
      <c r="A13" s="12" t="s">
        <v>115</v>
      </c>
      <c r="B13" s="22" t="s">
        <v>111</v>
      </c>
      <c r="C13" s="23"/>
      <c r="D13" s="23"/>
      <c r="E13" s="23"/>
      <c r="F13" s="22" t="n">
        <f aca="false">INDEX(기록표!$R$5:$R$16,MATCH(A13,기록표!$B$5:$B$16,0))</f>
        <v>2900</v>
      </c>
    </row>
    <row r="14" customFormat="false" ht="20.1" hidden="false" customHeight="false" outlineLevel="0" collapsed="false">
      <c r="A14" s="12" t="s">
        <v>117</v>
      </c>
      <c r="B14" s="22" t="s">
        <v>111</v>
      </c>
      <c r="C14" s="23"/>
      <c r="D14" s="23"/>
      <c r="E14" s="23"/>
      <c r="F14" s="22" t="n">
        <f aca="false">INDEX(기록표!$R$5:$R$16,MATCH(A14,기록표!$B$5:$B$16,0))</f>
        <v>3200</v>
      </c>
    </row>
    <row r="15" customFormat="false" ht="20.1" hidden="false" customHeight="false" outlineLevel="0" collapsed="false">
      <c r="A15" s="12" t="s">
        <v>119</v>
      </c>
      <c r="B15" s="22" t="s">
        <v>111</v>
      </c>
      <c r="C15" s="23"/>
      <c r="D15" s="23"/>
      <c r="E15" s="23"/>
      <c r="F15" s="22" t="n">
        <f aca="false">INDEX(기록표!$R$5:$R$16,MATCH(A15,기록표!$B$5:$B$16,0))</f>
        <v>3200</v>
      </c>
    </row>
    <row r="16" customFormat="false" ht="20.1" hidden="false" customHeight="false" outlineLevel="0" collapsed="false">
      <c r="A16" s="12" t="s">
        <v>121</v>
      </c>
      <c r="B16" s="22" t="s">
        <v>111</v>
      </c>
      <c r="C16" s="23"/>
      <c r="D16" s="23"/>
      <c r="E16" s="23"/>
      <c r="F16" s="22" t="n">
        <f aca="false">INDEX(기록표!$R$5:$R$16,MATCH(A16,기록표!$B$5:$B$16,0))</f>
        <v>2900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6"/>
  </cols>
  <sheetData>
    <row r="1" customFormat="false" ht="32.8" hidden="false" customHeight="false" outlineLevel="0" collapsed="false">
      <c r="A1" s="19" t="s">
        <v>129</v>
      </c>
    </row>
    <row r="2" customFormat="false" ht="20.1" hidden="false" customHeight="false" outlineLevel="0" collapsed="false">
      <c r="A2" s="3" t="s">
        <v>130</v>
      </c>
    </row>
    <row r="4" customFormat="false" ht="35.05" hidden="false" customHeight="false" outlineLevel="0" collapsed="false">
      <c r="A4" s="5" t="s">
        <v>82</v>
      </c>
      <c r="B4" s="11" t="s">
        <v>95</v>
      </c>
      <c r="C4" s="5" t="s">
        <v>131</v>
      </c>
      <c r="D4" s="5" t="s">
        <v>132</v>
      </c>
      <c r="E4" s="5" t="s">
        <v>133</v>
      </c>
      <c r="F4" s="11" t="s">
        <v>134</v>
      </c>
      <c r="G4" s="5" t="s">
        <v>135</v>
      </c>
      <c r="H4" s="5" t="s">
        <v>136</v>
      </c>
      <c r="I4" s="5" t="s">
        <v>137</v>
      </c>
    </row>
    <row r="5" customFormat="false" ht="20.1" hidden="false" customHeight="false" outlineLevel="0" collapsed="false">
      <c r="A5" s="22" t="s">
        <v>73</v>
      </c>
      <c r="B5" s="22" t="n">
        <f aca="false">시험계획!$B$20</f>
        <v>2900</v>
      </c>
      <c r="C5" s="22" t="n">
        <f aca="false">COUNTIFS(기록표!$C$5:$C$16,A5,기록표!$R$5:$R$16,B5,기록표!$L$5:$L$16,"&lt;&gt;")</f>
        <v>0</v>
      </c>
      <c r="D5" s="24" t="str">
        <f aca="false">IFERROR(AVERAGEIFS(기록표!$L$5:$L$16,기록표!$C$5:$C$16,A5,기록표!$R$5:$R$16,B5),"-")</f>
        <v>-</v>
      </c>
      <c r="E5" s="24" t="str">
        <f aca="false">IF(C5=0,"-",_xlfn.MAXIFS(기록표!$L$5:$L$16,기록표!$C$5:$C$16,A5,기록표!$R$5:$R$16,B5)-_xlfn.MINIFS(기록표!$L$5:$L$16,기록표!$C$5:$C$16,A5,기록표!$R$5:$R$16,B5))</f>
        <v>-</v>
      </c>
      <c r="F5" s="24" t="str">
        <f aca="false">IFERROR(AVERAGEIFS(기록표!$M$5:$M$16,기록표!$C$5:$C$16,A5,기록표!$R$5:$R$16,B5),"-")</f>
        <v>-</v>
      </c>
      <c r="G5" s="24" t="str">
        <f aca="false">IFERROR(AVERAGEIFS(기록표!$I$5:$I$16,기록표!$C$5:$C$16,A5,기록표!$R$5:$R$16,B5),"-")</f>
        <v>-</v>
      </c>
      <c r="H5" s="24" t="str">
        <f aca="false">IFERROR(AVERAGEIFS('블라인드 판정'!$C$5:$C$16,'블라인드 판정'!$B$5:$B$16,A5,'블라인드 판정'!$F$5:$F$16,B5),"-")</f>
        <v>-</v>
      </c>
      <c r="I5" s="24" t="str">
        <f aca="false">IFERROR(AVERAGEIFS('블라인드 판정'!$D$5:$D$16,'블라인드 판정'!$B$5:$B$16,A5,'블라인드 판정'!$F$5:$F$16,B5),"-")</f>
        <v>-</v>
      </c>
    </row>
    <row r="6" customFormat="false" ht="20.1" hidden="false" customHeight="false" outlineLevel="0" collapsed="false">
      <c r="A6" s="22" t="s">
        <v>73</v>
      </c>
      <c r="B6" s="22" t="n">
        <f aca="false">시험계획!$B$21</f>
        <v>3200</v>
      </c>
      <c r="C6" s="22" t="n">
        <f aca="false">COUNTIFS(기록표!$C$5:$C$16,A6,기록표!$R$5:$R$16,B6,기록표!$L$5:$L$16,"&lt;&gt;")</f>
        <v>0</v>
      </c>
      <c r="D6" s="24" t="str">
        <f aca="false">IFERROR(AVERAGEIFS(기록표!$L$5:$L$16,기록표!$C$5:$C$16,A6,기록표!$R$5:$R$16,B6),"-")</f>
        <v>-</v>
      </c>
      <c r="E6" s="24" t="str">
        <f aca="false">IF(C6=0,"-",_xlfn.MAXIFS(기록표!$L$5:$L$16,기록표!$C$5:$C$16,A6,기록표!$R$5:$R$16,B6)-_xlfn.MINIFS(기록표!$L$5:$L$16,기록표!$C$5:$C$16,A6,기록표!$R$5:$R$16,B6))</f>
        <v>-</v>
      </c>
      <c r="F6" s="24" t="str">
        <f aca="false">IFERROR(AVERAGEIFS(기록표!$M$5:$M$16,기록표!$C$5:$C$16,A6,기록표!$R$5:$R$16,B6),"-")</f>
        <v>-</v>
      </c>
      <c r="G6" s="24" t="str">
        <f aca="false">IFERROR(AVERAGEIFS(기록표!$I$5:$I$16,기록표!$C$5:$C$16,A6,기록표!$R$5:$R$16,B6),"-")</f>
        <v>-</v>
      </c>
      <c r="H6" s="24" t="str">
        <f aca="false">IFERROR(AVERAGEIFS('블라인드 판정'!$C$5:$C$16,'블라인드 판정'!$B$5:$B$16,A6,'블라인드 판정'!$F$5:$F$16,B6),"-")</f>
        <v>-</v>
      </c>
      <c r="I6" s="24" t="str">
        <f aca="false">IFERROR(AVERAGEIFS('블라인드 판정'!$D$5:$D$16,'블라인드 판정'!$B$5:$B$16,A6,'블라인드 판정'!$F$5:$F$16,B6),"-")</f>
        <v>-</v>
      </c>
    </row>
    <row r="7" customFormat="false" ht="20.1" hidden="false" customHeight="false" outlineLevel="0" collapsed="false">
      <c r="A7" s="22" t="s">
        <v>111</v>
      </c>
      <c r="B7" s="22" t="n">
        <f aca="false">시험계획!$B$20</f>
        <v>2900</v>
      </c>
      <c r="C7" s="22" t="n">
        <f aca="false">COUNTIFS(기록표!$C$5:$C$16,A7,기록표!$R$5:$R$16,B7,기록표!$L$5:$L$16,"&lt;&gt;")</f>
        <v>0</v>
      </c>
      <c r="D7" s="24" t="str">
        <f aca="false">IFERROR(AVERAGEIFS(기록표!$L$5:$L$16,기록표!$C$5:$C$16,A7,기록표!$R$5:$R$16,B7),"-")</f>
        <v>-</v>
      </c>
      <c r="E7" s="24" t="str">
        <f aca="false">IF(C7=0,"-",_xlfn.MAXIFS(기록표!$L$5:$L$16,기록표!$C$5:$C$16,A7,기록표!$R$5:$R$16,B7)-_xlfn.MINIFS(기록표!$L$5:$L$16,기록표!$C$5:$C$16,A7,기록표!$R$5:$R$16,B7))</f>
        <v>-</v>
      </c>
      <c r="F7" s="24" t="str">
        <f aca="false">IFERROR(AVERAGEIFS(기록표!$M$5:$M$16,기록표!$C$5:$C$16,A7,기록표!$R$5:$R$16,B7),"-")</f>
        <v>-</v>
      </c>
      <c r="G7" s="24" t="str">
        <f aca="false">IFERROR(AVERAGEIFS(기록표!$I$5:$I$16,기록표!$C$5:$C$16,A7,기록표!$R$5:$R$16,B7),"-")</f>
        <v>-</v>
      </c>
      <c r="H7" s="24" t="str">
        <f aca="false">IFERROR(AVERAGEIFS('블라인드 판정'!$C$5:$C$16,'블라인드 판정'!$B$5:$B$16,A7,'블라인드 판정'!$F$5:$F$16,B7),"-")</f>
        <v>-</v>
      </c>
      <c r="I7" s="24" t="str">
        <f aca="false">IFERROR(AVERAGEIFS('블라인드 판정'!$D$5:$D$16,'블라인드 판정'!$B$5:$B$16,A7,'블라인드 판정'!$F$5:$F$16,B7),"-")</f>
        <v>-</v>
      </c>
    </row>
    <row r="8" customFormat="false" ht="20.1" hidden="false" customHeight="false" outlineLevel="0" collapsed="false">
      <c r="A8" s="22" t="s">
        <v>111</v>
      </c>
      <c r="B8" s="22" t="n">
        <f aca="false">시험계획!$B$21</f>
        <v>3200</v>
      </c>
      <c r="C8" s="22" t="n">
        <f aca="false">COUNTIFS(기록표!$C$5:$C$16,A8,기록표!$R$5:$R$16,B8,기록표!$L$5:$L$16,"&lt;&gt;")</f>
        <v>0</v>
      </c>
      <c r="D8" s="24" t="str">
        <f aca="false">IFERROR(AVERAGEIFS(기록표!$L$5:$L$16,기록표!$C$5:$C$16,A8,기록표!$R$5:$R$16,B8),"-")</f>
        <v>-</v>
      </c>
      <c r="E8" s="24" t="str">
        <f aca="false">IF(C8=0,"-",_xlfn.MAXIFS(기록표!$L$5:$L$16,기록표!$C$5:$C$16,A8,기록표!$R$5:$R$16,B8)-_xlfn.MINIFS(기록표!$L$5:$L$16,기록표!$C$5:$C$16,A8,기록표!$R$5:$R$16,B8))</f>
        <v>-</v>
      </c>
      <c r="F8" s="24" t="str">
        <f aca="false">IFERROR(AVERAGEIFS(기록표!$M$5:$M$16,기록표!$C$5:$C$16,A8,기록표!$R$5:$R$16,B8),"-")</f>
        <v>-</v>
      </c>
      <c r="G8" s="24" t="str">
        <f aca="false">IFERROR(AVERAGEIFS(기록표!$I$5:$I$16,기록표!$C$5:$C$16,A8,기록표!$R$5:$R$16,B8),"-")</f>
        <v>-</v>
      </c>
      <c r="H8" s="24" t="str">
        <f aca="false">IFERROR(AVERAGEIFS('블라인드 판정'!$C$5:$C$16,'블라인드 판정'!$B$5:$B$16,A8,'블라인드 판정'!$F$5:$F$16,B8),"-")</f>
        <v>-</v>
      </c>
      <c r="I8" s="24" t="str">
        <f aca="false">IFERROR(AVERAGEIFS('블라인드 판정'!$D$5:$D$16,'블라인드 판정'!$B$5:$B$16,A8,'블라인드 판정'!$F$5:$F$16,B8),"-")</f>
        <v>-</v>
      </c>
    </row>
    <row r="10" customFormat="false" ht="20.1" hidden="false" customHeight="false" outlineLevel="0" collapsed="false">
      <c r="A10" s="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2026-10-27T03:04:45Z</dcterms:created>
  <dc:creator>openpyxl</dc:creator>
  <dc:description/>
  <dc:language>en-US</dc:language>
  <cp:lastModifiedBy/>
  <dcterms:modified xsi:type="dcterms:W3CDTF">2026-10-27T03:04:45Z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