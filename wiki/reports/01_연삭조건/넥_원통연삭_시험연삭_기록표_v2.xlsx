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록표" sheetId="1" state="visible" r:id="rId1"/>
    <sheet xmlns:r="http://schemas.openxmlformats.org/officeDocument/2006/relationships" name="테스트1_요약" sheetId="2" state="visible" r:id="rId2"/>
    <sheet xmlns:r="http://schemas.openxmlformats.org/officeDocument/2006/relationships" name="테스트2_요약" sheetId="3" state="visible" r:id="rId3"/>
    <sheet xmlns:r="http://schemas.openxmlformats.org/officeDocument/2006/relationships" name="설명·근거" sheetId="4" state="visible" r:id="rId4"/>
    <sheet xmlns:r="http://schemas.openxmlformats.org/officeDocument/2006/relationships" name="변경이력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0.000"/>
    <numFmt numFmtId="167" formatCode="0.0000"/>
  </numFmts>
  <fonts count="12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595959"/>
      <sz val="9"/>
    </font>
    <font>
      <name val="맑은 고딕"/>
      <b val="1"/>
      <sz val="9"/>
    </font>
    <font>
      <name val="맑은 고딕"/>
      <b val="1"/>
      <color rgb="00FFFFFF"/>
      <sz val="9"/>
    </font>
    <font>
      <name val="맑은 고딕"/>
      <sz val="9"/>
    </font>
    <font>
      <name val="맑은 고딕"/>
      <b val="1"/>
      <color rgb="00FFFFFF"/>
      <sz val="10"/>
    </font>
    <font>
      <name val="맑은 고딕"/>
      <color rgb="00000000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sz val="13"/>
    </font>
    <font>
      <name val="맑은 고딕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6" fontId="5" fillId="5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7" fontId="5" fillId="5" borderId="1" applyAlignment="1" pivotButton="0" quotePrefix="0" xfId="0">
      <alignment vertical="center"/>
    </xf>
    <xf numFmtId="0" fontId="6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pivotButton="0" quotePrefix="0" xfId="0"/>
    <xf numFmtId="0" fontId="9" fillId="0" borderId="1" pivotButton="0" quotePrefix="0" xfId="0"/>
    <xf numFmtId="164" fontId="5" fillId="4" borderId="1" applyAlignment="1" pivotButton="0" quotePrefix="0" xfId="0">
      <alignment vertical="center"/>
    </xf>
    <xf numFmtId="165" fontId="5" fillId="4" borderId="1" applyAlignment="1" pivotButton="0" quotePrefix="0" xfId="0">
      <alignment vertical="center"/>
    </xf>
    <xf numFmtId="166" fontId="5" fillId="5" borderId="1" applyAlignment="1" pivotButton="0" quotePrefix="0" xfId="0">
      <alignment vertical="center"/>
    </xf>
    <xf numFmtId="166" fontId="5" fillId="4" borderId="1" applyAlignment="1" pivotButton="0" quotePrefix="0" xfId="0">
      <alignment vertical="center"/>
    </xf>
    <xf numFmtId="167" fontId="5" fillId="5" borderId="1" applyAlignment="1" pivotButton="0" quotePrefix="0" xfId="0">
      <alignment vertical="center"/>
    </xf>
    <xf numFmtId="0" fontId="10" fillId="0" borderId="0" pivotButton="0" quotePrefix="0" xfId="0"/>
    <xf numFmtId="0" fontId="4" fillId="3" borderId="1" applyAlignment="1" pivotButton="0" quotePrefix="0" xfId="0">
      <alignment horizontal="center" wrapText="1"/>
    </xf>
    <xf numFmtId="166" fontId="9" fillId="0" borderId="1" pivotButton="0" quotePrefix="0" xfId="0"/>
    <xf numFmtId="167" fontId="9" fillId="0" borderId="1" pivotButton="0" quotePrefix="0" xfId="0"/>
    <xf numFmtId="0" fontId="11" fillId="3" borderId="1" applyAlignment="1" pivotButton="0" quotePrefix="0" xfId="0">
      <alignment horizontal="center"/>
    </xf>
    <xf numFmtId="0" fontId="9" fillId="0" borderId="1" applyAlignment="1" pivotButton="0" quotePrefix="0" xfId="0">
      <alignment vertical="center" wrapText="1"/>
    </xf>
    <xf numFmtId="166" fontId="9" fillId="0" borderId="1" applyAlignment="1" pivotButton="0" quotePrefix="0" xfId="0">
      <alignment vertical="center" wrapText="1"/>
    </xf>
    <xf numFmtId="167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테스트 1 — 입력 vs 측정 dn (mm)</a:t>
            </a:r>
          </a:p>
        </rich>
      </tx>
    </title>
    <plotArea>
      <lineChart>
        <grouping val="standard"/>
        <ser>
          <idx val="0"/>
          <order val="0"/>
          <tx>
            <strRef>
              <f>'테스트1_요약'!B4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'테스트1_요약'!$B$5:$B$8</f>
            </numRef>
          </val>
          <smooth val="0"/>
        </ser>
        <ser>
          <idx val="1"/>
          <order val="1"/>
          <tx>
            <strRef>
              <f>'테스트1_요약'!D4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'테스트1_요약'!$D$5:$D$8</f>
            </numRef>
          </val>
          <smooth val="0"/>
        </ser>
        <ser>
          <idx val="2"/>
          <order val="2"/>
          <tx>
            <strRef>
              <f>'테스트1_요약'!E4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'테스트1_요약'!$E$5:$E$8</f>
            </numRef>
          </val>
          <smooth val="0"/>
        </ser>
        <ser>
          <idx val="3"/>
          <order val="3"/>
          <tx>
            <strRef>
              <f>'테스트1_요약'!F4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'테스트1_요약'!$F$5:$F$8</f>
            </numRef>
          </val>
          <smooth val="0"/>
        </ser>
        <ser>
          <idx val="4"/>
          <order val="4"/>
          <tx>
            <strRef>
              <f>'테스트1_요약'!G4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'테스트1_요약'!$G$5:$G$8</f>
            </numRef>
          </val>
          <smooth val="0"/>
        </ser>
        <ser>
          <idx val="5"/>
          <order val="5"/>
          <tx>
            <strRef>
              <f>'테스트1_요약'!H4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'테스트1_요약'!$A$5:$A$8</f>
            </numRef>
          </cat>
          <val>
            <numRef>
              <f>'테스트1_요약'!$H$5:$H$8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회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1"/>
          <min val="2.7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지름 (mm)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3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8" customWidth="1" min="3" max="3"/>
    <col width="16" customWidth="1" min="4" max="4"/>
    <col width="24" customWidth="1" min="5" max="5"/>
    <col width="22" customWidth="1" min="6" max="6"/>
    <col width="8" customWidth="1" min="7" max="7"/>
    <col width="12" customWidth="1" min="8" max="8"/>
    <col width="9" customWidth="1" min="9" max="9"/>
    <col width="9" customWidth="1" min="10" max="10"/>
    <col width="8" customWidth="1" min="11" max="11"/>
    <col width="13" customWidth="1" min="12" max="12"/>
    <col width="13" customWidth="1" min="13" max="13"/>
    <col width="9" customWidth="1" min="14" max="14"/>
    <col width="10" customWidth="1" min="15" max="15"/>
    <col width="10" customWidth="1" min="16" max="16"/>
    <col width="9" customWidth="1" min="17" max="17"/>
    <col width="10" customWidth="1" min="18" max="18"/>
    <col width="10" customWidth="1" min="19" max="19"/>
    <col width="10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8" customWidth="1" min="26" max="26"/>
    <col width="8" customWidth="1" min="27" max="27"/>
    <col width="10" customWidth="1" min="28" max="28"/>
    <col width="7" customWidth="1" min="29" max="29"/>
    <col width="13" customWidth="1" min="30" max="30"/>
    <col width="10" customWidth="1" min="31" max="31"/>
    <col width="8" customWidth="1" min="32" max="32"/>
    <col width="8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3" customWidth="1" min="40" max="40"/>
    <col width="9" customWidth="1" min="41" max="41"/>
    <col width="9" customWidth="1" min="42" max="42"/>
    <col width="9" customWidth="1" min="43" max="43"/>
    <col width="9" customWidth="1" min="44" max="44"/>
    <col width="14" customWidth="1" min="45" max="45"/>
    <col width="10" customWidth="1" min="46" max="46"/>
    <col width="8" customWidth="1" min="47" max="47"/>
    <col width="7" customWidth="1" min="48" max="48"/>
    <col width="16" customWidth="1" min="49" max="49"/>
    <col width="8" customWidth="1" min="50" max="50"/>
    <col width="9" customWidth="1" min="51" max="51"/>
    <col width="8" customWidth="1" min="52" max="52"/>
    <col width="8" customWidth="1" min="53" max="53"/>
    <col width="8" customWidth="1" min="54" max="54"/>
    <col width="9" customWidth="1" min="55" max="55"/>
    <col width="14" customWidth="1" min="56" max="56"/>
    <col width="8" customWidth="1" min="57" max="57"/>
    <col width="8" customWidth="1" min="58" max="58"/>
    <col width="9" customWidth="1" min="59" max="59"/>
    <col width="10" customWidth="1" min="60" max="60"/>
    <col width="22" customWidth="1" min="61" max="61"/>
    <col width="18" customWidth="1" min="62" max="62"/>
    <col width="10" customWidth="1" min="63" max="63"/>
    <col width="26" customWidth="1" min="64" max="64"/>
  </cols>
  <sheetData>
    <row r="1">
      <c r="A1" s="1" t="inlineStr">
        <is>
          <t>넥(목) 원통연삭 — 시험 연삭 기록표 v2 (2026-10-21) — 측정 3점 · 휠 상태 · 프로그램 파일명 추가</t>
        </is>
      </c>
    </row>
    <row r="2">
      <c r="A2" s="2" t="inlineStr">
        <is>
          <t>노란 칸 = 입력 · 회색 칸 = 자동 계산 · 공구 1개 = 1행 · 조건을 바꾸면 새 행(기존 행 수정 금지) · 시각 KST · 측정값이 들어간 행의 신뢰도 = 실측 검증 · v2: 측정 위치 = 날장 진입 / 목 중간 / 테이퍼 진입(경계 거리 병기) · 진원도·Ra 미측정은 「측정 안 함(장비 미정)」 · 시험마다 휠 상태 기록 (decisions 2026-10-21 (6)·(7))</t>
        </is>
      </c>
    </row>
    <row r="3">
      <c r="A3" s="3" t="inlineStr">
        <is>
          <t>시험</t>
        </is>
      </c>
      <c r="H3" s="3" t="inlineStr">
        <is>
          <t>휠</t>
        </is>
      </c>
      <c r="M3" s="3" t="inlineStr">
        <is>
          <t>휠 상태</t>
        </is>
      </c>
      <c r="Y3" s="3" t="inlineStr">
        <is>
          <t>이송</t>
        </is>
      </c>
      <c r="AF3" s="3" t="inlineStr">
        <is>
          <t>넥 치수</t>
        </is>
      </c>
      <c r="AU3" s="3" t="inlineStr">
        <is>
          <t>품질</t>
        </is>
      </c>
      <c r="BA3" s="3" t="inlineStr">
        <is>
          <t>시간</t>
        </is>
      </c>
      <c r="BD3" s="3" t="inlineStr">
        <is>
          <t>측정·설비</t>
        </is>
      </c>
      <c r="BH3" s="3" t="inlineStr">
        <is>
          <t>판정</t>
        </is>
      </c>
    </row>
    <row r="4" ht="48" customHeight="1">
      <c r="A4" s="4" t="inlineStr">
        <is>
          <t>시험 번호</t>
        </is>
      </c>
      <c r="B4" s="4" t="inlineStr">
        <is>
          <t>날짜</t>
        </is>
      </c>
      <c r="C4" s="4" t="inlineStr">
        <is>
          <t>시각 (KST)</t>
        </is>
      </c>
      <c r="D4" s="4" t="inlineStr">
        <is>
          <t>공구</t>
        </is>
      </c>
      <c r="E4" s="4" t="inlineStr">
        <is>
          <t>프로그램 (.tom 파일명)</t>
        </is>
      </c>
      <c r="F4" s="4" t="inlineStr">
        <is>
          <t>단계 / 패스 구성</t>
        </is>
      </c>
      <c r="G4" s="4" t="inlineStr">
        <is>
          <t>장비</t>
        </is>
      </c>
      <c r="H4" s="4" t="inlineStr">
        <is>
          <t>휠 (Pack / Wheel)</t>
        </is>
      </c>
      <c r="I4" s="4" t="inlineStr">
        <is>
          <t>휠 지름 (mm, Vc 계산용)</t>
        </is>
      </c>
      <c r="J4" s="4" t="inlineStr">
        <is>
          <t>휠 회전수 (rpm)</t>
        </is>
      </c>
      <c r="K4" s="4" t="inlineStr">
        <is>
          <t>Vc (m/s)</t>
        </is>
      </c>
      <c r="L4" s="4" t="inlineStr">
        <is>
          <t>Vc 판정</t>
        </is>
      </c>
      <c r="M4" s="4" t="inlineStr">
        <is>
          <t>마지막 드레싱 (일시)</t>
        </is>
      </c>
      <c r="N4" s="4" t="inlineStr">
        <is>
          <t>드레싱 후 가공 수 (개)</t>
        </is>
      </c>
      <c r="O4" s="4" t="inlineStr">
        <is>
          <t>휠 지름 실측 드레싱 전 (mm)</t>
        </is>
      </c>
      <c r="P4" s="4" t="inlineStr">
        <is>
          <t>휠 지름 실측 드레싱 후 (mm)</t>
        </is>
      </c>
      <c r="Q4" s="4" t="inlineStr">
        <is>
          <t>지름 감소 (μm)</t>
        </is>
      </c>
      <c r="R4" s="4" t="inlineStr">
        <is>
          <t>휠 폭 실측 드레싱 전 (mm)</t>
        </is>
      </c>
      <c r="S4" s="4" t="inlineStr">
        <is>
          <t>휠 폭 실측 드레싱 후 (mm)</t>
        </is>
      </c>
      <c r="T4" s="4" t="inlineStr">
        <is>
          <t>Qualify 지름 (mm)</t>
        </is>
      </c>
      <c r="U4" s="4" t="inlineStr">
        <is>
          <t>Qualify 폭 (mm)</t>
        </is>
      </c>
      <c r="V4" s="4" t="inlineStr">
        <is>
          <t>Qualify Front (mm)</t>
        </is>
      </c>
      <c r="W4" s="4" t="inlineStr">
        <is>
          <t>Qualify Back (mm)</t>
        </is>
      </c>
      <c r="X4" s="4" t="inlineStr">
        <is>
          <t>iBalance (휠 밸런스)</t>
        </is>
      </c>
      <c r="Y4" s="4" t="inlineStr">
        <is>
          <t>이송 vf (mm/min)</t>
        </is>
      </c>
      <c r="Z4" s="4" t="inlineStr">
        <is>
          <t>A Spin (rpm)</t>
        </is>
      </c>
      <c r="AA4" s="4" t="inlineStr">
        <is>
          <t>fa (mm/rev)</t>
        </is>
      </c>
      <c r="AB4" s="4" t="inlineStr">
        <is>
          <t>황삭 절입 (mm/패스, 반경)</t>
        </is>
      </c>
      <c r="AC4" s="4" t="inlineStr">
        <is>
          <t>패스 수</t>
        </is>
      </c>
      <c r="AD4" s="4" t="inlineStr">
        <is>
          <t>절입 판정</t>
        </is>
      </c>
      <c r="AE4" s="4" t="inlineStr">
        <is>
          <t>쿨런트</t>
        </is>
      </c>
      <c r="AF4" s="4" t="inlineStr">
        <is>
          <t>D 날지름 (mm)</t>
        </is>
      </c>
      <c r="AG4" s="4" t="inlineStr">
        <is>
          <t>dn 목표 (mm)</t>
        </is>
      </c>
      <c r="AH4" s="4" t="inlineStr">
        <is>
          <t>dn ① 날장 진입 (mm)</t>
        </is>
      </c>
      <c r="AI4" s="4" t="inlineStr">
        <is>
          <t>dn ② 목 중간 (mm)</t>
        </is>
      </c>
      <c r="AJ4" s="4" t="inlineStr">
        <is>
          <t>dn ③ 테이퍼 진입 (mm)</t>
        </is>
      </c>
      <c r="AK4" s="4" t="inlineStr">
        <is>
          <t>① 위치: 날장 경계에서 (mm)</t>
        </is>
      </c>
      <c r="AL4" s="4" t="inlineStr">
        <is>
          <t>② 위치: 날장 경계에서 (mm)</t>
        </is>
      </c>
      <c r="AM4" s="4" t="inlineStr">
        <is>
          <t>③ 위치: 테이퍼 경계에서 (mm)</t>
        </is>
      </c>
      <c r="AN4" s="4" t="inlineStr">
        <is>
          <t>측정 X ①/②/③ (mm, v1 기록)</t>
        </is>
      </c>
      <c r="AO4" s="4" t="inlineStr">
        <is>
          <t>dn 평균 (mm)</t>
        </is>
      </c>
      <c r="AP4" s="4" t="inlineStr">
        <is>
          <t>목표 대비 (μm)</t>
        </is>
      </c>
      <c r="AQ4" s="4" t="inlineStr">
        <is>
          <t>①~③ 차 (μm)</t>
        </is>
      </c>
      <c r="AR4" s="4" t="inlineStr">
        <is>
          <t>넥 비율 dn÷D</t>
        </is>
      </c>
      <c r="AS4" s="4" t="inlineStr">
        <is>
          <t>비율 판정</t>
        </is>
      </c>
      <c r="AT4" s="4" t="inlineStr">
        <is>
          <t>굽힘 강성 비 (dn÷D)⁴</t>
        </is>
      </c>
      <c r="AU4" s="4" t="inlineStr">
        <is>
          <t>진원도 (μm)</t>
        </is>
      </c>
      <c r="AV4" s="4" t="inlineStr">
        <is>
          <t>Ra (μm)</t>
        </is>
      </c>
      <c r="AW4" s="4" t="inlineStr">
        <is>
          <t>날장 진입 턱 / 테이퍼 연결부</t>
        </is>
      </c>
      <c r="AX4" s="4" t="inlineStr">
        <is>
          <t>치핑 (유/무)</t>
        </is>
      </c>
      <c r="AY4" s="4" t="inlineStr">
        <is>
          <t>머리 Ø D 손상 (유/무)</t>
        </is>
      </c>
      <c r="AZ4" s="4" t="inlineStr">
        <is>
          <t>스핀들 부하 (%)</t>
        </is>
      </c>
      <c r="BA4" s="4" t="inlineStr">
        <is>
          <t>사이클 실측 (분)</t>
        </is>
      </c>
      <c r="BB4" s="4" t="inlineStr">
        <is>
          <t>CIM3D 표시 (분)</t>
        </is>
      </c>
      <c r="BC4" s="4" t="inlineStr">
        <is>
          <t>정삭 1패스 계산 (분)</t>
        </is>
      </c>
      <c r="BD4" s="4" t="inlineStr">
        <is>
          <t>측정 장비</t>
        </is>
      </c>
      <c r="BE4" s="4" t="inlineStr">
        <is>
          <t>런아웃 (μm)</t>
        </is>
      </c>
      <c r="BF4" s="4" t="inlineStr">
        <is>
          <t>쿨런트 농도 (%)</t>
        </is>
      </c>
      <c r="BG4" s="4" t="inlineStr">
        <is>
          <t>예열 (유/무·분)</t>
        </is>
      </c>
      <c r="BH4" s="4" t="inlineStr">
        <is>
          <t>현장 판정</t>
        </is>
      </c>
      <c r="BI4" s="4" t="inlineStr">
        <is>
          <t>다음 조치</t>
        </is>
      </c>
      <c r="BJ4" s="4" t="inlineStr">
        <is>
          <t>사진 파일명</t>
        </is>
      </c>
      <c r="BK4" s="4" t="inlineStr">
        <is>
          <t>신뢰도</t>
        </is>
      </c>
      <c r="BL4" s="4" t="inlineStr">
        <is>
          <t>비고</t>
        </is>
      </c>
    </row>
    <row r="5">
      <c r="A5" s="5" t="inlineStr">
        <is>
          <t>T1</t>
        </is>
      </c>
      <c r="B5" s="17" t="n"/>
      <c r="C5" s="5" t="n"/>
      <c r="D5" s="7" t="inlineStr">
        <is>
          <t>2JJCR 040 010 200</t>
        </is>
      </c>
      <c r="E5" s="5" t="n"/>
      <c r="F5" s="7" t="inlineStr">
        <is>
          <t>정삭 1패스 (Δr 0.075)</t>
        </is>
      </c>
      <c r="G5" s="5" t="n"/>
      <c r="H5" s="5" t="inlineStr">
        <is>
          <t>Pack 1 / Wheel 1</t>
        </is>
      </c>
      <c r="I5" s="5" t="n"/>
      <c r="J5" s="5" t="n">
        <v>3000</v>
      </c>
      <c r="K5" s="8">
        <f>IF(OR(I5="",J5=""),"",ROUND(PI()*I5*J5/60000,1))</f>
        <v/>
      </c>
      <c r="L5" s="8">
        <f>IF(K5="",IF(J5="","","휠 지름 입력"),IF(K5&gt;30,"⚠️ 고속 &gt;30",IF(K5&gt;25,"⚠️ 사내 상한 25 초과","OK ≤25")))</f>
        <v/>
      </c>
      <c r="M5" s="5" t="n"/>
      <c r="N5" s="5" t="n"/>
      <c r="O5" s="5" t="n"/>
      <c r="P5" s="5" t="n"/>
      <c r="Q5" s="8">
        <f>IF(COUNT(O5,P5)&lt;2,"",ROUND((O5-P5)*1000,1))</f>
        <v/>
      </c>
      <c r="R5" s="5" t="n"/>
      <c r="S5" s="5" t="n"/>
      <c r="T5" s="5" t="n"/>
      <c r="U5" s="5" t="n"/>
      <c r="V5" s="5" t="n"/>
      <c r="W5" s="5" t="n"/>
      <c r="X5" s="5" t="n"/>
      <c r="Y5" s="18" t="n">
        <v>2</v>
      </c>
      <c r="Z5" s="5" t="n">
        <v>25</v>
      </c>
      <c r="AA5" s="19">
        <f>IF(OR(Y5="",Z5="",Z5=0),"",ROUND(Y5/Z5,3))</f>
        <v/>
      </c>
      <c r="AB5" s="20" t="n">
        <v>0.075</v>
      </c>
      <c r="AC5" s="5" t="n">
        <v>1</v>
      </c>
      <c r="AD5" s="8">
        <f>IF(AB5="","",IF(AB5&gt;0.075*1.5,"⚠️ 고절입 &gt;150%",IF(AB5&gt;0.075,"⚠️ 0.075 초과","실적 범위")))</f>
        <v/>
      </c>
      <c r="AE5" s="5" t="n"/>
      <c r="AF5" s="20" t="n">
        <v>4</v>
      </c>
      <c r="AG5" s="20" t="n">
        <v>3.85</v>
      </c>
      <c r="AH5" s="20" t="n"/>
      <c r="AI5" s="20" t="n"/>
      <c r="AJ5" s="20" t="n"/>
      <c r="AK5" s="5" t="n"/>
      <c r="AL5" s="5" t="n"/>
      <c r="AM5" s="5" t="n"/>
      <c r="AN5" s="5" t="inlineStr">
        <is>
          <t>−6 / −12 / −18</t>
        </is>
      </c>
      <c r="AO5" s="21">
        <f>IF(COUNT(AH5:AJ5)=0,"",ROUND(AVERAGE(AH5:AJ5),4))</f>
        <v/>
      </c>
      <c r="AP5" s="8">
        <f>IF(OR(AO5="",AG5=""),"",ROUND((AO5-AG5)*1000,1))</f>
        <v/>
      </c>
      <c r="AQ5" s="8">
        <f>IF(COUNT(AH5:AJ5)&lt;2,"",ROUND((MAX(AH5:AJ5)-MIN(AH5:AJ5))*1000,1))</f>
        <v/>
      </c>
      <c r="AR5" s="21">
        <f>IF(OR(AO5="",AF5=""),"",ROUND(AO5/AF5,4))</f>
        <v/>
      </c>
      <c r="AS5" s="8">
        <f>IF(AR5="","",IF(AR5&lt;0.95,"🔴 가늚 (&lt;0.95)",IF(AR5&gt;0.975,"🟡 굵음 (&gt;0.975)","🟢 범위 안")))</f>
        <v/>
      </c>
      <c r="AT5" s="19">
        <f>IF(AR5="","",ROUND(AR5^4,3))</f>
        <v/>
      </c>
      <c r="AU5" s="5" t="n"/>
      <c r="AV5" s="5" t="n"/>
      <c r="AW5" s="7" t="n"/>
      <c r="AX5" s="5" t="n"/>
      <c r="AY5" s="5" t="n"/>
      <c r="AZ5" s="5" t="n"/>
      <c r="BA5" s="5" t="n"/>
      <c r="BB5" s="5" t="n"/>
      <c r="BC5" s="5" t="n">
        <v>7.95</v>
      </c>
      <c r="BD5" s="5" t="n"/>
      <c r="BE5" s="5" t="n"/>
      <c r="BF5" s="5" t="n"/>
      <c r="BG5" s="5" t="n"/>
      <c r="BH5" s="5" t="n"/>
      <c r="BI5" s="7" t="n"/>
      <c r="BJ5" s="5" t="n"/>
      <c r="BK5" s="5" t="n"/>
      <c r="BL5" s="7" t="inlineStr">
        <is>
          <t>decisions 2026-10-19 (5)·(6) · Overhang OFF · Step 15.620 · Washout 15°/0.280 [추정값 — 시험 전]</t>
        </is>
      </c>
    </row>
    <row r="6">
      <c r="A6" s="5" t="inlineStr">
        <is>
          <t>T2</t>
        </is>
      </c>
      <c r="B6" s="17" t="n"/>
      <c r="C6" s="5" t="n"/>
      <c r="D6" s="7" t="inlineStr">
        <is>
          <t>테스트 D4 2날 평 L2 8→14</t>
        </is>
      </c>
      <c r="E6" s="5" t="n"/>
      <c r="F6" s="7" t="inlineStr">
        <is>
          <t>3섹션 · 황삭 0.05 시작</t>
        </is>
      </c>
      <c r="G6" s="5" t="n"/>
      <c r="H6" s="5" t="inlineStr">
        <is>
          <t>Pack 1 / Wheel 1</t>
        </is>
      </c>
      <c r="I6" s="5" t="n"/>
      <c r="J6" s="5" t="n">
        <v>3000</v>
      </c>
      <c r="K6" s="8">
        <f>IF(OR(I6="",J6=""),"",ROUND(PI()*I6*J6/60000,1))</f>
        <v/>
      </c>
      <c r="L6" s="8">
        <f>IF(K6="",IF(J6="","","휠 지름 입력"),IF(K6&gt;30,"⚠️ 고속 &gt;30",IF(K6&gt;25,"⚠️ 사내 상한 25 초과","OK ≤25")))</f>
        <v/>
      </c>
      <c r="M6" s="5" t="n"/>
      <c r="N6" s="5" t="n"/>
      <c r="O6" s="5" t="n"/>
      <c r="P6" s="5" t="n"/>
      <c r="Q6" s="8">
        <f>IF(COUNT(O6,P6)&lt;2,"",ROUND((O6-P6)*1000,1))</f>
        <v/>
      </c>
      <c r="R6" s="5" t="n"/>
      <c r="S6" s="5" t="n"/>
      <c r="T6" s="5" t="n"/>
      <c r="U6" s="5" t="n"/>
      <c r="V6" s="5" t="n"/>
      <c r="W6" s="5" t="n"/>
      <c r="X6" s="5" t="n"/>
      <c r="Y6" s="18" t="n">
        <v>2</v>
      </c>
      <c r="Z6" s="5" t="n">
        <v>25</v>
      </c>
      <c r="AA6" s="19">
        <f>IF(OR(Y6="",Z6="",Z6=0),"",ROUND(Y6/Z6,3))</f>
        <v/>
      </c>
      <c r="AB6" s="20" t="n">
        <v>0.05</v>
      </c>
      <c r="AC6" s="5" t="n">
        <v>22</v>
      </c>
      <c r="AD6" s="8">
        <f>IF(AB6="","",IF(AB6&gt;0.075*1.5,"⚠️ 고절입 &gt;150%",IF(AB6&gt;0.075,"⚠️ 0.075 초과","실적 범위")))</f>
        <v/>
      </c>
      <c r="AE6" s="5" t="n"/>
      <c r="AF6" s="20" t="n">
        <v>4</v>
      </c>
      <c r="AG6" s="20" t="n">
        <v>3.85</v>
      </c>
      <c r="AH6" s="20" t="n"/>
      <c r="AI6" s="20" t="n"/>
      <c r="AJ6" s="20" t="n"/>
      <c r="AK6" s="5" t="n"/>
      <c r="AL6" s="5" t="n"/>
      <c r="AM6" s="5" t="n"/>
      <c r="AN6" s="5" t="inlineStr">
        <is>
          <t>−6 / −10 / −13</t>
        </is>
      </c>
      <c r="AO6" s="21">
        <f>IF(COUNT(AH6:AJ6)=0,"",ROUND(AVERAGE(AH6:AJ6),4))</f>
        <v/>
      </c>
      <c r="AP6" s="8">
        <f>IF(OR(AO6="",AG6=""),"",ROUND((AO6-AG6)*1000,1))</f>
        <v/>
      </c>
      <c r="AQ6" s="8">
        <f>IF(COUNT(AH6:AJ6)&lt;2,"",ROUND((MAX(AH6:AJ6)-MIN(AH6:AJ6))*1000,1))</f>
        <v/>
      </c>
      <c r="AR6" s="21">
        <f>IF(OR(AO6="",AF6=""),"",ROUND(AO6/AF6,4))</f>
        <v/>
      </c>
      <c r="AS6" s="8">
        <f>IF(AR6="","",IF(AR6&lt;0.95,"🔴 가늚 (&lt;0.95)",IF(AR6&gt;0.975,"🟡 굵음 (&gt;0.975)","🟢 범위 안")))</f>
        <v/>
      </c>
      <c r="AT6" s="19">
        <f>IF(AR6="","",ROUND(AR6^4,3))</f>
        <v/>
      </c>
      <c r="AU6" s="5" t="n"/>
      <c r="AV6" s="5" t="n"/>
      <c r="AW6" s="7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7" t="n"/>
      <c r="BJ6" s="5" t="n"/>
      <c r="BK6" s="5" t="n"/>
      <c r="BL6" s="7" t="inlineStr">
        <is>
          <t>Blank OD 6.0 필수 · 최대 반경 제거 1.075 mm · 이상 없으면 0.075(15패스) [추정값 — 시험 전]</t>
        </is>
      </c>
    </row>
    <row r="7">
      <c r="A7" s="5" t="inlineStr">
        <is>
          <t>T3</t>
        </is>
      </c>
      <c r="B7" s="17" t="n">
        <v>46314</v>
      </c>
      <c r="C7" s="5" t="n"/>
      <c r="D7" s="7" t="inlineStr">
        <is>
          <t>테스트1-1회 · AFCY_D3.8_S6 (D3)</t>
        </is>
      </c>
      <c r="E7" s="5" t="inlineStr">
        <is>
          <t>GX7_AFCY_D3.8_S6.tom (회차별 덮어씀)</t>
        </is>
      </c>
      <c r="F7" s="7" t="inlineStr">
        <is>
          <t>정삭 1회 · 입력 3.05 · Infeed 5.0</t>
        </is>
      </c>
      <c r="G7" s="5" t="inlineStr">
        <is>
          <t>GX7</t>
        </is>
      </c>
      <c r="H7" s="5" t="inlineStr">
        <is>
          <t>Pack 1 / Wheel 1 (HID 12°, 1A1 단순화)</t>
        </is>
      </c>
      <c r="I7" s="5" t="n">
        <v>125.102</v>
      </c>
      <c r="J7" s="5" t="n">
        <v>3500</v>
      </c>
      <c r="K7" s="8">
        <f>IF(OR(I7="",J7=""),"",ROUND(PI()*I7*J7/60000,1))</f>
        <v/>
      </c>
      <c r="L7" s="8">
        <f>IF(K7="",IF(J7="","","휠 지름 입력"),IF(K7&gt;30,"⚠️ 고속 &gt;30",IF(K7&gt;25,"⚠️ 사내 상한 25 초과","OK ≤25")))</f>
        <v/>
      </c>
      <c r="M7" s="5" t="inlineStr">
        <is>
          <t>미기록</t>
        </is>
      </c>
      <c r="N7" s="5" t="inlineStr">
        <is>
          <t>미기록</t>
        </is>
      </c>
      <c r="O7" s="5" t="inlineStr">
        <is>
          <t>미기록</t>
        </is>
      </c>
      <c r="P7" s="5" t="inlineStr">
        <is>
          <t>미기록</t>
        </is>
      </c>
      <c r="Q7" s="8">
        <f>IF(COUNT(O7,P7)&lt;2,"",ROUND((O7-P7)*1000,1))</f>
        <v/>
      </c>
      <c r="R7" s="5" t="inlineStr">
        <is>
          <t>미기록</t>
        </is>
      </c>
      <c r="S7" s="5" t="inlineStr">
        <is>
          <t>미기록</t>
        </is>
      </c>
      <c r="T7" s="5" t="inlineStr">
        <is>
          <t>미기록</t>
        </is>
      </c>
      <c r="U7" s="5" t="inlineStr">
        <is>
          <t>미기록</t>
        </is>
      </c>
      <c r="V7" s="5" t="inlineStr">
        <is>
          <t>미기록</t>
        </is>
      </c>
      <c r="W7" s="5" t="inlineStr">
        <is>
          <t>미기록</t>
        </is>
      </c>
      <c r="X7" s="5" t="inlineStr">
        <is>
          <t>미기록</t>
        </is>
      </c>
      <c r="Y7" s="18" t="n">
        <v>3</v>
      </c>
      <c r="Z7" s="5" t="n">
        <v>25</v>
      </c>
      <c r="AA7" s="19">
        <f>IF(OR(Y7="",Z7="",Z7=0),"",ROUND(Y7/Z7,3))</f>
        <v/>
      </c>
      <c r="AB7" s="20" t="n"/>
      <c r="AC7" s="5" t="n">
        <v>1</v>
      </c>
      <c r="AD7" s="8">
        <f>IF(AB7="","",IF(AB7&gt;0.075*1.5,"⚠️ 고절입 &gt;150%",IF(AB7&gt;0.075,"⚠️ 0.075 초과","실적 범위")))</f>
        <v/>
      </c>
      <c r="AE7" s="5" t="n"/>
      <c r="AF7" s="20" t="n">
        <v>2.955</v>
      </c>
      <c r="AG7" s="20" t="n">
        <v>2.84</v>
      </c>
      <c r="AH7" s="20" t="n">
        <v>3</v>
      </c>
      <c r="AI7" s="20" t="n"/>
      <c r="AJ7" s="20" t="n"/>
      <c r="AK7" s="5" t="inlineStr">
        <is>
          <t>미기록</t>
        </is>
      </c>
      <c r="AL7" s="5" t="inlineStr">
        <is>
          <t>미기록</t>
        </is>
      </c>
      <c r="AM7" s="5" t="inlineStr">
        <is>
          <t>미기록</t>
        </is>
      </c>
      <c r="AN7" s="5" t="inlineStr">
        <is>
          <t>미기록</t>
        </is>
      </c>
      <c r="AO7" s="21">
        <f>IF(COUNT(AH7:AJ7)=0,"",ROUND(AVERAGE(AH7:AJ7),4))</f>
        <v/>
      </c>
      <c r="AP7" s="8">
        <f>IF(OR(AO7="",AG7=""),"",ROUND((AO7-AG7)*1000,1))</f>
        <v/>
      </c>
      <c r="AQ7" s="8">
        <f>IF(COUNT(AH7:AJ7)&lt;2,"",ROUND((MAX(AH7:AJ7)-MIN(AH7:AJ7))*1000,1))</f>
        <v/>
      </c>
      <c r="AR7" s="21">
        <f>IF(OR(AO7="",AF7=""),"",ROUND(AO7/AF7,4))</f>
        <v/>
      </c>
      <c r="AS7" s="8">
        <f>IF(AR7="","",IF(AR7&lt;0.95,"🔴 가늚 (&lt;0.95)",IF(AR7&gt;0.975,"🟡 굵음 (&gt;0.975)","🟢 범위 안")))</f>
        <v/>
      </c>
      <c r="AT7" s="19">
        <f>IF(AR7="","",ROUND(AR7^4,3))</f>
        <v/>
      </c>
      <c r="AU7" s="5" t="inlineStr">
        <is>
          <t>측정 안 함(장비 미정)</t>
        </is>
      </c>
      <c r="AV7" s="5" t="inlineStr">
        <is>
          <t>측정 안 함(장비 미정)</t>
        </is>
      </c>
      <c r="AW7" s="7" t="n"/>
      <c r="AX7" s="5" t="n"/>
      <c r="AY7" s="5" t="n"/>
      <c r="AZ7" s="5" t="n"/>
      <c r="BA7" s="5" t="n"/>
      <c r="BB7" s="5" t="n"/>
      <c r="BC7" s="5" t="n"/>
      <c r="BD7" s="5" t="inlineStr">
        <is>
          <t>Mitutoyo 293-340-30</t>
        </is>
      </c>
      <c r="BE7" s="5" t="n"/>
      <c r="BF7" s="5" t="n"/>
      <c r="BG7" s="5" t="n"/>
      <c r="BH7" s="5" t="inlineStr">
        <is>
          <t>재시험</t>
        </is>
      </c>
      <c r="BI7" s="7" t="n"/>
      <c r="BJ7" s="5" t="inlineStr">
        <is>
          <t>미기록</t>
        </is>
      </c>
      <c r="BK7" s="5" t="inlineStr">
        <is>
          <t>실측 검증</t>
        </is>
      </c>
      <c r="BL7" s="7" t="inlineStr">
        <is>
          <t>가공 전 몸통 2.990 ~ 3.003 (13:30 실측) &lt; 입력 3.05 → 비접촉 · 측정 3.00 = 원래 몸통 · ~~측정−입력 −0.05~~ 철회 (decisions 2026-10-20 (5))</t>
        </is>
      </c>
    </row>
    <row r="8">
      <c r="A8" s="5" t="inlineStr">
        <is>
          <t>T4</t>
        </is>
      </c>
      <c r="B8" s="17" t="n">
        <v>46315</v>
      </c>
      <c r="C8" s="5" t="inlineStr">
        <is>
          <t>10:3x</t>
        </is>
      </c>
      <c r="D8" s="7" t="inlineStr">
        <is>
          <t>테스트1-2회 · AFCY_D3.8_S6 (D3)</t>
        </is>
      </c>
      <c r="E8" s="5" t="inlineStr">
        <is>
          <t>GX7_AFCY_D3.8_S6.tom (회차별 덮어씀)</t>
        </is>
      </c>
      <c r="F8" s="7" t="inlineStr">
        <is>
          <t>정삭 1회 · 입력 2.93 · Infeed 5.0</t>
        </is>
      </c>
      <c r="G8" s="5" t="inlineStr">
        <is>
          <t>GX7</t>
        </is>
      </c>
      <c r="H8" s="5" t="inlineStr">
        <is>
          <t>Pack 1 / Wheel 1 (HID 12°, 1A1 단순화)</t>
        </is>
      </c>
      <c r="I8" s="5" t="n">
        <v>125.102</v>
      </c>
      <c r="J8" s="5" t="n">
        <v>3500</v>
      </c>
      <c r="K8" s="8">
        <f>IF(OR(I8="",J8=""),"",ROUND(PI()*I8*J8/60000,1))</f>
        <v/>
      </c>
      <c r="L8" s="8">
        <f>IF(K8="",IF(J8="","","휠 지름 입력"),IF(K8&gt;30,"⚠️ 고속 &gt;30",IF(K8&gt;25,"⚠️ 사내 상한 25 초과","OK ≤25")))</f>
        <v/>
      </c>
      <c r="M8" s="5" t="inlineStr">
        <is>
          <t>미기록</t>
        </is>
      </c>
      <c r="N8" s="5" t="inlineStr">
        <is>
          <t>미기록</t>
        </is>
      </c>
      <c r="O8" s="5" t="inlineStr">
        <is>
          <t>미기록</t>
        </is>
      </c>
      <c r="P8" s="5" t="inlineStr">
        <is>
          <t>미기록</t>
        </is>
      </c>
      <c r="Q8" s="8">
        <f>IF(COUNT(O8,P8)&lt;2,"",ROUND((O8-P8)*1000,1))</f>
        <v/>
      </c>
      <c r="R8" s="5" t="inlineStr">
        <is>
          <t>미기록</t>
        </is>
      </c>
      <c r="S8" s="5" t="inlineStr">
        <is>
          <t>미기록</t>
        </is>
      </c>
      <c r="T8" s="5" t="inlineStr">
        <is>
          <t>미기록</t>
        </is>
      </c>
      <c r="U8" s="5" t="inlineStr">
        <is>
          <t>미기록</t>
        </is>
      </c>
      <c r="V8" s="5" t="inlineStr">
        <is>
          <t>미기록</t>
        </is>
      </c>
      <c r="W8" s="5" t="inlineStr">
        <is>
          <t>미기록</t>
        </is>
      </c>
      <c r="X8" s="5" t="inlineStr">
        <is>
          <t>미기록</t>
        </is>
      </c>
      <c r="Y8" s="18" t="n">
        <v>3</v>
      </c>
      <c r="Z8" s="5" t="n">
        <v>25</v>
      </c>
      <c r="AA8" s="19">
        <f>IF(OR(Y8="",Z8="",Z8=0),"",ROUND(Y8/Z8,3))</f>
        <v/>
      </c>
      <c r="AB8" s="20" t="n">
        <v>0.035</v>
      </c>
      <c r="AC8" s="5" t="n">
        <v>1</v>
      </c>
      <c r="AD8" s="8">
        <f>IF(AB8="","",IF(AB8&gt;0.075*1.5,"⚠️ 고절입 &gt;150%",IF(AB8&gt;0.075,"⚠️ 0.075 초과","실적 범위")))</f>
        <v/>
      </c>
      <c r="AE8" s="5" t="n"/>
      <c r="AF8" s="20" t="n">
        <v>2.955</v>
      </c>
      <c r="AG8" s="20" t="n">
        <v>2.84</v>
      </c>
      <c r="AH8" s="20" t="n">
        <v>2.986</v>
      </c>
      <c r="AI8" s="20" t="n"/>
      <c r="AJ8" s="20" t="n">
        <v>2.99</v>
      </c>
      <c r="AK8" s="5" t="inlineStr">
        <is>
          <t>미기록</t>
        </is>
      </c>
      <c r="AL8" s="5" t="inlineStr">
        <is>
          <t>미기록</t>
        </is>
      </c>
      <c r="AM8" s="5" t="inlineStr">
        <is>
          <t>미기록</t>
        </is>
      </c>
      <c r="AN8" s="5" t="inlineStr">
        <is>
          <t>미기록</t>
        </is>
      </c>
      <c r="AO8" s="21">
        <f>IF(COUNT(AH8:AJ8)=0,"",ROUND(AVERAGE(AH8:AJ8),4))</f>
        <v/>
      </c>
      <c r="AP8" s="8">
        <f>IF(OR(AO8="",AG8=""),"",ROUND((AO8-AG8)*1000,1))</f>
        <v/>
      </c>
      <c r="AQ8" s="8">
        <f>IF(COUNT(AH8:AJ8)&lt;2,"",ROUND((MAX(AH8:AJ8)-MIN(AH8:AJ8))*1000,1))</f>
        <v/>
      </c>
      <c r="AR8" s="21">
        <f>IF(OR(AO8="",AF8=""),"",ROUND(AO8/AF8,4))</f>
        <v/>
      </c>
      <c r="AS8" s="8">
        <f>IF(AR8="","",IF(AR8&lt;0.95,"🔴 가늚 (&lt;0.95)",IF(AR8&gt;0.975,"🟡 굵음 (&gt;0.975)","🟢 범위 안")))</f>
        <v/>
      </c>
      <c r="AT8" s="19">
        <f>IF(AR8="","",ROUND(AR8^4,3))</f>
        <v/>
      </c>
      <c r="AU8" s="5" t="inlineStr">
        <is>
          <t>측정 안 함(장비 미정)</t>
        </is>
      </c>
      <c r="AV8" s="5" t="inlineStr">
        <is>
          <t>측정 안 함(장비 미정)</t>
        </is>
      </c>
      <c r="AW8" s="7" t="n"/>
      <c r="AX8" s="5" t="n"/>
      <c r="AY8" s="5" t="n"/>
      <c r="AZ8" s="5" t="n"/>
      <c r="BA8" s="5" t="n"/>
      <c r="BB8" s="5" t="n"/>
      <c r="BC8" s="5" t="n"/>
      <c r="BD8" s="5" t="inlineStr">
        <is>
          <t>Mitutoyo 293-340-30</t>
        </is>
      </c>
      <c r="BE8" s="5" t="n"/>
      <c r="BF8" s="5" t="n"/>
      <c r="BG8" s="5" t="n"/>
      <c r="BH8" s="5" t="inlineStr">
        <is>
          <t>재시험</t>
        </is>
      </c>
      <c r="BI8" s="7" t="n"/>
      <c r="BJ8" s="5" t="inlineStr">
        <is>
          <t>미기록</t>
        </is>
      </c>
      <c r="BK8" s="5" t="inlineStr">
        <is>
          <t>실측 검증</t>
        </is>
      </c>
      <c r="BL8" s="7" t="inlineStr">
        <is>
          <t>머리 2.985~2.987 · 테이퍼 2.988~2.992 (중간값 입력) · 측정−입력 +0.055~+0.062 · 절입 칸 = 정삭 명령 반경</t>
        </is>
      </c>
    </row>
    <row r="9">
      <c r="A9" s="5" t="inlineStr">
        <is>
          <t>T5</t>
        </is>
      </c>
      <c r="B9" s="17" t="n">
        <v>46315</v>
      </c>
      <c r="C9" s="5" t="inlineStr">
        <is>
          <t>10:5x</t>
        </is>
      </c>
      <c r="D9" s="7" t="inlineStr">
        <is>
          <t>테스트1-3회 · AFCY_D3.8_S6 (D3)</t>
        </is>
      </c>
      <c r="E9" s="5" t="inlineStr">
        <is>
          <t>GX7_AFCY_D3.8_S6.tom (회차별 덮어씀)</t>
        </is>
      </c>
      <c r="F9" s="7" t="inlineStr">
        <is>
          <t>정삭 1회 · 입력 2.860 · Infeed 5.0</t>
        </is>
      </c>
      <c r="G9" s="5" t="inlineStr">
        <is>
          <t>GX7</t>
        </is>
      </c>
      <c r="H9" s="5" t="inlineStr">
        <is>
          <t>Pack 1 / Wheel 1 (HID 12°, 1A1 단순화)</t>
        </is>
      </c>
      <c r="I9" s="5" t="n">
        <v>125.102</v>
      </c>
      <c r="J9" s="5" t="n">
        <v>3500</v>
      </c>
      <c r="K9" s="8">
        <f>IF(OR(I9="",J9=""),"",ROUND(PI()*I9*J9/60000,1))</f>
        <v/>
      </c>
      <c r="L9" s="8">
        <f>IF(K9="",IF(J9="","","휠 지름 입력"),IF(K9&gt;30,"⚠️ 고속 &gt;30",IF(K9&gt;25,"⚠️ 사내 상한 25 초과","OK ≤25")))</f>
        <v/>
      </c>
      <c r="M9" s="5" t="inlineStr">
        <is>
          <t>미기록</t>
        </is>
      </c>
      <c r="N9" s="5" t="inlineStr">
        <is>
          <t>미기록</t>
        </is>
      </c>
      <c r="O9" s="5" t="inlineStr">
        <is>
          <t>미기록</t>
        </is>
      </c>
      <c r="P9" s="5" t="inlineStr">
        <is>
          <t>미기록</t>
        </is>
      </c>
      <c r="Q9" s="8">
        <f>IF(COUNT(O9,P9)&lt;2,"",ROUND((O9-P9)*1000,1))</f>
        <v/>
      </c>
      <c r="R9" s="5" t="inlineStr">
        <is>
          <t>미기록</t>
        </is>
      </c>
      <c r="S9" s="5" t="inlineStr">
        <is>
          <t>미기록</t>
        </is>
      </c>
      <c r="T9" s="5" t="inlineStr">
        <is>
          <t>미기록</t>
        </is>
      </c>
      <c r="U9" s="5" t="inlineStr">
        <is>
          <t>미기록</t>
        </is>
      </c>
      <c r="V9" s="5" t="inlineStr">
        <is>
          <t>미기록</t>
        </is>
      </c>
      <c r="W9" s="5" t="inlineStr">
        <is>
          <t>미기록</t>
        </is>
      </c>
      <c r="X9" s="5" t="inlineStr">
        <is>
          <t>미기록</t>
        </is>
      </c>
      <c r="Y9" s="18" t="n">
        <v>3</v>
      </c>
      <c r="Z9" s="5" t="n">
        <v>25</v>
      </c>
      <c r="AA9" s="19">
        <f>IF(OR(Y9="",Z9="",Z9=0),"",ROUND(Y9/Z9,3))</f>
        <v/>
      </c>
      <c r="AB9" s="20" t="n">
        <v>0.063</v>
      </c>
      <c r="AC9" s="5" t="n">
        <v>1</v>
      </c>
      <c r="AD9" s="8">
        <f>IF(AB9="","",IF(AB9&gt;0.075*1.5,"⚠️ 고절입 &gt;150%",IF(AB9&gt;0.075,"⚠️ 0.075 초과","실적 범위")))</f>
        <v/>
      </c>
      <c r="AE9" s="5" t="n"/>
      <c r="AF9" s="20" t="n">
        <v>2.955</v>
      </c>
      <c r="AG9" s="20" t="n">
        <v>2.84</v>
      </c>
      <c r="AH9" s="20" t="n">
        <v>2.921</v>
      </c>
      <c r="AI9" s="20" t="n"/>
      <c r="AJ9" s="20" t="n">
        <v>2.9315</v>
      </c>
      <c r="AK9" s="5" t="inlineStr">
        <is>
          <t>미기록</t>
        </is>
      </c>
      <c r="AL9" s="5" t="inlineStr">
        <is>
          <t>미기록</t>
        </is>
      </c>
      <c r="AM9" s="5" t="inlineStr">
        <is>
          <t>미기록</t>
        </is>
      </c>
      <c r="AN9" s="5" t="inlineStr">
        <is>
          <t>미기록</t>
        </is>
      </c>
      <c r="AO9" s="21">
        <f>IF(COUNT(AH9:AJ9)=0,"",ROUND(AVERAGE(AH9:AJ9),4))</f>
        <v/>
      </c>
      <c r="AP9" s="8">
        <f>IF(OR(AO9="",AG9=""),"",ROUND((AO9-AG9)*1000,1))</f>
        <v/>
      </c>
      <c r="AQ9" s="8">
        <f>IF(COUNT(AH9:AJ9)&lt;2,"",ROUND((MAX(AH9:AJ9)-MIN(AH9:AJ9))*1000,1))</f>
        <v/>
      </c>
      <c r="AR9" s="21">
        <f>IF(OR(AO9="",AF9=""),"",ROUND(AO9/AF9,4))</f>
        <v/>
      </c>
      <c r="AS9" s="8">
        <f>IF(AR9="","",IF(AR9&lt;0.95,"🔴 가늚 (&lt;0.95)",IF(AR9&gt;0.975,"🟡 굵음 (&gt;0.975)","🟢 범위 안")))</f>
        <v/>
      </c>
      <c r="AT9" s="19">
        <f>IF(AR9="","",ROUND(AR9^4,3))</f>
        <v/>
      </c>
      <c r="AU9" s="5" t="inlineStr">
        <is>
          <t>측정 안 함(장비 미정)</t>
        </is>
      </c>
      <c r="AV9" s="5" t="inlineStr">
        <is>
          <t>측정 안 함(장비 미정)</t>
        </is>
      </c>
      <c r="AW9" s="7" t="n"/>
      <c r="AX9" s="5" t="n"/>
      <c r="AY9" s="5" t="n"/>
      <c r="AZ9" s="5" t="n"/>
      <c r="BA9" s="5" t="n"/>
      <c r="BB9" s="5" t="n"/>
      <c r="BC9" s="5" t="n"/>
      <c r="BD9" s="5" t="inlineStr">
        <is>
          <t>Mitutoyo 293-340-30</t>
        </is>
      </c>
      <c r="BE9" s="5" t="n"/>
      <c r="BF9" s="5" t="n"/>
      <c r="BG9" s="5" t="n"/>
      <c r="BH9" s="5" t="inlineStr">
        <is>
          <t>재시험</t>
        </is>
      </c>
      <c r="BI9" s="7" t="n"/>
      <c r="BJ9" s="5" t="inlineStr">
        <is>
          <t>미기록</t>
        </is>
      </c>
      <c r="BK9" s="5" t="inlineStr">
        <is>
          <t>실측 검증</t>
        </is>
      </c>
      <c r="BL9" s="7" t="inlineStr">
        <is>
          <t>머리 2.920~2.922 · 테이퍼 2.928~2.935 · +0.060~+0.075 · 현미경: 진입부 줄무늬 띠 · 점 자국</t>
        </is>
      </c>
    </row>
    <row r="10">
      <c r="A10" s="5" t="inlineStr">
        <is>
          <t>T6</t>
        </is>
      </c>
      <c r="B10" s="17" t="n">
        <v>46315</v>
      </c>
      <c r="C10" s="5" t="inlineStr">
        <is>
          <t>11:1x</t>
        </is>
      </c>
      <c r="D10" s="7" t="inlineStr">
        <is>
          <t>테스트1-4회 · AFCY_D3.8_S6 (D3)</t>
        </is>
      </c>
      <c r="E10" s="5" t="inlineStr">
        <is>
          <t>GX7_AFCY_D3.8_S6.tom (회차별 덮어씀)</t>
        </is>
      </c>
      <c r="F10" s="7" t="inlineStr">
        <is>
          <t>정삭 1회 · 입력 2.790 · Infeed 1.0</t>
        </is>
      </c>
      <c r="G10" s="5" t="inlineStr">
        <is>
          <t>GX7</t>
        </is>
      </c>
      <c r="H10" s="5" t="inlineStr">
        <is>
          <t>Pack 1 / Wheel 1 (HID 12°, 1A1 단순화)</t>
        </is>
      </c>
      <c r="I10" s="5" t="n">
        <v>125.102</v>
      </c>
      <c r="J10" s="5" t="n">
        <v>3500</v>
      </c>
      <c r="K10" s="8">
        <f>IF(OR(I10="",J10=""),"",ROUND(PI()*I10*J10/60000,1))</f>
        <v/>
      </c>
      <c r="L10" s="8">
        <f>IF(K10="",IF(J10="","","휠 지름 입력"),IF(K10&gt;30,"⚠️ 고속 &gt;30",IF(K10&gt;25,"⚠️ 사내 상한 25 초과","OK ≤25")))</f>
        <v/>
      </c>
      <c r="M10" s="5" t="inlineStr">
        <is>
          <t>미기록</t>
        </is>
      </c>
      <c r="N10" s="5" t="inlineStr">
        <is>
          <t>미기록</t>
        </is>
      </c>
      <c r="O10" s="5" t="inlineStr">
        <is>
          <t>미기록</t>
        </is>
      </c>
      <c r="P10" s="5" t="inlineStr">
        <is>
          <t>미기록</t>
        </is>
      </c>
      <c r="Q10" s="8">
        <f>IF(COUNT(O10,P10)&lt;2,"",ROUND((O10-P10)*1000,1))</f>
        <v/>
      </c>
      <c r="R10" s="5" t="inlineStr">
        <is>
          <t>미기록</t>
        </is>
      </c>
      <c r="S10" s="5" t="inlineStr">
        <is>
          <t>미기록</t>
        </is>
      </c>
      <c r="T10" s="5" t="inlineStr">
        <is>
          <t>미기록</t>
        </is>
      </c>
      <c r="U10" s="5" t="inlineStr">
        <is>
          <t>미기록</t>
        </is>
      </c>
      <c r="V10" s="5" t="inlineStr">
        <is>
          <t>미기록</t>
        </is>
      </c>
      <c r="W10" s="5" t="inlineStr">
        <is>
          <t>미기록</t>
        </is>
      </c>
      <c r="X10" s="5" t="inlineStr">
        <is>
          <t>미기록</t>
        </is>
      </c>
      <c r="Y10" s="18" t="n">
        <v>3</v>
      </c>
      <c r="Z10" s="5" t="n">
        <v>25</v>
      </c>
      <c r="AA10" s="19">
        <f>IF(OR(Y10="",Z10="",Z10=0),"",ROUND(Y10/Z10,3))</f>
        <v/>
      </c>
      <c r="AB10" s="20" t="n">
        <v>0.068</v>
      </c>
      <c r="AC10" s="5" t="n">
        <v>1</v>
      </c>
      <c r="AD10" s="8">
        <f>IF(AB10="","",IF(AB10&gt;0.075*1.5,"⚠️ 고절입 &gt;150%",IF(AB10&gt;0.075,"⚠️ 0.075 초과","실적 범위")))</f>
        <v/>
      </c>
      <c r="AE10" s="5" t="n"/>
      <c r="AF10" s="20" t="n">
        <v>2.955</v>
      </c>
      <c r="AG10" s="20" t="n">
        <v>2.84</v>
      </c>
      <c r="AH10" s="20" t="n">
        <v>2.8535</v>
      </c>
      <c r="AI10" s="20" t="n">
        <v>2.8545</v>
      </c>
      <c r="AJ10" s="20" t="n">
        <v>2.86</v>
      </c>
      <c r="AK10" s="5" t="inlineStr">
        <is>
          <t>미기록</t>
        </is>
      </c>
      <c r="AL10" s="5" t="inlineStr">
        <is>
          <t>미기록</t>
        </is>
      </c>
      <c r="AM10" s="5" t="inlineStr">
        <is>
          <t>미기록</t>
        </is>
      </c>
      <c r="AN10" s="5" t="inlineStr">
        <is>
          <t>미기록</t>
        </is>
      </c>
      <c r="AO10" s="21">
        <f>IF(COUNT(AH10:AJ10)=0,"",ROUND(AVERAGE(AH10:AJ10),4))</f>
        <v/>
      </c>
      <c r="AP10" s="8">
        <f>IF(OR(AO10="",AG10=""),"",ROUND((AO10-AG10)*1000,1))</f>
        <v/>
      </c>
      <c r="AQ10" s="8">
        <f>IF(COUNT(AH10:AJ10)&lt;2,"",ROUND((MAX(AH10:AJ10)-MIN(AH10:AJ10))*1000,1))</f>
        <v/>
      </c>
      <c r="AR10" s="21">
        <f>IF(OR(AO10="",AF10=""),"",ROUND(AO10/AF10,4))</f>
        <v/>
      </c>
      <c r="AS10" s="8">
        <f>IF(AR10="","",IF(AR10&lt;0.95,"🔴 가늚 (&lt;0.95)",IF(AR10&gt;0.975,"🟡 굵음 (&gt;0.975)","🟢 범위 안")))</f>
        <v/>
      </c>
      <c r="AT10" s="19">
        <f>IF(AR10="","",ROUND(AR10^4,3))</f>
        <v/>
      </c>
      <c r="AU10" s="5" t="inlineStr">
        <is>
          <t>측정 안 함(장비 미정)</t>
        </is>
      </c>
      <c r="AV10" s="5" t="inlineStr">
        <is>
          <t>측정 안 함(장비 미정)</t>
        </is>
      </c>
      <c r="AW10" s="7" t="n"/>
      <c r="AX10" s="5" t="n"/>
      <c r="AY10" s="5" t="n"/>
      <c r="AZ10" s="5" t="inlineStr">
        <is>
          <t>테이퍼 쪽 +3~4</t>
        </is>
      </c>
      <c r="BA10" s="5" t="n"/>
      <c r="BB10" s="5" t="n"/>
      <c r="BC10" s="5" t="n"/>
      <c r="BD10" s="5" t="inlineStr">
        <is>
          <t>Mitutoyo 293-340-30</t>
        </is>
      </c>
      <c r="BE10" s="5" t="n"/>
      <c r="BF10" s="5" t="n"/>
      <c r="BG10" s="5" t="n"/>
      <c r="BH10" s="5" t="inlineStr">
        <is>
          <t>합격</t>
        </is>
      </c>
      <c r="BI10" s="7" t="inlineStr">
        <is>
          <t>테스트1 종결(2026-10-20) — 이 공구 멈춤</t>
        </is>
      </c>
      <c r="BJ10" s="5" t="inlineStr">
        <is>
          <t>미기록</t>
        </is>
      </c>
      <c r="BK10" s="5" t="inlineStr">
        <is>
          <t>실측 검증</t>
        </is>
      </c>
      <c r="BL10" s="7" t="inlineStr">
        <is>
          <t>머리 2.853~2.854 · 중간 2.854~2.855 · 테이퍼 2.858~2.862 · +0.063~+0.072 · iGrind 04:57 · 진입부 찍힘 재발 · 오목 점 1개</t>
        </is>
      </c>
    </row>
    <row r="11">
      <c r="A11" s="5" t="inlineStr">
        <is>
          <t>T7</t>
        </is>
      </c>
      <c r="B11" s="17" t="n">
        <v>46315</v>
      </c>
      <c r="C11" s="5" t="inlineStr">
        <is>
          <t>13:5x</t>
        </is>
      </c>
      <c r="D11" s="7" t="inlineStr">
        <is>
          <t>테스트2 · 2번 공구 _Roughing.tom (D3)</t>
        </is>
      </c>
      <c r="E11" s="5" t="inlineStr">
        <is>
          <t>GX7_AFCY_D3.8_S6_Roughing.tom</t>
        </is>
      </c>
      <c r="F11" s="7" t="inlineStr">
        <is>
          <t>황삭 Diagonal 0.075×1 · 10→4 mm/min · A Spin 50 / 정삭 Stock 0.02 · Infeed 0.5 · 입력 2.825</t>
        </is>
      </c>
      <c r="G11" s="5" t="inlineStr">
        <is>
          <t>GX7</t>
        </is>
      </c>
      <c r="H11" s="5" t="inlineStr">
        <is>
          <t>Pack 1 / Wheel 1 (HID 12°, 1A1 단순화)</t>
        </is>
      </c>
      <c r="I11" s="5" t="n">
        <v>125.102</v>
      </c>
      <c r="J11" s="5" t="n">
        <v>3500</v>
      </c>
      <c r="K11" s="8">
        <f>IF(OR(I11="",J11=""),"",ROUND(PI()*I11*J11/60000,1))</f>
        <v/>
      </c>
      <c r="L11" s="8">
        <f>IF(K11="",IF(J11="","","휠 지름 입력"),IF(K11&gt;30,"⚠️ 고속 &gt;30",IF(K11&gt;25,"⚠️ 사내 상한 25 초과","OK ≤25")))</f>
        <v/>
      </c>
      <c r="M11" s="5" t="inlineStr">
        <is>
          <t>미기록</t>
        </is>
      </c>
      <c r="N11" s="5" t="inlineStr">
        <is>
          <t>미기록</t>
        </is>
      </c>
      <c r="O11" s="5" t="inlineStr">
        <is>
          <t>미기록</t>
        </is>
      </c>
      <c r="P11" s="5" t="inlineStr">
        <is>
          <t>미기록</t>
        </is>
      </c>
      <c r="Q11" s="8">
        <f>IF(COUNT(O11,P11)&lt;2,"",ROUND((O11-P11)*1000,1))</f>
        <v/>
      </c>
      <c r="R11" s="5" t="inlineStr">
        <is>
          <t>미기록</t>
        </is>
      </c>
      <c r="S11" s="5" t="inlineStr">
        <is>
          <t>미기록</t>
        </is>
      </c>
      <c r="T11" s="5" t="inlineStr">
        <is>
          <t>미기록</t>
        </is>
      </c>
      <c r="U11" s="5" t="inlineStr">
        <is>
          <t>미기록</t>
        </is>
      </c>
      <c r="V11" s="5" t="inlineStr">
        <is>
          <t>미기록</t>
        </is>
      </c>
      <c r="W11" s="5" t="inlineStr">
        <is>
          <t>미기록</t>
        </is>
      </c>
      <c r="X11" s="5" t="inlineStr">
        <is>
          <t>미기록</t>
        </is>
      </c>
      <c r="Y11" s="18" t="n">
        <v>3</v>
      </c>
      <c r="Z11" s="5" t="n">
        <v>25</v>
      </c>
      <c r="AA11" s="19">
        <f>IF(OR(Y11="",Z11="",Z11=0),"",ROUND(Y11/Z11,3))</f>
        <v/>
      </c>
      <c r="AB11" s="20" t="n">
        <v>0.075</v>
      </c>
      <c r="AC11" s="5" t="n">
        <v>1</v>
      </c>
      <c r="AD11" s="8">
        <f>IF(AB11="","",IF(AB11&gt;0.075*1.5,"⚠️ 고절입 &gt;150%",IF(AB11&gt;0.075,"⚠️ 0.075 초과","실적 범위")))</f>
        <v/>
      </c>
      <c r="AE11" s="5" t="n"/>
      <c r="AF11" s="20" t="n">
        <v>2.97</v>
      </c>
      <c r="AG11" s="20" t="n">
        <v>2.851</v>
      </c>
      <c r="AH11" s="20" t="n">
        <v>2.89</v>
      </c>
      <c r="AI11" s="20" t="n">
        <v>2.905</v>
      </c>
      <c r="AJ11" s="20" t="n">
        <v>2.907</v>
      </c>
      <c r="AK11" s="5" t="inlineStr">
        <is>
          <t>미기록</t>
        </is>
      </c>
      <c r="AL11" s="5" t="inlineStr">
        <is>
          <t>미기록</t>
        </is>
      </c>
      <c r="AM11" s="5" t="inlineStr">
        <is>
          <t>미기록</t>
        </is>
      </c>
      <c r="AN11" s="5" t="inlineStr">
        <is>
          <t>미기록</t>
        </is>
      </c>
      <c r="AO11" s="21">
        <f>IF(COUNT(AH11:AJ11)=0,"",ROUND(AVERAGE(AH11:AJ11),4))</f>
        <v/>
      </c>
      <c r="AP11" s="8">
        <f>IF(OR(AO11="",AG11=""),"",ROUND((AO11-AG11)*1000,1))</f>
        <v/>
      </c>
      <c r="AQ11" s="8">
        <f>IF(COUNT(AH11:AJ11)&lt;2,"",ROUND((MAX(AH11:AJ11)-MIN(AH11:AJ11))*1000,1))</f>
        <v/>
      </c>
      <c r="AR11" s="21">
        <f>IF(OR(AO11="",AF11=""),"",ROUND(AO11/AF11,4))</f>
        <v/>
      </c>
      <c r="AS11" s="8">
        <f>IF(AR11="","",IF(AR11&lt;0.95,"🔴 가늚 (&lt;0.95)",IF(AR11&gt;0.975,"🟡 굵음 (&gt;0.975)","🟢 범위 안")))</f>
        <v/>
      </c>
      <c r="AT11" s="19">
        <f>IF(AR11="","",ROUND(AR11^4,3))</f>
        <v/>
      </c>
      <c r="AU11" s="5" t="inlineStr">
        <is>
          <t>측정 안 함(장비 미정)</t>
        </is>
      </c>
      <c r="AV11" s="5" t="inlineStr">
        <is>
          <t>측정 안 함(장비 미정)</t>
        </is>
      </c>
      <c r="AW11" s="7" t="n"/>
      <c r="AX11" s="5" t="n"/>
      <c r="AY11" s="5" t="n"/>
      <c r="AZ11" s="5" t="inlineStr">
        <is>
          <t>황삭 10→5 초과 · 4→4 · 테이퍼 면 5~10 · 정삭 3</t>
        </is>
      </c>
      <c r="BA11" s="5" t="n">
        <v>8</v>
      </c>
      <c r="BB11" s="5" t="n">
        <v>6.47</v>
      </c>
      <c r="BC11" s="5" t="n"/>
      <c r="BD11" s="5" t="inlineStr">
        <is>
          <t>Mitutoyo 293-340-30</t>
        </is>
      </c>
      <c r="BE11" s="5" t="n"/>
      <c r="BF11" s="5" t="n"/>
      <c r="BG11" s="5" t="n"/>
      <c r="BH11" s="5" t="inlineStr">
        <is>
          <t>보류</t>
        </is>
      </c>
      <c r="BI11" s="7" t="inlineStr">
        <is>
          <t>재정삭(Final 2.790 · Stock 0.150 · Roughing 끔) 여부 판단 · 테스트 3 = 섹션 분할 + Washout (L2 확인)</t>
        </is>
      </c>
      <c r="BJ11" s="5" t="inlineStr">
        <is>
          <t>미기록</t>
        </is>
      </c>
      <c r="BK11" s="5" t="inlineStr">
        <is>
          <t>실측 검증</t>
        </is>
      </c>
      <c r="BL11" s="7" t="inlineStr">
        <is>
          <t>진입 찍힘 없음 ✅ · 측정−입력 +0.065 / +0.080 / +0.082 · 비율 0.973 / 0.978 / 0.979 (상한 0.975) · 몸통 · Blank OD · EOT 미확인</t>
        </is>
      </c>
    </row>
    <row r="12">
      <c r="A12" s="5" t="n"/>
      <c r="B12" s="17" t="n"/>
      <c r="C12" s="5" t="n"/>
      <c r="D12" s="7" t="n"/>
      <c r="E12" s="5" t="n"/>
      <c r="F12" s="7" t="n"/>
      <c r="G12" s="5" t="n"/>
      <c r="H12" s="5" t="n"/>
      <c r="I12" s="5" t="n"/>
      <c r="J12" s="5" t="n"/>
      <c r="K12" s="8">
        <f>IF(OR(I12="",J12=""),"",ROUND(PI()*I12*J12/60000,1))</f>
        <v/>
      </c>
      <c r="L12" s="8">
        <f>IF(K12="",IF(J12="","","휠 지름 입력"),IF(K12&gt;30,"⚠️ 고속 &gt;30",IF(K12&gt;25,"⚠️ 사내 상한 25 초과","OK ≤25")))</f>
        <v/>
      </c>
      <c r="M12" s="5" t="n"/>
      <c r="N12" s="5" t="n"/>
      <c r="O12" s="5" t="n"/>
      <c r="P12" s="5" t="n"/>
      <c r="Q12" s="8">
        <f>IF(COUNT(O12,P12)&lt;2,"",ROUND((O12-P12)*1000,1))</f>
        <v/>
      </c>
      <c r="R12" s="5" t="n"/>
      <c r="S12" s="5" t="n"/>
      <c r="T12" s="5" t="n"/>
      <c r="U12" s="5" t="n"/>
      <c r="V12" s="5" t="n"/>
      <c r="W12" s="5" t="n"/>
      <c r="X12" s="5" t="n"/>
      <c r="Y12" s="18" t="n"/>
      <c r="Z12" s="5" t="n"/>
      <c r="AA12" s="19">
        <f>IF(OR(Y12="",Z12="",Z12=0),"",ROUND(Y12/Z12,3))</f>
        <v/>
      </c>
      <c r="AB12" s="20" t="n"/>
      <c r="AC12" s="5" t="n"/>
      <c r="AD12" s="8">
        <f>IF(AB12="","",IF(AB12&gt;0.075*1.5,"⚠️ 고절입 &gt;150%",IF(AB12&gt;0.075,"⚠️ 0.075 초과","실적 범위")))</f>
        <v/>
      </c>
      <c r="AE12" s="5" t="n"/>
      <c r="AF12" s="20" t="n"/>
      <c r="AG12" s="20" t="n"/>
      <c r="AH12" s="20" t="n"/>
      <c r="AI12" s="20" t="n"/>
      <c r="AJ12" s="20" t="n"/>
      <c r="AK12" s="5" t="n"/>
      <c r="AL12" s="5" t="n"/>
      <c r="AM12" s="5" t="n"/>
      <c r="AN12" s="5" t="n"/>
      <c r="AO12" s="21">
        <f>IF(COUNT(AH12:AJ12)=0,"",ROUND(AVERAGE(AH12:AJ12),4))</f>
        <v/>
      </c>
      <c r="AP12" s="8">
        <f>IF(OR(AO12="",AG12=""),"",ROUND((AO12-AG12)*1000,1))</f>
        <v/>
      </c>
      <c r="AQ12" s="8">
        <f>IF(COUNT(AH12:AJ12)&lt;2,"",ROUND((MAX(AH12:AJ12)-MIN(AH12:AJ12))*1000,1))</f>
        <v/>
      </c>
      <c r="AR12" s="21">
        <f>IF(OR(AO12="",AF12=""),"",ROUND(AO12/AF12,4))</f>
        <v/>
      </c>
      <c r="AS12" s="8">
        <f>IF(AR12="","",IF(AR12&lt;0.95,"🔴 가늚 (&lt;0.95)",IF(AR12&gt;0.975,"🟡 굵음 (&gt;0.975)","🟢 범위 안")))</f>
        <v/>
      </c>
      <c r="AT12" s="19">
        <f>IF(AR12="","",ROUND(AR12^4,3))</f>
        <v/>
      </c>
      <c r="AU12" s="5" t="n"/>
      <c r="AV12" s="5" t="n"/>
      <c r="AW12" s="7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7" t="n"/>
      <c r="BJ12" s="5" t="n"/>
      <c r="BK12" s="5" t="n"/>
      <c r="BL12" s="7" t="n"/>
    </row>
    <row r="13">
      <c r="A13" s="5" t="n"/>
      <c r="B13" s="17" t="n"/>
      <c r="C13" s="5" t="n"/>
      <c r="D13" s="7" t="n"/>
      <c r="E13" s="5" t="n"/>
      <c r="F13" s="7" t="n"/>
      <c r="G13" s="5" t="n"/>
      <c r="H13" s="5" t="n"/>
      <c r="I13" s="5" t="n"/>
      <c r="J13" s="5" t="n"/>
      <c r="K13" s="8">
        <f>IF(OR(I13="",J13=""),"",ROUND(PI()*I13*J13/60000,1))</f>
        <v/>
      </c>
      <c r="L13" s="8">
        <f>IF(K13="",IF(J13="","","휠 지름 입력"),IF(K13&gt;30,"⚠️ 고속 &gt;30",IF(K13&gt;25,"⚠️ 사내 상한 25 초과","OK ≤25")))</f>
        <v/>
      </c>
      <c r="M13" s="5" t="n"/>
      <c r="N13" s="5" t="n"/>
      <c r="O13" s="5" t="n"/>
      <c r="P13" s="5" t="n"/>
      <c r="Q13" s="8">
        <f>IF(COUNT(O13,P13)&lt;2,"",ROUND((O13-P13)*1000,1))</f>
        <v/>
      </c>
      <c r="R13" s="5" t="n"/>
      <c r="S13" s="5" t="n"/>
      <c r="T13" s="5" t="n"/>
      <c r="U13" s="5" t="n"/>
      <c r="V13" s="5" t="n"/>
      <c r="W13" s="5" t="n"/>
      <c r="X13" s="5" t="n"/>
      <c r="Y13" s="18" t="n"/>
      <c r="Z13" s="5" t="n"/>
      <c r="AA13" s="19">
        <f>IF(OR(Y13="",Z13="",Z13=0),"",ROUND(Y13/Z13,3))</f>
        <v/>
      </c>
      <c r="AB13" s="20" t="n"/>
      <c r="AC13" s="5" t="n"/>
      <c r="AD13" s="8">
        <f>IF(AB13="","",IF(AB13&gt;0.075*1.5,"⚠️ 고절입 &gt;150%",IF(AB13&gt;0.075,"⚠️ 0.075 초과","실적 범위")))</f>
        <v/>
      </c>
      <c r="AE13" s="5" t="n"/>
      <c r="AF13" s="20" t="n"/>
      <c r="AG13" s="20" t="n"/>
      <c r="AH13" s="20" t="n"/>
      <c r="AI13" s="20" t="n"/>
      <c r="AJ13" s="20" t="n"/>
      <c r="AK13" s="5" t="n"/>
      <c r="AL13" s="5" t="n"/>
      <c r="AM13" s="5" t="n"/>
      <c r="AN13" s="5" t="n"/>
      <c r="AO13" s="21">
        <f>IF(COUNT(AH13:AJ13)=0,"",ROUND(AVERAGE(AH13:AJ13),4))</f>
        <v/>
      </c>
      <c r="AP13" s="8">
        <f>IF(OR(AO13="",AG13=""),"",ROUND((AO13-AG13)*1000,1))</f>
        <v/>
      </c>
      <c r="AQ13" s="8">
        <f>IF(COUNT(AH13:AJ13)&lt;2,"",ROUND((MAX(AH13:AJ13)-MIN(AH13:AJ13))*1000,1))</f>
        <v/>
      </c>
      <c r="AR13" s="21">
        <f>IF(OR(AO13="",AF13=""),"",ROUND(AO13/AF13,4))</f>
        <v/>
      </c>
      <c r="AS13" s="8">
        <f>IF(AR13="","",IF(AR13&lt;0.95,"🔴 가늚 (&lt;0.95)",IF(AR13&gt;0.975,"🟡 굵음 (&gt;0.975)","🟢 범위 안")))</f>
        <v/>
      </c>
      <c r="AT13" s="19">
        <f>IF(AR13="","",ROUND(AR13^4,3))</f>
        <v/>
      </c>
      <c r="AU13" s="5" t="n"/>
      <c r="AV13" s="5" t="n"/>
      <c r="AW13" s="7" t="n"/>
      <c r="AX13" s="5" t="n"/>
      <c r="AY13" s="5" t="n"/>
      <c r="AZ13" s="5" t="n"/>
      <c r="BA13" s="5" t="n"/>
      <c r="BB13" s="5" t="n"/>
      <c r="BC13" s="5" t="n"/>
      <c r="BD13" s="5" t="n"/>
      <c r="BE13" s="5" t="n"/>
      <c r="BF13" s="5" t="n"/>
      <c r="BG13" s="5" t="n"/>
      <c r="BH13" s="5" t="n"/>
      <c r="BI13" s="7" t="n"/>
      <c r="BJ13" s="5" t="n"/>
      <c r="BK13" s="5" t="n"/>
      <c r="BL13" s="7" t="n"/>
    </row>
    <row r="14">
      <c r="A14" s="5" t="n"/>
      <c r="B14" s="17" t="n"/>
      <c r="C14" s="5" t="n"/>
      <c r="D14" s="7" t="n"/>
      <c r="E14" s="5" t="n"/>
      <c r="F14" s="7" t="n"/>
      <c r="G14" s="5" t="n"/>
      <c r="H14" s="5" t="n"/>
      <c r="I14" s="5" t="n"/>
      <c r="J14" s="5" t="n"/>
      <c r="K14" s="8">
        <f>IF(OR(I14="",J14=""),"",ROUND(PI()*I14*J14/60000,1))</f>
        <v/>
      </c>
      <c r="L14" s="8">
        <f>IF(K14="",IF(J14="","","휠 지름 입력"),IF(K14&gt;30,"⚠️ 고속 &gt;30",IF(K14&gt;25,"⚠️ 사내 상한 25 초과","OK ≤25")))</f>
        <v/>
      </c>
      <c r="M14" s="5" t="n"/>
      <c r="N14" s="5" t="n"/>
      <c r="O14" s="5" t="n"/>
      <c r="P14" s="5" t="n"/>
      <c r="Q14" s="8">
        <f>IF(COUNT(O14,P14)&lt;2,"",ROUND((O14-P14)*1000,1))</f>
        <v/>
      </c>
      <c r="R14" s="5" t="n"/>
      <c r="S14" s="5" t="n"/>
      <c r="T14" s="5" t="n"/>
      <c r="U14" s="5" t="n"/>
      <c r="V14" s="5" t="n"/>
      <c r="W14" s="5" t="n"/>
      <c r="X14" s="5" t="n"/>
      <c r="Y14" s="18" t="n"/>
      <c r="Z14" s="5" t="n"/>
      <c r="AA14" s="19">
        <f>IF(OR(Y14="",Z14="",Z14=0),"",ROUND(Y14/Z14,3))</f>
        <v/>
      </c>
      <c r="AB14" s="20" t="n"/>
      <c r="AC14" s="5" t="n"/>
      <c r="AD14" s="8">
        <f>IF(AB14="","",IF(AB14&gt;0.075*1.5,"⚠️ 고절입 &gt;150%",IF(AB14&gt;0.075,"⚠️ 0.075 초과","실적 범위")))</f>
        <v/>
      </c>
      <c r="AE14" s="5" t="n"/>
      <c r="AF14" s="20" t="n"/>
      <c r="AG14" s="20" t="n"/>
      <c r="AH14" s="20" t="n"/>
      <c r="AI14" s="20" t="n"/>
      <c r="AJ14" s="20" t="n"/>
      <c r="AK14" s="5" t="n"/>
      <c r="AL14" s="5" t="n"/>
      <c r="AM14" s="5" t="n"/>
      <c r="AN14" s="5" t="n"/>
      <c r="AO14" s="21">
        <f>IF(COUNT(AH14:AJ14)=0,"",ROUND(AVERAGE(AH14:AJ14),4))</f>
        <v/>
      </c>
      <c r="AP14" s="8">
        <f>IF(OR(AO14="",AG14=""),"",ROUND((AO14-AG14)*1000,1))</f>
        <v/>
      </c>
      <c r="AQ14" s="8">
        <f>IF(COUNT(AH14:AJ14)&lt;2,"",ROUND((MAX(AH14:AJ14)-MIN(AH14:AJ14))*1000,1))</f>
        <v/>
      </c>
      <c r="AR14" s="21">
        <f>IF(OR(AO14="",AF14=""),"",ROUND(AO14/AF14,4))</f>
        <v/>
      </c>
      <c r="AS14" s="8">
        <f>IF(AR14="","",IF(AR14&lt;0.95,"🔴 가늚 (&lt;0.95)",IF(AR14&gt;0.975,"🟡 굵음 (&gt;0.975)","🟢 범위 안")))</f>
        <v/>
      </c>
      <c r="AT14" s="19">
        <f>IF(AR14="","",ROUND(AR14^4,3))</f>
        <v/>
      </c>
      <c r="AU14" s="5" t="n"/>
      <c r="AV14" s="5" t="n"/>
      <c r="AW14" s="7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7" t="n"/>
      <c r="BJ14" s="5" t="n"/>
      <c r="BK14" s="5" t="n"/>
      <c r="BL14" s="7" t="n"/>
    </row>
    <row r="15">
      <c r="A15" s="5" t="n"/>
      <c r="B15" s="17" t="n"/>
      <c r="C15" s="5" t="n"/>
      <c r="D15" s="7" t="n"/>
      <c r="E15" s="5" t="n"/>
      <c r="F15" s="7" t="n"/>
      <c r="G15" s="5" t="n"/>
      <c r="H15" s="5" t="n"/>
      <c r="I15" s="5" t="n"/>
      <c r="J15" s="5" t="n"/>
      <c r="K15" s="8">
        <f>IF(OR(I15="",J15=""),"",ROUND(PI()*I15*J15/60000,1))</f>
        <v/>
      </c>
      <c r="L15" s="8">
        <f>IF(K15="",IF(J15="","","휠 지름 입력"),IF(K15&gt;30,"⚠️ 고속 &gt;30",IF(K15&gt;25,"⚠️ 사내 상한 25 초과","OK ≤25")))</f>
        <v/>
      </c>
      <c r="M15" s="5" t="n"/>
      <c r="N15" s="5" t="n"/>
      <c r="O15" s="5" t="n"/>
      <c r="P15" s="5" t="n"/>
      <c r="Q15" s="8">
        <f>IF(COUNT(O15,P15)&lt;2,"",ROUND((O15-P15)*1000,1))</f>
        <v/>
      </c>
      <c r="R15" s="5" t="n"/>
      <c r="S15" s="5" t="n"/>
      <c r="T15" s="5" t="n"/>
      <c r="U15" s="5" t="n"/>
      <c r="V15" s="5" t="n"/>
      <c r="W15" s="5" t="n"/>
      <c r="X15" s="5" t="n"/>
      <c r="Y15" s="18" t="n"/>
      <c r="Z15" s="5" t="n"/>
      <c r="AA15" s="19">
        <f>IF(OR(Y15="",Z15="",Z15=0),"",ROUND(Y15/Z15,3))</f>
        <v/>
      </c>
      <c r="AB15" s="20" t="n"/>
      <c r="AC15" s="5" t="n"/>
      <c r="AD15" s="8">
        <f>IF(AB15="","",IF(AB15&gt;0.075*1.5,"⚠️ 고절입 &gt;150%",IF(AB15&gt;0.075,"⚠️ 0.075 초과","실적 범위")))</f>
        <v/>
      </c>
      <c r="AE15" s="5" t="n"/>
      <c r="AF15" s="20" t="n"/>
      <c r="AG15" s="20" t="n"/>
      <c r="AH15" s="20" t="n"/>
      <c r="AI15" s="20" t="n"/>
      <c r="AJ15" s="20" t="n"/>
      <c r="AK15" s="5" t="n"/>
      <c r="AL15" s="5" t="n"/>
      <c r="AM15" s="5" t="n"/>
      <c r="AN15" s="5" t="n"/>
      <c r="AO15" s="21">
        <f>IF(COUNT(AH15:AJ15)=0,"",ROUND(AVERAGE(AH15:AJ15),4))</f>
        <v/>
      </c>
      <c r="AP15" s="8">
        <f>IF(OR(AO15="",AG15=""),"",ROUND((AO15-AG15)*1000,1))</f>
        <v/>
      </c>
      <c r="AQ15" s="8">
        <f>IF(COUNT(AH15:AJ15)&lt;2,"",ROUND((MAX(AH15:AJ15)-MIN(AH15:AJ15))*1000,1))</f>
        <v/>
      </c>
      <c r="AR15" s="21">
        <f>IF(OR(AO15="",AF15=""),"",ROUND(AO15/AF15,4))</f>
        <v/>
      </c>
      <c r="AS15" s="8">
        <f>IF(AR15="","",IF(AR15&lt;0.95,"🔴 가늚 (&lt;0.95)",IF(AR15&gt;0.975,"🟡 굵음 (&gt;0.975)","🟢 범위 안")))</f>
        <v/>
      </c>
      <c r="AT15" s="19">
        <f>IF(AR15="","",ROUND(AR15^4,3))</f>
        <v/>
      </c>
      <c r="AU15" s="5" t="n"/>
      <c r="AV15" s="5" t="n"/>
      <c r="AW15" s="7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7" t="n"/>
      <c r="BJ15" s="5" t="n"/>
      <c r="BK15" s="5" t="n"/>
      <c r="BL15" s="7" t="n"/>
    </row>
    <row r="16">
      <c r="A16" s="5" t="n"/>
      <c r="B16" s="17" t="n"/>
      <c r="C16" s="5" t="n"/>
      <c r="D16" s="7" t="n"/>
      <c r="E16" s="5" t="n"/>
      <c r="F16" s="7" t="n"/>
      <c r="G16" s="5" t="n"/>
      <c r="H16" s="5" t="n"/>
      <c r="I16" s="5" t="n"/>
      <c r="J16" s="5" t="n"/>
      <c r="K16" s="8">
        <f>IF(OR(I16="",J16=""),"",ROUND(PI()*I16*J16/60000,1))</f>
        <v/>
      </c>
      <c r="L16" s="8">
        <f>IF(K16="",IF(J16="","","휠 지름 입력"),IF(K16&gt;30,"⚠️ 고속 &gt;30",IF(K16&gt;25,"⚠️ 사내 상한 25 초과","OK ≤25")))</f>
        <v/>
      </c>
      <c r="M16" s="5" t="n"/>
      <c r="N16" s="5" t="n"/>
      <c r="O16" s="5" t="n"/>
      <c r="P16" s="5" t="n"/>
      <c r="Q16" s="8">
        <f>IF(COUNT(O16,P16)&lt;2,"",ROUND((O16-P16)*1000,1))</f>
        <v/>
      </c>
      <c r="R16" s="5" t="n"/>
      <c r="S16" s="5" t="n"/>
      <c r="T16" s="5" t="n"/>
      <c r="U16" s="5" t="n"/>
      <c r="V16" s="5" t="n"/>
      <c r="W16" s="5" t="n"/>
      <c r="X16" s="5" t="n"/>
      <c r="Y16" s="18" t="n"/>
      <c r="Z16" s="5" t="n"/>
      <c r="AA16" s="19">
        <f>IF(OR(Y16="",Z16="",Z16=0),"",ROUND(Y16/Z16,3))</f>
        <v/>
      </c>
      <c r="AB16" s="20" t="n"/>
      <c r="AC16" s="5" t="n"/>
      <c r="AD16" s="8">
        <f>IF(AB16="","",IF(AB16&gt;0.075*1.5,"⚠️ 고절입 &gt;150%",IF(AB16&gt;0.075,"⚠️ 0.075 초과","실적 범위")))</f>
        <v/>
      </c>
      <c r="AE16" s="5" t="n"/>
      <c r="AF16" s="20" t="n"/>
      <c r="AG16" s="20" t="n"/>
      <c r="AH16" s="20" t="n"/>
      <c r="AI16" s="20" t="n"/>
      <c r="AJ16" s="20" t="n"/>
      <c r="AK16" s="5" t="n"/>
      <c r="AL16" s="5" t="n"/>
      <c r="AM16" s="5" t="n"/>
      <c r="AN16" s="5" t="n"/>
      <c r="AO16" s="21">
        <f>IF(COUNT(AH16:AJ16)=0,"",ROUND(AVERAGE(AH16:AJ16),4))</f>
        <v/>
      </c>
      <c r="AP16" s="8">
        <f>IF(OR(AO16="",AG16=""),"",ROUND((AO16-AG16)*1000,1))</f>
        <v/>
      </c>
      <c r="AQ16" s="8">
        <f>IF(COUNT(AH16:AJ16)&lt;2,"",ROUND((MAX(AH16:AJ16)-MIN(AH16:AJ16))*1000,1))</f>
        <v/>
      </c>
      <c r="AR16" s="21">
        <f>IF(OR(AO16="",AF16=""),"",ROUND(AO16/AF16,4))</f>
        <v/>
      </c>
      <c r="AS16" s="8">
        <f>IF(AR16="","",IF(AR16&lt;0.95,"🔴 가늚 (&lt;0.95)",IF(AR16&gt;0.975,"🟡 굵음 (&gt;0.975)","🟢 범위 안")))</f>
        <v/>
      </c>
      <c r="AT16" s="19">
        <f>IF(AR16="","",ROUND(AR16^4,3))</f>
        <v/>
      </c>
      <c r="AU16" s="5" t="n"/>
      <c r="AV16" s="5" t="n"/>
      <c r="AW16" s="7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7" t="n"/>
      <c r="BJ16" s="5" t="n"/>
      <c r="BK16" s="5" t="n"/>
      <c r="BL16" s="7" t="n"/>
    </row>
    <row r="17">
      <c r="A17" s="5" t="n"/>
      <c r="B17" s="17" t="n"/>
      <c r="C17" s="5" t="n"/>
      <c r="D17" s="7" t="n"/>
      <c r="E17" s="5" t="n"/>
      <c r="F17" s="7" t="n"/>
      <c r="G17" s="5" t="n"/>
      <c r="H17" s="5" t="n"/>
      <c r="I17" s="5" t="n"/>
      <c r="J17" s="5" t="n"/>
      <c r="K17" s="8">
        <f>IF(OR(I17="",J17=""),"",ROUND(PI()*I17*J17/60000,1))</f>
        <v/>
      </c>
      <c r="L17" s="8">
        <f>IF(K17="",IF(J17="","","휠 지름 입력"),IF(K17&gt;30,"⚠️ 고속 &gt;30",IF(K17&gt;25,"⚠️ 사내 상한 25 초과","OK ≤25")))</f>
        <v/>
      </c>
      <c r="M17" s="5" t="n"/>
      <c r="N17" s="5" t="n"/>
      <c r="O17" s="5" t="n"/>
      <c r="P17" s="5" t="n"/>
      <c r="Q17" s="8">
        <f>IF(COUNT(O17,P17)&lt;2,"",ROUND((O17-P17)*1000,1))</f>
        <v/>
      </c>
      <c r="R17" s="5" t="n"/>
      <c r="S17" s="5" t="n"/>
      <c r="T17" s="5" t="n"/>
      <c r="U17" s="5" t="n"/>
      <c r="V17" s="5" t="n"/>
      <c r="W17" s="5" t="n"/>
      <c r="X17" s="5" t="n"/>
      <c r="Y17" s="18" t="n"/>
      <c r="Z17" s="5" t="n"/>
      <c r="AA17" s="19">
        <f>IF(OR(Y17="",Z17="",Z17=0),"",ROUND(Y17/Z17,3))</f>
        <v/>
      </c>
      <c r="AB17" s="20" t="n"/>
      <c r="AC17" s="5" t="n"/>
      <c r="AD17" s="8">
        <f>IF(AB17="","",IF(AB17&gt;0.075*1.5,"⚠️ 고절입 &gt;150%",IF(AB17&gt;0.075,"⚠️ 0.075 초과","실적 범위")))</f>
        <v/>
      </c>
      <c r="AE17" s="5" t="n"/>
      <c r="AF17" s="20" t="n"/>
      <c r="AG17" s="20" t="n"/>
      <c r="AH17" s="20" t="n"/>
      <c r="AI17" s="20" t="n"/>
      <c r="AJ17" s="20" t="n"/>
      <c r="AK17" s="5" t="n"/>
      <c r="AL17" s="5" t="n"/>
      <c r="AM17" s="5" t="n"/>
      <c r="AN17" s="5" t="n"/>
      <c r="AO17" s="21">
        <f>IF(COUNT(AH17:AJ17)=0,"",ROUND(AVERAGE(AH17:AJ17),4))</f>
        <v/>
      </c>
      <c r="AP17" s="8">
        <f>IF(OR(AO17="",AG17=""),"",ROUND((AO17-AG17)*1000,1))</f>
        <v/>
      </c>
      <c r="AQ17" s="8">
        <f>IF(COUNT(AH17:AJ17)&lt;2,"",ROUND((MAX(AH17:AJ17)-MIN(AH17:AJ17))*1000,1))</f>
        <v/>
      </c>
      <c r="AR17" s="21">
        <f>IF(OR(AO17="",AF17=""),"",ROUND(AO17/AF17,4))</f>
        <v/>
      </c>
      <c r="AS17" s="8">
        <f>IF(AR17="","",IF(AR17&lt;0.95,"🔴 가늚 (&lt;0.95)",IF(AR17&gt;0.975,"🟡 굵음 (&gt;0.975)","🟢 범위 안")))</f>
        <v/>
      </c>
      <c r="AT17" s="19">
        <f>IF(AR17="","",ROUND(AR17^4,3))</f>
        <v/>
      </c>
      <c r="AU17" s="5" t="n"/>
      <c r="AV17" s="5" t="n"/>
      <c r="AW17" s="7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7" t="n"/>
      <c r="BJ17" s="5" t="n"/>
      <c r="BK17" s="5" t="n"/>
      <c r="BL17" s="7" t="n"/>
    </row>
    <row r="18">
      <c r="A18" s="5" t="n"/>
      <c r="B18" s="17" t="n"/>
      <c r="C18" s="5" t="n"/>
      <c r="D18" s="7" t="n"/>
      <c r="E18" s="5" t="n"/>
      <c r="F18" s="7" t="n"/>
      <c r="G18" s="5" t="n"/>
      <c r="H18" s="5" t="n"/>
      <c r="I18" s="5" t="n"/>
      <c r="J18" s="5" t="n"/>
      <c r="K18" s="8">
        <f>IF(OR(I18="",J18=""),"",ROUND(PI()*I18*J18/60000,1))</f>
        <v/>
      </c>
      <c r="L18" s="8">
        <f>IF(K18="",IF(J18="","","휠 지름 입력"),IF(K18&gt;30,"⚠️ 고속 &gt;30",IF(K18&gt;25,"⚠️ 사내 상한 25 초과","OK ≤25")))</f>
        <v/>
      </c>
      <c r="M18" s="5" t="n"/>
      <c r="N18" s="5" t="n"/>
      <c r="O18" s="5" t="n"/>
      <c r="P18" s="5" t="n"/>
      <c r="Q18" s="8">
        <f>IF(COUNT(O18,P18)&lt;2,"",ROUND((O18-P18)*1000,1))</f>
        <v/>
      </c>
      <c r="R18" s="5" t="n"/>
      <c r="S18" s="5" t="n"/>
      <c r="T18" s="5" t="n"/>
      <c r="U18" s="5" t="n"/>
      <c r="V18" s="5" t="n"/>
      <c r="W18" s="5" t="n"/>
      <c r="X18" s="5" t="n"/>
      <c r="Y18" s="18" t="n"/>
      <c r="Z18" s="5" t="n"/>
      <c r="AA18" s="19">
        <f>IF(OR(Y18="",Z18="",Z18=0),"",ROUND(Y18/Z18,3))</f>
        <v/>
      </c>
      <c r="AB18" s="20" t="n"/>
      <c r="AC18" s="5" t="n"/>
      <c r="AD18" s="8">
        <f>IF(AB18="","",IF(AB18&gt;0.075*1.5,"⚠️ 고절입 &gt;150%",IF(AB18&gt;0.075,"⚠️ 0.075 초과","실적 범위")))</f>
        <v/>
      </c>
      <c r="AE18" s="5" t="n"/>
      <c r="AF18" s="20" t="n"/>
      <c r="AG18" s="20" t="n"/>
      <c r="AH18" s="20" t="n"/>
      <c r="AI18" s="20" t="n"/>
      <c r="AJ18" s="20" t="n"/>
      <c r="AK18" s="5" t="n"/>
      <c r="AL18" s="5" t="n"/>
      <c r="AM18" s="5" t="n"/>
      <c r="AN18" s="5" t="n"/>
      <c r="AO18" s="21">
        <f>IF(COUNT(AH18:AJ18)=0,"",ROUND(AVERAGE(AH18:AJ18),4))</f>
        <v/>
      </c>
      <c r="AP18" s="8">
        <f>IF(OR(AO18="",AG18=""),"",ROUND((AO18-AG18)*1000,1))</f>
        <v/>
      </c>
      <c r="AQ18" s="8">
        <f>IF(COUNT(AH18:AJ18)&lt;2,"",ROUND((MAX(AH18:AJ18)-MIN(AH18:AJ18))*1000,1))</f>
        <v/>
      </c>
      <c r="AR18" s="21">
        <f>IF(OR(AO18="",AF18=""),"",ROUND(AO18/AF18,4))</f>
        <v/>
      </c>
      <c r="AS18" s="8">
        <f>IF(AR18="","",IF(AR18&lt;0.95,"🔴 가늚 (&lt;0.95)",IF(AR18&gt;0.975,"🟡 굵음 (&gt;0.975)","🟢 범위 안")))</f>
        <v/>
      </c>
      <c r="AT18" s="19">
        <f>IF(AR18="","",ROUND(AR18^4,3))</f>
        <v/>
      </c>
      <c r="AU18" s="5" t="n"/>
      <c r="AV18" s="5" t="n"/>
      <c r="AW18" s="7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7" t="n"/>
      <c r="BJ18" s="5" t="n"/>
      <c r="BK18" s="5" t="n"/>
      <c r="BL18" s="7" t="n"/>
    </row>
    <row r="19">
      <c r="A19" s="5" t="n"/>
      <c r="B19" s="17" t="n"/>
      <c r="C19" s="5" t="n"/>
      <c r="D19" s="7" t="n"/>
      <c r="E19" s="5" t="n"/>
      <c r="F19" s="7" t="n"/>
      <c r="G19" s="5" t="n"/>
      <c r="H19" s="5" t="n"/>
      <c r="I19" s="5" t="n"/>
      <c r="J19" s="5" t="n"/>
      <c r="K19" s="8">
        <f>IF(OR(I19="",J19=""),"",ROUND(PI()*I19*J19/60000,1))</f>
        <v/>
      </c>
      <c r="L19" s="8">
        <f>IF(K19="",IF(J19="","","휠 지름 입력"),IF(K19&gt;30,"⚠️ 고속 &gt;30",IF(K19&gt;25,"⚠️ 사내 상한 25 초과","OK ≤25")))</f>
        <v/>
      </c>
      <c r="M19" s="5" t="n"/>
      <c r="N19" s="5" t="n"/>
      <c r="O19" s="5" t="n"/>
      <c r="P19" s="5" t="n"/>
      <c r="Q19" s="8">
        <f>IF(COUNT(O19,P19)&lt;2,"",ROUND((O19-P19)*1000,1))</f>
        <v/>
      </c>
      <c r="R19" s="5" t="n"/>
      <c r="S19" s="5" t="n"/>
      <c r="T19" s="5" t="n"/>
      <c r="U19" s="5" t="n"/>
      <c r="V19" s="5" t="n"/>
      <c r="W19" s="5" t="n"/>
      <c r="X19" s="5" t="n"/>
      <c r="Y19" s="18" t="n"/>
      <c r="Z19" s="5" t="n"/>
      <c r="AA19" s="19">
        <f>IF(OR(Y19="",Z19="",Z19=0),"",ROUND(Y19/Z19,3))</f>
        <v/>
      </c>
      <c r="AB19" s="20" t="n"/>
      <c r="AC19" s="5" t="n"/>
      <c r="AD19" s="8">
        <f>IF(AB19="","",IF(AB19&gt;0.075*1.5,"⚠️ 고절입 &gt;150%",IF(AB19&gt;0.075,"⚠️ 0.075 초과","실적 범위")))</f>
        <v/>
      </c>
      <c r="AE19" s="5" t="n"/>
      <c r="AF19" s="20" t="n"/>
      <c r="AG19" s="20" t="n"/>
      <c r="AH19" s="20" t="n"/>
      <c r="AI19" s="20" t="n"/>
      <c r="AJ19" s="20" t="n"/>
      <c r="AK19" s="5" t="n"/>
      <c r="AL19" s="5" t="n"/>
      <c r="AM19" s="5" t="n"/>
      <c r="AN19" s="5" t="n"/>
      <c r="AO19" s="21">
        <f>IF(COUNT(AH19:AJ19)=0,"",ROUND(AVERAGE(AH19:AJ19),4))</f>
        <v/>
      </c>
      <c r="AP19" s="8">
        <f>IF(OR(AO19="",AG19=""),"",ROUND((AO19-AG19)*1000,1))</f>
        <v/>
      </c>
      <c r="AQ19" s="8">
        <f>IF(COUNT(AH19:AJ19)&lt;2,"",ROUND((MAX(AH19:AJ19)-MIN(AH19:AJ19))*1000,1))</f>
        <v/>
      </c>
      <c r="AR19" s="21">
        <f>IF(OR(AO19="",AF19=""),"",ROUND(AO19/AF19,4))</f>
        <v/>
      </c>
      <c r="AS19" s="8">
        <f>IF(AR19="","",IF(AR19&lt;0.95,"🔴 가늚 (&lt;0.95)",IF(AR19&gt;0.975,"🟡 굵음 (&gt;0.975)","🟢 범위 안")))</f>
        <v/>
      </c>
      <c r="AT19" s="19">
        <f>IF(AR19="","",ROUND(AR19^4,3))</f>
        <v/>
      </c>
      <c r="AU19" s="5" t="n"/>
      <c r="AV19" s="5" t="n"/>
      <c r="AW19" s="7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7" t="n"/>
      <c r="BJ19" s="5" t="n"/>
      <c r="BK19" s="5" t="n"/>
      <c r="BL19" s="7" t="n"/>
    </row>
    <row r="20">
      <c r="A20" s="5" t="n"/>
      <c r="B20" s="17" t="n"/>
      <c r="C20" s="5" t="n"/>
      <c r="D20" s="7" t="n"/>
      <c r="E20" s="5" t="n"/>
      <c r="F20" s="7" t="n"/>
      <c r="G20" s="5" t="n"/>
      <c r="H20" s="5" t="n"/>
      <c r="I20" s="5" t="n"/>
      <c r="J20" s="5" t="n"/>
      <c r="K20" s="8">
        <f>IF(OR(I20="",J20=""),"",ROUND(PI()*I20*J20/60000,1))</f>
        <v/>
      </c>
      <c r="L20" s="8">
        <f>IF(K20="",IF(J20="","","휠 지름 입력"),IF(K20&gt;30,"⚠️ 고속 &gt;30",IF(K20&gt;25,"⚠️ 사내 상한 25 초과","OK ≤25")))</f>
        <v/>
      </c>
      <c r="M20" s="5" t="n"/>
      <c r="N20" s="5" t="n"/>
      <c r="O20" s="5" t="n"/>
      <c r="P20" s="5" t="n"/>
      <c r="Q20" s="8">
        <f>IF(COUNT(O20,P20)&lt;2,"",ROUND((O20-P20)*1000,1))</f>
        <v/>
      </c>
      <c r="R20" s="5" t="n"/>
      <c r="S20" s="5" t="n"/>
      <c r="T20" s="5" t="n"/>
      <c r="U20" s="5" t="n"/>
      <c r="V20" s="5" t="n"/>
      <c r="W20" s="5" t="n"/>
      <c r="X20" s="5" t="n"/>
      <c r="Y20" s="18" t="n"/>
      <c r="Z20" s="5" t="n"/>
      <c r="AA20" s="19">
        <f>IF(OR(Y20="",Z20="",Z20=0),"",ROUND(Y20/Z20,3))</f>
        <v/>
      </c>
      <c r="AB20" s="20" t="n"/>
      <c r="AC20" s="5" t="n"/>
      <c r="AD20" s="8">
        <f>IF(AB20="","",IF(AB20&gt;0.075*1.5,"⚠️ 고절입 &gt;150%",IF(AB20&gt;0.075,"⚠️ 0.075 초과","실적 범위")))</f>
        <v/>
      </c>
      <c r="AE20" s="5" t="n"/>
      <c r="AF20" s="20" t="n"/>
      <c r="AG20" s="20" t="n"/>
      <c r="AH20" s="20" t="n"/>
      <c r="AI20" s="20" t="n"/>
      <c r="AJ20" s="20" t="n"/>
      <c r="AK20" s="5" t="n"/>
      <c r="AL20" s="5" t="n"/>
      <c r="AM20" s="5" t="n"/>
      <c r="AN20" s="5" t="n"/>
      <c r="AO20" s="21">
        <f>IF(COUNT(AH20:AJ20)=0,"",ROUND(AVERAGE(AH20:AJ20),4))</f>
        <v/>
      </c>
      <c r="AP20" s="8">
        <f>IF(OR(AO20="",AG20=""),"",ROUND((AO20-AG20)*1000,1))</f>
        <v/>
      </c>
      <c r="AQ20" s="8">
        <f>IF(COUNT(AH20:AJ20)&lt;2,"",ROUND((MAX(AH20:AJ20)-MIN(AH20:AJ20))*1000,1))</f>
        <v/>
      </c>
      <c r="AR20" s="21">
        <f>IF(OR(AO20="",AF20=""),"",ROUND(AO20/AF20,4))</f>
        <v/>
      </c>
      <c r="AS20" s="8">
        <f>IF(AR20="","",IF(AR20&lt;0.95,"🔴 가늚 (&lt;0.95)",IF(AR20&gt;0.975,"🟡 굵음 (&gt;0.975)","🟢 범위 안")))</f>
        <v/>
      </c>
      <c r="AT20" s="19">
        <f>IF(AR20="","",ROUND(AR20^4,3))</f>
        <v/>
      </c>
      <c r="AU20" s="5" t="n"/>
      <c r="AV20" s="5" t="n"/>
      <c r="AW20" s="7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7" t="n"/>
      <c r="BJ20" s="5" t="n"/>
      <c r="BK20" s="5" t="n"/>
      <c r="BL20" s="7" t="n"/>
    </row>
    <row r="21">
      <c r="A21" s="5" t="n"/>
      <c r="B21" s="17" t="n"/>
      <c r="C21" s="5" t="n"/>
      <c r="D21" s="7" t="n"/>
      <c r="E21" s="5" t="n"/>
      <c r="F21" s="7" t="n"/>
      <c r="G21" s="5" t="n"/>
      <c r="H21" s="5" t="n"/>
      <c r="I21" s="5" t="n"/>
      <c r="J21" s="5" t="n"/>
      <c r="K21" s="8">
        <f>IF(OR(I21="",J21=""),"",ROUND(PI()*I21*J21/60000,1))</f>
        <v/>
      </c>
      <c r="L21" s="8">
        <f>IF(K21="",IF(J21="","","휠 지름 입력"),IF(K21&gt;30,"⚠️ 고속 &gt;30",IF(K21&gt;25,"⚠️ 사내 상한 25 초과","OK ≤25")))</f>
        <v/>
      </c>
      <c r="M21" s="5" t="n"/>
      <c r="N21" s="5" t="n"/>
      <c r="O21" s="5" t="n"/>
      <c r="P21" s="5" t="n"/>
      <c r="Q21" s="8">
        <f>IF(COUNT(O21,P21)&lt;2,"",ROUND((O21-P21)*1000,1))</f>
        <v/>
      </c>
      <c r="R21" s="5" t="n"/>
      <c r="S21" s="5" t="n"/>
      <c r="T21" s="5" t="n"/>
      <c r="U21" s="5" t="n"/>
      <c r="V21" s="5" t="n"/>
      <c r="W21" s="5" t="n"/>
      <c r="X21" s="5" t="n"/>
      <c r="Y21" s="18" t="n"/>
      <c r="Z21" s="5" t="n"/>
      <c r="AA21" s="19">
        <f>IF(OR(Y21="",Z21="",Z21=0),"",ROUND(Y21/Z21,3))</f>
        <v/>
      </c>
      <c r="AB21" s="20" t="n"/>
      <c r="AC21" s="5" t="n"/>
      <c r="AD21" s="8">
        <f>IF(AB21="","",IF(AB21&gt;0.075*1.5,"⚠️ 고절입 &gt;150%",IF(AB21&gt;0.075,"⚠️ 0.075 초과","실적 범위")))</f>
        <v/>
      </c>
      <c r="AE21" s="5" t="n"/>
      <c r="AF21" s="20" t="n"/>
      <c r="AG21" s="20" t="n"/>
      <c r="AH21" s="20" t="n"/>
      <c r="AI21" s="20" t="n"/>
      <c r="AJ21" s="20" t="n"/>
      <c r="AK21" s="5" t="n"/>
      <c r="AL21" s="5" t="n"/>
      <c r="AM21" s="5" t="n"/>
      <c r="AN21" s="5" t="n"/>
      <c r="AO21" s="21">
        <f>IF(COUNT(AH21:AJ21)=0,"",ROUND(AVERAGE(AH21:AJ21),4))</f>
        <v/>
      </c>
      <c r="AP21" s="8">
        <f>IF(OR(AO21="",AG21=""),"",ROUND((AO21-AG21)*1000,1))</f>
        <v/>
      </c>
      <c r="AQ21" s="8">
        <f>IF(COUNT(AH21:AJ21)&lt;2,"",ROUND((MAX(AH21:AJ21)-MIN(AH21:AJ21))*1000,1))</f>
        <v/>
      </c>
      <c r="AR21" s="21">
        <f>IF(OR(AO21="",AF21=""),"",ROUND(AO21/AF21,4))</f>
        <v/>
      </c>
      <c r="AS21" s="8">
        <f>IF(AR21="","",IF(AR21&lt;0.95,"🔴 가늚 (&lt;0.95)",IF(AR21&gt;0.975,"🟡 굵음 (&gt;0.975)","🟢 범위 안")))</f>
        <v/>
      </c>
      <c r="AT21" s="19">
        <f>IF(AR21="","",ROUND(AR21^4,3))</f>
        <v/>
      </c>
      <c r="AU21" s="5" t="n"/>
      <c r="AV21" s="5" t="n"/>
      <c r="AW21" s="7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7" t="n"/>
      <c r="BJ21" s="5" t="n"/>
      <c r="BK21" s="5" t="n"/>
      <c r="BL21" s="7" t="n"/>
    </row>
    <row r="22">
      <c r="A22" s="5" t="n"/>
      <c r="B22" s="17" t="n"/>
      <c r="C22" s="5" t="n"/>
      <c r="D22" s="7" t="n"/>
      <c r="E22" s="5" t="n"/>
      <c r="F22" s="7" t="n"/>
      <c r="G22" s="5" t="n"/>
      <c r="H22" s="5" t="n"/>
      <c r="I22" s="5" t="n"/>
      <c r="J22" s="5" t="n"/>
      <c r="K22" s="8">
        <f>IF(OR(I22="",J22=""),"",ROUND(PI()*I22*J22/60000,1))</f>
        <v/>
      </c>
      <c r="L22" s="8">
        <f>IF(K22="",IF(J22="","","휠 지름 입력"),IF(K22&gt;30,"⚠️ 고속 &gt;30",IF(K22&gt;25,"⚠️ 사내 상한 25 초과","OK ≤25")))</f>
        <v/>
      </c>
      <c r="M22" s="5" t="n"/>
      <c r="N22" s="5" t="n"/>
      <c r="O22" s="5" t="n"/>
      <c r="P22" s="5" t="n"/>
      <c r="Q22" s="8">
        <f>IF(COUNT(O22,P22)&lt;2,"",ROUND((O22-P22)*1000,1))</f>
        <v/>
      </c>
      <c r="R22" s="5" t="n"/>
      <c r="S22" s="5" t="n"/>
      <c r="T22" s="5" t="n"/>
      <c r="U22" s="5" t="n"/>
      <c r="V22" s="5" t="n"/>
      <c r="W22" s="5" t="n"/>
      <c r="X22" s="5" t="n"/>
      <c r="Y22" s="18" t="n"/>
      <c r="Z22" s="5" t="n"/>
      <c r="AA22" s="19">
        <f>IF(OR(Y22="",Z22="",Z22=0),"",ROUND(Y22/Z22,3))</f>
        <v/>
      </c>
      <c r="AB22" s="20" t="n"/>
      <c r="AC22" s="5" t="n"/>
      <c r="AD22" s="8">
        <f>IF(AB22="","",IF(AB22&gt;0.075*1.5,"⚠️ 고절입 &gt;150%",IF(AB22&gt;0.075,"⚠️ 0.075 초과","실적 범위")))</f>
        <v/>
      </c>
      <c r="AE22" s="5" t="n"/>
      <c r="AF22" s="20" t="n"/>
      <c r="AG22" s="20" t="n"/>
      <c r="AH22" s="20" t="n"/>
      <c r="AI22" s="20" t="n"/>
      <c r="AJ22" s="20" t="n"/>
      <c r="AK22" s="5" t="n"/>
      <c r="AL22" s="5" t="n"/>
      <c r="AM22" s="5" t="n"/>
      <c r="AN22" s="5" t="n"/>
      <c r="AO22" s="21">
        <f>IF(COUNT(AH22:AJ22)=0,"",ROUND(AVERAGE(AH22:AJ22),4))</f>
        <v/>
      </c>
      <c r="AP22" s="8">
        <f>IF(OR(AO22="",AG22=""),"",ROUND((AO22-AG22)*1000,1))</f>
        <v/>
      </c>
      <c r="AQ22" s="8">
        <f>IF(COUNT(AH22:AJ22)&lt;2,"",ROUND((MAX(AH22:AJ22)-MIN(AH22:AJ22))*1000,1))</f>
        <v/>
      </c>
      <c r="AR22" s="21">
        <f>IF(OR(AO22="",AF22=""),"",ROUND(AO22/AF22,4))</f>
        <v/>
      </c>
      <c r="AS22" s="8">
        <f>IF(AR22="","",IF(AR22&lt;0.95,"🔴 가늚 (&lt;0.95)",IF(AR22&gt;0.975,"🟡 굵음 (&gt;0.975)","🟢 범위 안")))</f>
        <v/>
      </c>
      <c r="AT22" s="19">
        <f>IF(AR22="","",ROUND(AR22^4,3))</f>
        <v/>
      </c>
      <c r="AU22" s="5" t="n"/>
      <c r="AV22" s="5" t="n"/>
      <c r="AW22" s="7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7" t="n"/>
      <c r="BJ22" s="5" t="n"/>
      <c r="BK22" s="5" t="n"/>
      <c r="BL22" s="7" t="n"/>
    </row>
    <row r="23">
      <c r="A23" s="5" t="n"/>
      <c r="B23" s="17" t="n"/>
      <c r="C23" s="5" t="n"/>
      <c r="D23" s="7" t="n"/>
      <c r="E23" s="5" t="n"/>
      <c r="F23" s="7" t="n"/>
      <c r="G23" s="5" t="n"/>
      <c r="H23" s="5" t="n"/>
      <c r="I23" s="5" t="n"/>
      <c r="J23" s="5" t="n"/>
      <c r="K23" s="8">
        <f>IF(OR(I23="",J23=""),"",ROUND(PI()*I23*J23/60000,1))</f>
        <v/>
      </c>
      <c r="L23" s="8">
        <f>IF(K23="",IF(J23="","","휠 지름 입력"),IF(K23&gt;30,"⚠️ 고속 &gt;30",IF(K23&gt;25,"⚠️ 사내 상한 25 초과","OK ≤25")))</f>
        <v/>
      </c>
      <c r="M23" s="5" t="n"/>
      <c r="N23" s="5" t="n"/>
      <c r="O23" s="5" t="n"/>
      <c r="P23" s="5" t="n"/>
      <c r="Q23" s="8">
        <f>IF(COUNT(O23,P23)&lt;2,"",ROUND((O23-P23)*1000,1))</f>
        <v/>
      </c>
      <c r="R23" s="5" t="n"/>
      <c r="S23" s="5" t="n"/>
      <c r="T23" s="5" t="n"/>
      <c r="U23" s="5" t="n"/>
      <c r="V23" s="5" t="n"/>
      <c r="W23" s="5" t="n"/>
      <c r="X23" s="5" t="n"/>
      <c r="Y23" s="18" t="n"/>
      <c r="Z23" s="5" t="n"/>
      <c r="AA23" s="19">
        <f>IF(OR(Y23="",Z23="",Z23=0),"",ROUND(Y23/Z23,3))</f>
        <v/>
      </c>
      <c r="AB23" s="20" t="n"/>
      <c r="AC23" s="5" t="n"/>
      <c r="AD23" s="8">
        <f>IF(AB23="","",IF(AB23&gt;0.075*1.5,"⚠️ 고절입 &gt;150%",IF(AB23&gt;0.075,"⚠️ 0.075 초과","실적 범위")))</f>
        <v/>
      </c>
      <c r="AE23" s="5" t="n"/>
      <c r="AF23" s="20" t="n"/>
      <c r="AG23" s="20" t="n"/>
      <c r="AH23" s="20" t="n"/>
      <c r="AI23" s="20" t="n"/>
      <c r="AJ23" s="20" t="n"/>
      <c r="AK23" s="5" t="n"/>
      <c r="AL23" s="5" t="n"/>
      <c r="AM23" s="5" t="n"/>
      <c r="AN23" s="5" t="n"/>
      <c r="AO23" s="21">
        <f>IF(COUNT(AH23:AJ23)=0,"",ROUND(AVERAGE(AH23:AJ23),4))</f>
        <v/>
      </c>
      <c r="AP23" s="8">
        <f>IF(OR(AO23="",AG23=""),"",ROUND((AO23-AG23)*1000,1))</f>
        <v/>
      </c>
      <c r="AQ23" s="8">
        <f>IF(COUNT(AH23:AJ23)&lt;2,"",ROUND((MAX(AH23:AJ23)-MIN(AH23:AJ23))*1000,1))</f>
        <v/>
      </c>
      <c r="AR23" s="21">
        <f>IF(OR(AO23="",AF23=""),"",ROUND(AO23/AF23,4))</f>
        <v/>
      </c>
      <c r="AS23" s="8">
        <f>IF(AR23="","",IF(AR23&lt;0.95,"🔴 가늚 (&lt;0.95)",IF(AR23&gt;0.975,"🟡 굵음 (&gt;0.975)","🟢 범위 안")))</f>
        <v/>
      </c>
      <c r="AT23" s="19">
        <f>IF(AR23="","",ROUND(AR23^4,3))</f>
        <v/>
      </c>
      <c r="AU23" s="5" t="n"/>
      <c r="AV23" s="5" t="n"/>
      <c r="AW23" s="7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7" t="n"/>
      <c r="BJ23" s="5" t="n"/>
      <c r="BK23" s="5" t="n"/>
      <c r="BL23" s="7" t="n"/>
    </row>
    <row r="24">
      <c r="A24" s="5" t="n"/>
      <c r="B24" s="17" t="n"/>
      <c r="C24" s="5" t="n"/>
      <c r="D24" s="7" t="n"/>
      <c r="E24" s="5" t="n"/>
      <c r="F24" s="7" t="n"/>
      <c r="G24" s="5" t="n"/>
      <c r="H24" s="5" t="n"/>
      <c r="I24" s="5" t="n"/>
      <c r="J24" s="5" t="n"/>
      <c r="K24" s="8">
        <f>IF(OR(I24="",J24=""),"",ROUND(PI()*I24*J24/60000,1))</f>
        <v/>
      </c>
      <c r="L24" s="8">
        <f>IF(K24="",IF(J24="","","휠 지름 입력"),IF(K24&gt;30,"⚠️ 고속 &gt;30",IF(K24&gt;25,"⚠️ 사내 상한 25 초과","OK ≤25")))</f>
        <v/>
      </c>
      <c r="M24" s="5" t="n"/>
      <c r="N24" s="5" t="n"/>
      <c r="O24" s="5" t="n"/>
      <c r="P24" s="5" t="n"/>
      <c r="Q24" s="8">
        <f>IF(COUNT(O24,P24)&lt;2,"",ROUND((O24-P24)*1000,1))</f>
        <v/>
      </c>
      <c r="R24" s="5" t="n"/>
      <c r="S24" s="5" t="n"/>
      <c r="T24" s="5" t="n"/>
      <c r="U24" s="5" t="n"/>
      <c r="V24" s="5" t="n"/>
      <c r="W24" s="5" t="n"/>
      <c r="X24" s="5" t="n"/>
      <c r="Y24" s="18" t="n"/>
      <c r="Z24" s="5" t="n"/>
      <c r="AA24" s="19">
        <f>IF(OR(Y24="",Z24="",Z24=0),"",ROUND(Y24/Z24,3))</f>
        <v/>
      </c>
      <c r="AB24" s="20" t="n"/>
      <c r="AC24" s="5" t="n"/>
      <c r="AD24" s="8">
        <f>IF(AB24="","",IF(AB24&gt;0.075*1.5,"⚠️ 고절입 &gt;150%",IF(AB24&gt;0.075,"⚠️ 0.075 초과","실적 범위")))</f>
        <v/>
      </c>
      <c r="AE24" s="5" t="n"/>
      <c r="AF24" s="20" t="n"/>
      <c r="AG24" s="20" t="n"/>
      <c r="AH24" s="20" t="n"/>
      <c r="AI24" s="20" t="n"/>
      <c r="AJ24" s="20" t="n"/>
      <c r="AK24" s="5" t="n"/>
      <c r="AL24" s="5" t="n"/>
      <c r="AM24" s="5" t="n"/>
      <c r="AN24" s="5" t="n"/>
      <c r="AO24" s="21">
        <f>IF(COUNT(AH24:AJ24)=0,"",ROUND(AVERAGE(AH24:AJ24),4))</f>
        <v/>
      </c>
      <c r="AP24" s="8">
        <f>IF(OR(AO24="",AG24=""),"",ROUND((AO24-AG24)*1000,1))</f>
        <v/>
      </c>
      <c r="AQ24" s="8">
        <f>IF(COUNT(AH24:AJ24)&lt;2,"",ROUND((MAX(AH24:AJ24)-MIN(AH24:AJ24))*1000,1))</f>
        <v/>
      </c>
      <c r="AR24" s="21">
        <f>IF(OR(AO24="",AF24=""),"",ROUND(AO24/AF24,4))</f>
        <v/>
      </c>
      <c r="AS24" s="8">
        <f>IF(AR24="","",IF(AR24&lt;0.95,"🔴 가늚 (&lt;0.95)",IF(AR24&gt;0.975,"🟡 굵음 (&gt;0.975)","🟢 범위 안")))</f>
        <v/>
      </c>
      <c r="AT24" s="19">
        <f>IF(AR24="","",ROUND(AR24^4,3))</f>
        <v/>
      </c>
      <c r="AU24" s="5" t="n"/>
      <c r="AV24" s="5" t="n"/>
      <c r="AW24" s="7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7" t="n"/>
      <c r="BJ24" s="5" t="n"/>
      <c r="BK24" s="5" t="n"/>
      <c r="BL24" s="7" t="n"/>
    </row>
    <row r="25">
      <c r="A25" s="5" t="n"/>
      <c r="B25" s="17" t="n"/>
      <c r="C25" s="5" t="n"/>
      <c r="D25" s="7" t="n"/>
      <c r="E25" s="5" t="n"/>
      <c r="F25" s="7" t="n"/>
      <c r="G25" s="5" t="n"/>
      <c r="H25" s="5" t="n"/>
      <c r="I25" s="5" t="n"/>
      <c r="J25" s="5" t="n"/>
      <c r="K25" s="8">
        <f>IF(OR(I25="",J25=""),"",ROUND(PI()*I25*J25/60000,1))</f>
        <v/>
      </c>
      <c r="L25" s="8">
        <f>IF(K25="",IF(J25="","","휠 지름 입력"),IF(K25&gt;30,"⚠️ 고속 &gt;30",IF(K25&gt;25,"⚠️ 사내 상한 25 초과","OK ≤25")))</f>
        <v/>
      </c>
      <c r="M25" s="5" t="n"/>
      <c r="N25" s="5" t="n"/>
      <c r="O25" s="5" t="n"/>
      <c r="P25" s="5" t="n"/>
      <c r="Q25" s="8">
        <f>IF(COUNT(O25,P25)&lt;2,"",ROUND((O25-P25)*1000,1))</f>
        <v/>
      </c>
      <c r="R25" s="5" t="n"/>
      <c r="S25" s="5" t="n"/>
      <c r="T25" s="5" t="n"/>
      <c r="U25" s="5" t="n"/>
      <c r="V25" s="5" t="n"/>
      <c r="W25" s="5" t="n"/>
      <c r="X25" s="5" t="n"/>
      <c r="Y25" s="18" t="n"/>
      <c r="Z25" s="5" t="n"/>
      <c r="AA25" s="19">
        <f>IF(OR(Y25="",Z25="",Z25=0),"",ROUND(Y25/Z25,3))</f>
        <v/>
      </c>
      <c r="AB25" s="20" t="n"/>
      <c r="AC25" s="5" t="n"/>
      <c r="AD25" s="8">
        <f>IF(AB25="","",IF(AB25&gt;0.075*1.5,"⚠️ 고절입 &gt;150%",IF(AB25&gt;0.075,"⚠️ 0.075 초과","실적 범위")))</f>
        <v/>
      </c>
      <c r="AE25" s="5" t="n"/>
      <c r="AF25" s="20" t="n"/>
      <c r="AG25" s="20" t="n"/>
      <c r="AH25" s="20" t="n"/>
      <c r="AI25" s="20" t="n"/>
      <c r="AJ25" s="20" t="n"/>
      <c r="AK25" s="5" t="n"/>
      <c r="AL25" s="5" t="n"/>
      <c r="AM25" s="5" t="n"/>
      <c r="AN25" s="5" t="n"/>
      <c r="AO25" s="21">
        <f>IF(COUNT(AH25:AJ25)=0,"",ROUND(AVERAGE(AH25:AJ25),4))</f>
        <v/>
      </c>
      <c r="AP25" s="8">
        <f>IF(OR(AO25="",AG25=""),"",ROUND((AO25-AG25)*1000,1))</f>
        <v/>
      </c>
      <c r="AQ25" s="8">
        <f>IF(COUNT(AH25:AJ25)&lt;2,"",ROUND((MAX(AH25:AJ25)-MIN(AH25:AJ25))*1000,1))</f>
        <v/>
      </c>
      <c r="AR25" s="21">
        <f>IF(OR(AO25="",AF25=""),"",ROUND(AO25/AF25,4))</f>
        <v/>
      </c>
      <c r="AS25" s="8">
        <f>IF(AR25="","",IF(AR25&lt;0.95,"🔴 가늚 (&lt;0.95)",IF(AR25&gt;0.975,"🟡 굵음 (&gt;0.975)","🟢 범위 안")))</f>
        <v/>
      </c>
      <c r="AT25" s="19">
        <f>IF(AR25="","",ROUND(AR25^4,3))</f>
        <v/>
      </c>
      <c r="AU25" s="5" t="n"/>
      <c r="AV25" s="5" t="n"/>
      <c r="AW25" s="7" t="n"/>
      <c r="AX25" s="5" t="n"/>
      <c r="AY25" s="5" t="n"/>
      <c r="AZ25" s="5" t="n"/>
      <c r="BA25" s="5" t="n"/>
      <c r="BB25" s="5" t="n"/>
      <c r="BC25" s="5" t="n"/>
      <c r="BD25" s="5" t="n"/>
      <c r="BE25" s="5" t="n"/>
      <c r="BF25" s="5" t="n"/>
      <c r="BG25" s="5" t="n"/>
      <c r="BH25" s="5" t="n"/>
      <c r="BI25" s="7" t="n"/>
      <c r="BJ25" s="5" t="n"/>
      <c r="BK25" s="5" t="n"/>
      <c r="BL25" s="7" t="n"/>
    </row>
    <row r="26">
      <c r="A26" s="5" t="n"/>
      <c r="B26" s="17" t="n"/>
      <c r="C26" s="5" t="n"/>
      <c r="D26" s="7" t="n"/>
      <c r="E26" s="5" t="n"/>
      <c r="F26" s="7" t="n"/>
      <c r="G26" s="5" t="n"/>
      <c r="H26" s="5" t="n"/>
      <c r="I26" s="5" t="n"/>
      <c r="J26" s="5" t="n"/>
      <c r="K26" s="8">
        <f>IF(OR(I26="",J26=""),"",ROUND(PI()*I26*J26/60000,1))</f>
        <v/>
      </c>
      <c r="L26" s="8">
        <f>IF(K26="",IF(J26="","","휠 지름 입력"),IF(K26&gt;30,"⚠️ 고속 &gt;30",IF(K26&gt;25,"⚠️ 사내 상한 25 초과","OK ≤25")))</f>
        <v/>
      </c>
      <c r="M26" s="5" t="n"/>
      <c r="N26" s="5" t="n"/>
      <c r="O26" s="5" t="n"/>
      <c r="P26" s="5" t="n"/>
      <c r="Q26" s="8">
        <f>IF(COUNT(O26,P26)&lt;2,"",ROUND((O26-P26)*1000,1))</f>
        <v/>
      </c>
      <c r="R26" s="5" t="n"/>
      <c r="S26" s="5" t="n"/>
      <c r="T26" s="5" t="n"/>
      <c r="U26" s="5" t="n"/>
      <c r="V26" s="5" t="n"/>
      <c r="W26" s="5" t="n"/>
      <c r="X26" s="5" t="n"/>
      <c r="Y26" s="18" t="n"/>
      <c r="Z26" s="5" t="n"/>
      <c r="AA26" s="19">
        <f>IF(OR(Y26="",Z26="",Z26=0),"",ROUND(Y26/Z26,3))</f>
        <v/>
      </c>
      <c r="AB26" s="20" t="n"/>
      <c r="AC26" s="5" t="n"/>
      <c r="AD26" s="8">
        <f>IF(AB26="","",IF(AB26&gt;0.075*1.5,"⚠️ 고절입 &gt;150%",IF(AB26&gt;0.075,"⚠️ 0.075 초과","실적 범위")))</f>
        <v/>
      </c>
      <c r="AE26" s="5" t="n"/>
      <c r="AF26" s="20" t="n"/>
      <c r="AG26" s="20" t="n"/>
      <c r="AH26" s="20" t="n"/>
      <c r="AI26" s="20" t="n"/>
      <c r="AJ26" s="20" t="n"/>
      <c r="AK26" s="5" t="n"/>
      <c r="AL26" s="5" t="n"/>
      <c r="AM26" s="5" t="n"/>
      <c r="AN26" s="5" t="n"/>
      <c r="AO26" s="21">
        <f>IF(COUNT(AH26:AJ26)=0,"",ROUND(AVERAGE(AH26:AJ26),4))</f>
        <v/>
      </c>
      <c r="AP26" s="8">
        <f>IF(OR(AO26="",AG26=""),"",ROUND((AO26-AG26)*1000,1))</f>
        <v/>
      </c>
      <c r="AQ26" s="8">
        <f>IF(COUNT(AH26:AJ26)&lt;2,"",ROUND((MAX(AH26:AJ26)-MIN(AH26:AJ26))*1000,1))</f>
        <v/>
      </c>
      <c r="AR26" s="21">
        <f>IF(OR(AO26="",AF26=""),"",ROUND(AO26/AF26,4))</f>
        <v/>
      </c>
      <c r="AS26" s="8">
        <f>IF(AR26="","",IF(AR26&lt;0.95,"🔴 가늚 (&lt;0.95)",IF(AR26&gt;0.975,"🟡 굵음 (&gt;0.975)","🟢 범위 안")))</f>
        <v/>
      </c>
      <c r="AT26" s="19">
        <f>IF(AR26="","",ROUND(AR26^4,3))</f>
        <v/>
      </c>
      <c r="AU26" s="5" t="n"/>
      <c r="AV26" s="5" t="n"/>
      <c r="AW26" s="7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7" t="n"/>
      <c r="BJ26" s="5" t="n"/>
      <c r="BK26" s="5" t="n"/>
      <c r="BL26" s="7" t="n"/>
    </row>
    <row r="27">
      <c r="A27" s="5" t="n"/>
      <c r="B27" s="17" t="n"/>
      <c r="C27" s="5" t="n"/>
      <c r="D27" s="7" t="n"/>
      <c r="E27" s="5" t="n"/>
      <c r="F27" s="7" t="n"/>
      <c r="G27" s="5" t="n"/>
      <c r="H27" s="5" t="n"/>
      <c r="I27" s="5" t="n"/>
      <c r="J27" s="5" t="n"/>
      <c r="K27" s="8">
        <f>IF(OR(I27="",J27=""),"",ROUND(PI()*I27*J27/60000,1))</f>
        <v/>
      </c>
      <c r="L27" s="8">
        <f>IF(K27="",IF(J27="","","휠 지름 입력"),IF(K27&gt;30,"⚠️ 고속 &gt;30",IF(K27&gt;25,"⚠️ 사내 상한 25 초과","OK ≤25")))</f>
        <v/>
      </c>
      <c r="M27" s="5" t="n"/>
      <c r="N27" s="5" t="n"/>
      <c r="O27" s="5" t="n"/>
      <c r="P27" s="5" t="n"/>
      <c r="Q27" s="8">
        <f>IF(COUNT(O27,P27)&lt;2,"",ROUND((O27-P27)*1000,1))</f>
        <v/>
      </c>
      <c r="R27" s="5" t="n"/>
      <c r="S27" s="5" t="n"/>
      <c r="T27" s="5" t="n"/>
      <c r="U27" s="5" t="n"/>
      <c r="V27" s="5" t="n"/>
      <c r="W27" s="5" t="n"/>
      <c r="X27" s="5" t="n"/>
      <c r="Y27" s="18" t="n"/>
      <c r="Z27" s="5" t="n"/>
      <c r="AA27" s="19">
        <f>IF(OR(Y27="",Z27="",Z27=0),"",ROUND(Y27/Z27,3))</f>
        <v/>
      </c>
      <c r="AB27" s="20" t="n"/>
      <c r="AC27" s="5" t="n"/>
      <c r="AD27" s="8">
        <f>IF(AB27="","",IF(AB27&gt;0.075*1.5,"⚠️ 고절입 &gt;150%",IF(AB27&gt;0.075,"⚠️ 0.075 초과","실적 범위")))</f>
        <v/>
      </c>
      <c r="AE27" s="5" t="n"/>
      <c r="AF27" s="20" t="n"/>
      <c r="AG27" s="20" t="n"/>
      <c r="AH27" s="20" t="n"/>
      <c r="AI27" s="20" t="n"/>
      <c r="AJ27" s="20" t="n"/>
      <c r="AK27" s="5" t="n"/>
      <c r="AL27" s="5" t="n"/>
      <c r="AM27" s="5" t="n"/>
      <c r="AN27" s="5" t="n"/>
      <c r="AO27" s="21">
        <f>IF(COUNT(AH27:AJ27)=0,"",ROUND(AVERAGE(AH27:AJ27),4))</f>
        <v/>
      </c>
      <c r="AP27" s="8">
        <f>IF(OR(AO27="",AG27=""),"",ROUND((AO27-AG27)*1000,1))</f>
        <v/>
      </c>
      <c r="AQ27" s="8">
        <f>IF(COUNT(AH27:AJ27)&lt;2,"",ROUND((MAX(AH27:AJ27)-MIN(AH27:AJ27))*1000,1))</f>
        <v/>
      </c>
      <c r="AR27" s="21">
        <f>IF(OR(AO27="",AF27=""),"",ROUND(AO27/AF27,4))</f>
        <v/>
      </c>
      <c r="AS27" s="8">
        <f>IF(AR27="","",IF(AR27&lt;0.95,"🔴 가늚 (&lt;0.95)",IF(AR27&gt;0.975,"🟡 굵음 (&gt;0.975)","🟢 범위 안")))</f>
        <v/>
      </c>
      <c r="AT27" s="19">
        <f>IF(AR27="","",ROUND(AR27^4,3))</f>
        <v/>
      </c>
      <c r="AU27" s="5" t="n"/>
      <c r="AV27" s="5" t="n"/>
      <c r="AW27" s="7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7" t="n"/>
      <c r="BJ27" s="5" t="n"/>
      <c r="BK27" s="5" t="n"/>
      <c r="BL27" s="7" t="n"/>
    </row>
    <row r="28">
      <c r="A28" s="5" t="n"/>
      <c r="B28" s="17" t="n"/>
      <c r="C28" s="5" t="n"/>
      <c r="D28" s="7" t="n"/>
      <c r="E28" s="5" t="n"/>
      <c r="F28" s="7" t="n"/>
      <c r="G28" s="5" t="n"/>
      <c r="H28" s="5" t="n"/>
      <c r="I28" s="5" t="n"/>
      <c r="J28" s="5" t="n"/>
      <c r="K28" s="8">
        <f>IF(OR(I28="",J28=""),"",ROUND(PI()*I28*J28/60000,1))</f>
        <v/>
      </c>
      <c r="L28" s="8">
        <f>IF(K28="",IF(J28="","","휠 지름 입력"),IF(K28&gt;30,"⚠️ 고속 &gt;30",IF(K28&gt;25,"⚠️ 사내 상한 25 초과","OK ≤25")))</f>
        <v/>
      </c>
      <c r="M28" s="5" t="n"/>
      <c r="N28" s="5" t="n"/>
      <c r="O28" s="5" t="n"/>
      <c r="P28" s="5" t="n"/>
      <c r="Q28" s="8">
        <f>IF(COUNT(O28,P28)&lt;2,"",ROUND((O28-P28)*1000,1))</f>
        <v/>
      </c>
      <c r="R28" s="5" t="n"/>
      <c r="S28" s="5" t="n"/>
      <c r="T28" s="5" t="n"/>
      <c r="U28" s="5" t="n"/>
      <c r="V28" s="5" t="n"/>
      <c r="W28" s="5" t="n"/>
      <c r="X28" s="5" t="n"/>
      <c r="Y28" s="18" t="n"/>
      <c r="Z28" s="5" t="n"/>
      <c r="AA28" s="19">
        <f>IF(OR(Y28="",Z28="",Z28=0),"",ROUND(Y28/Z28,3))</f>
        <v/>
      </c>
      <c r="AB28" s="20" t="n"/>
      <c r="AC28" s="5" t="n"/>
      <c r="AD28" s="8">
        <f>IF(AB28="","",IF(AB28&gt;0.075*1.5,"⚠️ 고절입 &gt;150%",IF(AB28&gt;0.075,"⚠️ 0.075 초과","실적 범위")))</f>
        <v/>
      </c>
      <c r="AE28" s="5" t="n"/>
      <c r="AF28" s="20" t="n"/>
      <c r="AG28" s="20" t="n"/>
      <c r="AH28" s="20" t="n"/>
      <c r="AI28" s="20" t="n"/>
      <c r="AJ28" s="20" t="n"/>
      <c r="AK28" s="5" t="n"/>
      <c r="AL28" s="5" t="n"/>
      <c r="AM28" s="5" t="n"/>
      <c r="AN28" s="5" t="n"/>
      <c r="AO28" s="21">
        <f>IF(COUNT(AH28:AJ28)=0,"",ROUND(AVERAGE(AH28:AJ28),4))</f>
        <v/>
      </c>
      <c r="AP28" s="8">
        <f>IF(OR(AO28="",AG28=""),"",ROUND((AO28-AG28)*1000,1))</f>
        <v/>
      </c>
      <c r="AQ28" s="8">
        <f>IF(COUNT(AH28:AJ28)&lt;2,"",ROUND((MAX(AH28:AJ28)-MIN(AH28:AJ28))*1000,1))</f>
        <v/>
      </c>
      <c r="AR28" s="21">
        <f>IF(OR(AO28="",AF28=""),"",ROUND(AO28/AF28,4))</f>
        <v/>
      </c>
      <c r="AS28" s="8">
        <f>IF(AR28="","",IF(AR28&lt;0.95,"🔴 가늚 (&lt;0.95)",IF(AR28&gt;0.975,"🟡 굵음 (&gt;0.975)","🟢 범위 안")))</f>
        <v/>
      </c>
      <c r="AT28" s="19">
        <f>IF(AR28="","",ROUND(AR28^4,3))</f>
        <v/>
      </c>
      <c r="AU28" s="5" t="n"/>
      <c r="AV28" s="5" t="n"/>
      <c r="AW28" s="7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7" t="n"/>
      <c r="BJ28" s="5" t="n"/>
      <c r="BK28" s="5" t="n"/>
      <c r="BL28" s="7" t="n"/>
    </row>
    <row r="29">
      <c r="A29" s="5" t="n"/>
      <c r="B29" s="17" t="n"/>
      <c r="C29" s="5" t="n"/>
      <c r="D29" s="7" t="n"/>
      <c r="E29" s="5" t="n"/>
      <c r="F29" s="7" t="n"/>
      <c r="G29" s="5" t="n"/>
      <c r="H29" s="5" t="n"/>
      <c r="I29" s="5" t="n"/>
      <c r="J29" s="5" t="n"/>
      <c r="K29" s="8">
        <f>IF(OR(I29="",J29=""),"",ROUND(PI()*I29*J29/60000,1))</f>
        <v/>
      </c>
      <c r="L29" s="8">
        <f>IF(K29="",IF(J29="","","휠 지름 입력"),IF(K29&gt;30,"⚠️ 고속 &gt;30",IF(K29&gt;25,"⚠️ 사내 상한 25 초과","OK ≤25")))</f>
        <v/>
      </c>
      <c r="M29" s="5" t="n"/>
      <c r="N29" s="5" t="n"/>
      <c r="O29" s="5" t="n"/>
      <c r="P29" s="5" t="n"/>
      <c r="Q29" s="8">
        <f>IF(COUNT(O29,P29)&lt;2,"",ROUND((O29-P29)*1000,1))</f>
        <v/>
      </c>
      <c r="R29" s="5" t="n"/>
      <c r="S29" s="5" t="n"/>
      <c r="T29" s="5" t="n"/>
      <c r="U29" s="5" t="n"/>
      <c r="V29" s="5" t="n"/>
      <c r="W29" s="5" t="n"/>
      <c r="X29" s="5" t="n"/>
      <c r="Y29" s="18" t="n"/>
      <c r="Z29" s="5" t="n"/>
      <c r="AA29" s="19">
        <f>IF(OR(Y29="",Z29="",Z29=0),"",ROUND(Y29/Z29,3))</f>
        <v/>
      </c>
      <c r="AB29" s="20" t="n"/>
      <c r="AC29" s="5" t="n"/>
      <c r="AD29" s="8">
        <f>IF(AB29="","",IF(AB29&gt;0.075*1.5,"⚠️ 고절입 &gt;150%",IF(AB29&gt;0.075,"⚠️ 0.075 초과","실적 범위")))</f>
        <v/>
      </c>
      <c r="AE29" s="5" t="n"/>
      <c r="AF29" s="20" t="n"/>
      <c r="AG29" s="20" t="n"/>
      <c r="AH29" s="20" t="n"/>
      <c r="AI29" s="20" t="n"/>
      <c r="AJ29" s="20" t="n"/>
      <c r="AK29" s="5" t="n"/>
      <c r="AL29" s="5" t="n"/>
      <c r="AM29" s="5" t="n"/>
      <c r="AN29" s="5" t="n"/>
      <c r="AO29" s="21">
        <f>IF(COUNT(AH29:AJ29)=0,"",ROUND(AVERAGE(AH29:AJ29),4))</f>
        <v/>
      </c>
      <c r="AP29" s="8">
        <f>IF(OR(AO29="",AG29=""),"",ROUND((AO29-AG29)*1000,1))</f>
        <v/>
      </c>
      <c r="AQ29" s="8">
        <f>IF(COUNT(AH29:AJ29)&lt;2,"",ROUND((MAX(AH29:AJ29)-MIN(AH29:AJ29))*1000,1))</f>
        <v/>
      </c>
      <c r="AR29" s="21">
        <f>IF(OR(AO29="",AF29=""),"",ROUND(AO29/AF29,4))</f>
        <v/>
      </c>
      <c r="AS29" s="8">
        <f>IF(AR29="","",IF(AR29&lt;0.95,"🔴 가늚 (&lt;0.95)",IF(AR29&gt;0.975,"🟡 굵음 (&gt;0.975)","🟢 범위 안")))</f>
        <v/>
      </c>
      <c r="AT29" s="19">
        <f>IF(AR29="","",ROUND(AR29^4,3))</f>
        <v/>
      </c>
      <c r="AU29" s="5" t="n"/>
      <c r="AV29" s="5" t="n"/>
      <c r="AW29" s="7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7" t="n"/>
      <c r="BJ29" s="5" t="n"/>
      <c r="BK29" s="5" t="n"/>
      <c r="BL29" s="7" t="n"/>
    </row>
    <row r="30">
      <c r="A30" s="5" t="n"/>
      <c r="B30" s="17" t="n"/>
      <c r="C30" s="5" t="n"/>
      <c r="D30" s="7" t="n"/>
      <c r="E30" s="5" t="n"/>
      <c r="F30" s="7" t="n"/>
      <c r="G30" s="5" t="n"/>
      <c r="H30" s="5" t="n"/>
      <c r="I30" s="5" t="n"/>
      <c r="J30" s="5" t="n"/>
      <c r="K30" s="8">
        <f>IF(OR(I30="",J30=""),"",ROUND(PI()*I30*J30/60000,1))</f>
        <v/>
      </c>
      <c r="L30" s="8">
        <f>IF(K30="",IF(J30="","","휠 지름 입력"),IF(K30&gt;30,"⚠️ 고속 &gt;30",IF(K30&gt;25,"⚠️ 사내 상한 25 초과","OK ≤25")))</f>
        <v/>
      </c>
      <c r="M30" s="5" t="n"/>
      <c r="N30" s="5" t="n"/>
      <c r="O30" s="5" t="n"/>
      <c r="P30" s="5" t="n"/>
      <c r="Q30" s="8">
        <f>IF(COUNT(O30,P30)&lt;2,"",ROUND((O30-P30)*1000,1))</f>
        <v/>
      </c>
      <c r="R30" s="5" t="n"/>
      <c r="S30" s="5" t="n"/>
      <c r="T30" s="5" t="n"/>
      <c r="U30" s="5" t="n"/>
      <c r="V30" s="5" t="n"/>
      <c r="W30" s="5" t="n"/>
      <c r="X30" s="5" t="n"/>
      <c r="Y30" s="18" t="n"/>
      <c r="Z30" s="5" t="n"/>
      <c r="AA30" s="19">
        <f>IF(OR(Y30="",Z30="",Z30=0),"",ROUND(Y30/Z30,3))</f>
        <v/>
      </c>
      <c r="AB30" s="20" t="n"/>
      <c r="AC30" s="5" t="n"/>
      <c r="AD30" s="8">
        <f>IF(AB30="","",IF(AB30&gt;0.075*1.5,"⚠️ 고절입 &gt;150%",IF(AB30&gt;0.075,"⚠️ 0.075 초과","실적 범위")))</f>
        <v/>
      </c>
      <c r="AE30" s="5" t="n"/>
      <c r="AF30" s="20" t="n"/>
      <c r="AG30" s="20" t="n"/>
      <c r="AH30" s="20" t="n"/>
      <c r="AI30" s="20" t="n"/>
      <c r="AJ30" s="20" t="n"/>
      <c r="AK30" s="5" t="n"/>
      <c r="AL30" s="5" t="n"/>
      <c r="AM30" s="5" t="n"/>
      <c r="AN30" s="5" t="n"/>
      <c r="AO30" s="21">
        <f>IF(COUNT(AH30:AJ30)=0,"",ROUND(AVERAGE(AH30:AJ30),4))</f>
        <v/>
      </c>
      <c r="AP30" s="8">
        <f>IF(OR(AO30="",AG30=""),"",ROUND((AO30-AG30)*1000,1))</f>
        <v/>
      </c>
      <c r="AQ30" s="8">
        <f>IF(COUNT(AH30:AJ30)&lt;2,"",ROUND((MAX(AH30:AJ30)-MIN(AH30:AJ30))*1000,1))</f>
        <v/>
      </c>
      <c r="AR30" s="21">
        <f>IF(OR(AO30="",AF30=""),"",ROUND(AO30/AF30,4))</f>
        <v/>
      </c>
      <c r="AS30" s="8">
        <f>IF(AR30="","",IF(AR30&lt;0.95,"🔴 가늚 (&lt;0.95)",IF(AR30&gt;0.975,"🟡 굵음 (&gt;0.975)","🟢 범위 안")))</f>
        <v/>
      </c>
      <c r="AT30" s="19">
        <f>IF(AR30="","",ROUND(AR30^4,3))</f>
        <v/>
      </c>
      <c r="AU30" s="5" t="n"/>
      <c r="AV30" s="5" t="n"/>
      <c r="AW30" s="7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7" t="n"/>
      <c r="BJ30" s="5" t="n"/>
      <c r="BK30" s="5" t="n"/>
      <c r="BL30" s="7" t="n"/>
    </row>
    <row r="31">
      <c r="A31" s="5" t="n"/>
      <c r="B31" s="17" t="n"/>
      <c r="C31" s="5" t="n"/>
      <c r="D31" s="7" t="n"/>
      <c r="E31" s="5" t="n"/>
      <c r="F31" s="7" t="n"/>
      <c r="G31" s="5" t="n"/>
      <c r="H31" s="5" t="n"/>
      <c r="I31" s="5" t="n"/>
      <c r="J31" s="5" t="n"/>
      <c r="K31" s="8">
        <f>IF(OR(I31="",J31=""),"",ROUND(PI()*I31*J31/60000,1))</f>
        <v/>
      </c>
      <c r="L31" s="8">
        <f>IF(K31="",IF(J31="","","휠 지름 입력"),IF(K31&gt;30,"⚠️ 고속 &gt;30",IF(K31&gt;25,"⚠️ 사내 상한 25 초과","OK ≤25")))</f>
        <v/>
      </c>
      <c r="M31" s="5" t="n"/>
      <c r="N31" s="5" t="n"/>
      <c r="O31" s="5" t="n"/>
      <c r="P31" s="5" t="n"/>
      <c r="Q31" s="8">
        <f>IF(COUNT(O31,P31)&lt;2,"",ROUND((O31-P31)*1000,1))</f>
        <v/>
      </c>
      <c r="R31" s="5" t="n"/>
      <c r="S31" s="5" t="n"/>
      <c r="T31" s="5" t="n"/>
      <c r="U31" s="5" t="n"/>
      <c r="V31" s="5" t="n"/>
      <c r="W31" s="5" t="n"/>
      <c r="X31" s="5" t="n"/>
      <c r="Y31" s="18" t="n"/>
      <c r="Z31" s="5" t="n"/>
      <c r="AA31" s="19">
        <f>IF(OR(Y31="",Z31="",Z31=0),"",ROUND(Y31/Z31,3))</f>
        <v/>
      </c>
      <c r="AB31" s="20" t="n"/>
      <c r="AC31" s="5" t="n"/>
      <c r="AD31" s="8">
        <f>IF(AB31="","",IF(AB31&gt;0.075*1.5,"⚠️ 고절입 &gt;150%",IF(AB31&gt;0.075,"⚠️ 0.075 초과","실적 범위")))</f>
        <v/>
      </c>
      <c r="AE31" s="5" t="n"/>
      <c r="AF31" s="20" t="n"/>
      <c r="AG31" s="20" t="n"/>
      <c r="AH31" s="20" t="n"/>
      <c r="AI31" s="20" t="n"/>
      <c r="AJ31" s="20" t="n"/>
      <c r="AK31" s="5" t="n"/>
      <c r="AL31" s="5" t="n"/>
      <c r="AM31" s="5" t="n"/>
      <c r="AN31" s="5" t="n"/>
      <c r="AO31" s="21">
        <f>IF(COUNT(AH31:AJ31)=0,"",ROUND(AVERAGE(AH31:AJ31),4))</f>
        <v/>
      </c>
      <c r="AP31" s="8">
        <f>IF(OR(AO31="",AG31=""),"",ROUND((AO31-AG31)*1000,1))</f>
        <v/>
      </c>
      <c r="AQ31" s="8">
        <f>IF(COUNT(AH31:AJ31)&lt;2,"",ROUND((MAX(AH31:AJ31)-MIN(AH31:AJ31))*1000,1))</f>
        <v/>
      </c>
      <c r="AR31" s="21">
        <f>IF(OR(AO31="",AF31=""),"",ROUND(AO31/AF31,4))</f>
        <v/>
      </c>
      <c r="AS31" s="8">
        <f>IF(AR31="","",IF(AR31&lt;0.95,"🔴 가늚 (&lt;0.95)",IF(AR31&gt;0.975,"🟡 굵음 (&gt;0.975)","🟢 범위 안")))</f>
        <v/>
      </c>
      <c r="AT31" s="19">
        <f>IF(AR31="","",ROUND(AR31^4,3))</f>
        <v/>
      </c>
      <c r="AU31" s="5" t="n"/>
      <c r="AV31" s="5" t="n"/>
      <c r="AW31" s="7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7" t="n"/>
      <c r="BJ31" s="5" t="n"/>
      <c r="BK31" s="5" t="n"/>
      <c r="BL31" s="7" t="n"/>
    </row>
    <row r="32">
      <c r="A32" s="5" t="n"/>
      <c r="B32" s="17" t="n"/>
      <c r="C32" s="5" t="n"/>
      <c r="D32" s="7" t="n"/>
      <c r="E32" s="5" t="n"/>
      <c r="F32" s="7" t="n"/>
      <c r="G32" s="5" t="n"/>
      <c r="H32" s="5" t="n"/>
      <c r="I32" s="5" t="n"/>
      <c r="J32" s="5" t="n"/>
      <c r="K32" s="8">
        <f>IF(OR(I32="",J32=""),"",ROUND(PI()*I32*J32/60000,1))</f>
        <v/>
      </c>
      <c r="L32" s="8">
        <f>IF(K32="",IF(J32="","","휠 지름 입력"),IF(K32&gt;30,"⚠️ 고속 &gt;30",IF(K32&gt;25,"⚠️ 사내 상한 25 초과","OK ≤25")))</f>
        <v/>
      </c>
      <c r="M32" s="5" t="n"/>
      <c r="N32" s="5" t="n"/>
      <c r="O32" s="5" t="n"/>
      <c r="P32" s="5" t="n"/>
      <c r="Q32" s="8">
        <f>IF(COUNT(O32,P32)&lt;2,"",ROUND((O32-P32)*1000,1))</f>
        <v/>
      </c>
      <c r="R32" s="5" t="n"/>
      <c r="S32" s="5" t="n"/>
      <c r="T32" s="5" t="n"/>
      <c r="U32" s="5" t="n"/>
      <c r="V32" s="5" t="n"/>
      <c r="W32" s="5" t="n"/>
      <c r="X32" s="5" t="n"/>
      <c r="Y32" s="18" t="n"/>
      <c r="Z32" s="5" t="n"/>
      <c r="AA32" s="19">
        <f>IF(OR(Y32="",Z32="",Z32=0),"",ROUND(Y32/Z32,3))</f>
        <v/>
      </c>
      <c r="AB32" s="20" t="n"/>
      <c r="AC32" s="5" t="n"/>
      <c r="AD32" s="8">
        <f>IF(AB32="","",IF(AB32&gt;0.075*1.5,"⚠️ 고절입 &gt;150%",IF(AB32&gt;0.075,"⚠️ 0.075 초과","실적 범위")))</f>
        <v/>
      </c>
      <c r="AE32" s="5" t="n"/>
      <c r="AF32" s="20" t="n"/>
      <c r="AG32" s="20" t="n"/>
      <c r="AH32" s="20" t="n"/>
      <c r="AI32" s="20" t="n"/>
      <c r="AJ32" s="20" t="n"/>
      <c r="AK32" s="5" t="n"/>
      <c r="AL32" s="5" t="n"/>
      <c r="AM32" s="5" t="n"/>
      <c r="AN32" s="5" t="n"/>
      <c r="AO32" s="21">
        <f>IF(COUNT(AH32:AJ32)=0,"",ROUND(AVERAGE(AH32:AJ32),4))</f>
        <v/>
      </c>
      <c r="AP32" s="8">
        <f>IF(OR(AO32="",AG32=""),"",ROUND((AO32-AG32)*1000,1))</f>
        <v/>
      </c>
      <c r="AQ32" s="8">
        <f>IF(COUNT(AH32:AJ32)&lt;2,"",ROUND((MAX(AH32:AJ32)-MIN(AH32:AJ32))*1000,1))</f>
        <v/>
      </c>
      <c r="AR32" s="21">
        <f>IF(OR(AO32="",AF32=""),"",ROUND(AO32/AF32,4))</f>
        <v/>
      </c>
      <c r="AS32" s="8">
        <f>IF(AR32="","",IF(AR32&lt;0.95,"🔴 가늚 (&lt;0.95)",IF(AR32&gt;0.975,"🟡 굵음 (&gt;0.975)","🟢 범위 안")))</f>
        <v/>
      </c>
      <c r="AT32" s="19">
        <f>IF(AR32="","",ROUND(AR32^4,3))</f>
        <v/>
      </c>
      <c r="AU32" s="5" t="n"/>
      <c r="AV32" s="5" t="n"/>
      <c r="AW32" s="7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7" t="n"/>
      <c r="BJ32" s="5" t="n"/>
      <c r="BK32" s="5" t="n"/>
      <c r="BL32" s="7" t="n"/>
    </row>
    <row r="33">
      <c r="A33" s="5" t="n"/>
      <c r="B33" s="17" t="n"/>
      <c r="C33" s="5" t="n"/>
      <c r="D33" s="7" t="n"/>
      <c r="E33" s="5" t="n"/>
      <c r="F33" s="7" t="n"/>
      <c r="G33" s="5" t="n"/>
      <c r="H33" s="5" t="n"/>
      <c r="I33" s="5" t="n"/>
      <c r="J33" s="5" t="n"/>
      <c r="K33" s="8">
        <f>IF(OR(I33="",J33=""),"",ROUND(PI()*I33*J33/60000,1))</f>
        <v/>
      </c>
      <c r="L33" s="8">
        <f>IF(K33="",IF(J33="","","휠 지름 입력"),IF(K33&gt;30,"⚠️ 고속 &gt;30",IF(K33&gt;25,"⚠️ 사내 상한 25 초과","OK ≤25")))</f>
        <v/>
      </c>
      <c r="M33" s="5" t="n"/>
      <c r="N33" s="5" t="n"/>
      <c r="O33" s="5" t="n"/>
      <c r="P33" s="5" t="n"/>
      <c r="Q33" s="8">
        <f>IF(COUNT(O33,P33)&lt;2,"",ROUND((O33-P33)*1000,1))</f>
        <v/>
      </c>
      <c r="R33" s="5" t="n"/>
      <c r="S33" s="5" t="n"/>
      <c r="T33" s="5" t="n"/>
      <c r="U33" s="5" t="n"/>
      <c r="V33" s="5" t="n"/>
      <c r="W33" s="5" t="n"/>
      <c r="X33" s="5" t="n"/>
      <c r="Y33" s="18" t="n"/>
      <c r="Z33" s="5" t="n"/>
      <c r="AA33" s="19">
        <f>IF(OR(Y33="",Z33="",Z33=0),"",ROUND(Y33/Z33,3))</f>
        <v/>
      </c>
      <c r="AB33" s="20" t="n"/>
      <c r="AC33" s="5" t="n"/>
      <c r="AD33" s="8">
        <f>IF(AB33="","",IF(AB33&gt;0.075*1.5,"⚠️ 고절입 &gt;150%",IF(AB33&gt;0.075,"⚠️ 0.075 초과","실적 범위")))</f>
        <v/>
      </c>
      <c r="AE33" s="5" t="n"/>
      <c r="AF33" s="20" t="n"/>
      <c r="AG33" s="20" t="n"/>
      <c r="AH33" s="20" t="n"/>
      <c r="AI33" s="20" t="n"/>
      <c r="AJ33" s="20" t="n"/>
      <c r="AK33" s="5" t="n"/>
      <c r="AL33" s="5" t="n"/>
      <c r="AM33" s="5" t="n"/>
      <c r="AN33" s="5" t="n"/>
      <c r="AO33" s="21">
        <f>IF(COUNT(AH33:AJ33)=0,"",ROUND(AVERAGE(AH33:AJ33),4))</f>
        <v/>
      </c>
      <c r="AP33" s="8">
        <f>IF(OR(AO33="",AG33=""),"",ROUND((AO33-AG33)*1000,1))</f>
        <v/>
      </c>
      <c r="AQ33" s="8">
        <f>IF(COUNT(AH33:AJ33)&lt;2,"",ROUND((MAX(AH33:AJ33)-MIN(AH33:AJ33))*1000,1))</f>
        <v/>
      </c>
      <c r="AR33" s="21">
        <f>IF(OR(AO33="",AF33=""),"",ROUND(AO33/AF33,4))</f>
        <v/>
      </c>
      <c r="AS33" s="8">
        <f>IF(AR33="","",IF(AR33&lt;0.95,"🔴 가늚 (&lt;0.95)",IF(AR33&gt;0.975,"🟡 굵음 (&gt;0.975)","🟢 범위 안")))</f>
        <v/>
      </c>
      <c r="AT33" s="19">
        <f>IF(AR33="","",ROUND(AR33^4,3))</f>
        <v/>
      </c>
      <c r="AU33" s="5" t="n"/>
      <c r="AV33" s="5" t="n"/>
      <c r="AW33" s="7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7" t="n"/>
      <c r="BJ33" s="5" t="n"/>
      <c r="BK33" s="5" t="n"/>
      <c r="BL33" s="7" t="n"/>
    </row>
    <row r="34">
      <c r="A34" s="5" t="n"/>
      <c r="B34" s="17" t="n"/>
      <c r="C34" s="5" t="n"/>
      <c r="D34" s="7" t="n"/>
      <c r="E34" s="5" t="n"/>
      <c r="F34" s="7" t="n"/>
      <c r="G34" s="5" t="n"/>
      <c r="H34" s="5" t="n"/>
      <c r="I34" s="5" t="n"/>
      <c r="J34" s="5" t="n"/>
      <c r="K34" s="8">
        <f>IF(OR(I34="",J34=""),"",ROUND(PI()*I34*J34/60000,1))</f>
        <v/>
      </c>
      <c r="L34" s="8">
        <f>IF(K34="",IF(J34="","","휠 지름 입력"),IF(K34&gt;30,"⚠️ 고속 &gt;30",IF(K34&gt;25,"⚠️ 사내 상한 25 초과","OK ≤25")))</f>
        <v/>
      </c>
      <c r="M34" s="5" t="n"/>
      <c r="N34" s="5" t="n"/>
      <c r="O34" s="5" t="n"/>
      <c r="P34" s="5" t="n"/>
      <c r="Q34" s="8">
        <f>IF(COUNT(O34,P34)&lt;2,"",ROUND((O34-P34)*1000,1))</f>
        <v/>
      </c>
      <c r="R34" s="5" t="n"/>
      <c r="S34" s="5" t="n"/>
      <c r="T34" s="5" t="n"/>
      <c r="U34" s="5" t="n"/>
      <c r="V34" s="5" t="n"/>
      <c r="W34" s="5" t="n"/>
      <c r="X34" s="5" t="n"/>
      <c r="Y34" s="18" t="n"/>
      <c r="Z34" s="5" t="n"/>
      <c r="AA34" s="19">
        <f>IF(OR(Y34="",Z34="",Z34=0),"",ROUND(Y34/Z34,3))</f>
        <v/>
      </c>
      <c r="AB34" s="20" t="n"/>
      <c r="AC34" s="5" t="n"/>
      <c r="AD34" s="8">
        <f>IF(AB34="","",IF(AB34&gt;0.075*1.5,"⚠️ 고절입 &gt;150%",IF(AB34&gt;0.075,"⚠️ 0.075 초과","실적 범위")))</f>
        <v/>
      </c>
      <c r="AE34" s="5" t="n"/>
      <c r="AF34" s="20" t="n"/>
      <c r="AG34" s="20" t="n"/>
      <c r="AH34" s="20" t="n"/>
      <c r="AI34" s="20" t="n"/>
      <c r="AJ34" s="20" t="n"/>
      <c r="AK34" s="5" t="n"/>
      <c r="AL34" s="5" t="n"/>
      <c r="AM34" s="5" t="n"/>
      <c r="AN34" s="5" t="n"/>
      <c r="AO34" s="21">
        <f>IF(COUNT(AH34:AJ34)=0,"",ROUND(AVERAGE(AH34:AJ34),4))</f>
        <v/>
      </c>
      <c r="AP34" s="8">
        <f>IF(OR(AO34="",AG34=""),"",ROUND((AO34-AG34)*1000,1))</f>
        <v/>
      </c>
      <c r="AQ34" s="8">
        <f>IF(COUNT(AH34:AJ34)&lt;2,"",ROUND((MAX(AH34:AJ34)-MIN(AH34:AJ34))*1000,1))</f>
        <v/>
      </c>
      <c r="AR34" s="21">
        <f>IF(OR(AO34="",AF34=""),"",ROUND(AO34/AF34,4))</f>
        <v/>
      </c>
      <c r="AS34" s="8">
        <f>IF(AR34="","",IF(AR34&lt;0.95,"🔴 가늚 (&lt;0.95)",IF(AR34&gt;0.975,"🟡 굵음 (&gt;0.975)","🟢 범위 안")))</f>
        <v/>
      </c>
      <c r="AT34" s="19">
        <f>IF(AR34="","",ROUND(AR34^4,3))</f>
        <v/>
      </c>
      <c r="AU34" s="5" t="n"/>
      <c r="AV34" s="5" t="n"/>
      <c r="AW34" s="7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7" t="n"/>
      <c r="BJ34" s="5" t="n"/>
      <c r="BK34" s="5" t="n"/>
      <c r="BL34" s="7" t="n"/>
    </row>
  </sheetData>
  <mergeCells count="9">
    <mergeCell ref="H3:L3"/>
    <mergeCell ref="AU3:AZ3"/>
    <mergeCell ref="A3:G3"/>
    <mergeCell ref="BH3:BL3"/>
    <mergeCell ref="BD3:BG3"/>
    <mergeCell ref="M3:X3"/>
    <mergeCell ref="BA3:BC3"/>
    <mergeCell ref="Y3:AE3"/>
    <mergeCell ref="AF3:AT3"/>
  </mergeCells>
  <dataValidations count="4">
    <dataValidation sqref="AX5:AX34" showDropDown="0" showInputMessage="0" showErrorMessage="0" allowBlank="1" type="list">
      <formula1>"유,무"</formula1>
    </dataValidation>
    <dataValidation sqref="AY5:AY34" showDropDown="0" showInputMessage="0" showErrorMessage="0" allowBlank="1" type="list">
      <formula1>"유,무"</formula1>
    </dataValidation>
    <dataValidation sqref="BH5:BH34" showDropDown="0" showInputMessage="0" showErrorMessage="0" allowBlank="1" type="list">
      <formula1>"합격,보류,불합격,재시험"</formula1>
    </dataValidation>
    <dataValidation sqref="BK5:BK34" showDropDown="0" showInputMessage="0" showErrorMessage="0" allowBlank="1" type="list">
      <formula1>"실측 검증,사내 경험값,추정값"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2" t="inlineStr">
        <is>
          <t>테스트 1 요약 — AFCY_D3.8_S6 (D3, 실측 D 2.955 mm) · 1번 공구 1 ~ 4회 · 2026-10-19 ~ 20 · 종결</t>
        </is>
      </c>
    </row>
    <row r="2">
      <c r="A2" s="2" t="inlineStr">
        <is>
          <t>GX7 · HID 12° 휠 Ø125.102 (1A1 단순화) · 3,500 rpm (22.93 m/s) · 정삭 3.0 mm/min · A Spin 25 rpm · Roughing 끔 · 측정값 = 실측 검증(공구 1개), 측정 장비 미기록</t>
        </is>
      </c>
    </row>
    <row r="4" ht="36" customHeight="1">
      <c r="A4" s="23" t="inlineStr">
        <is>
          <t>회</t>
        </is>
      </c>
      <c r="B4" s="23" t="inlineStr">
        <is>
          <t>입력 Final Ø (mm)</t>
        </is>
      </c>
      <c r="C4" s="23" t="inlineStr">
        <is>
          <t>정삭 Infeed rate (mm/min)</t>
        </is>
      </c>
      <c r="D4" s="23" t="inlineStr">
        <is>
          <t>dn ① 날장 진입 (mm)</t>
        </is>
      </c>
      <c r="E4" s="23" t="inlineStr">
        <is>
          <t>dn ③ 테이퍼 진입 (mm)</t>
        </is>
      </c>
      <c r="F4" s="23" t="inlineStr">
        <is>
          <t>목표 dn (mm)</t>
        </is>
      </c>
      <c r="G4" s="23" t="inlineStr">
        <is>
          <t>허용 하한 (mm)</t>
        </is>
      </c>
      <c r="H4" s="23" t="inlineStr">
        <is>
          <t>허용 상한 (mm)</t>
        </is>
      </c>
      <c r="I4" s="23" t="inlineStr">
        <is>
          <t>머리 − 입력 (mm)</t>
        </is>
      </c>
      <c r="J4" s="23" t="inlineStr">
        <is>
          <t>비율 dn머리 ÷ D</t>
        </is>
      </c>
      <c r="K4" s="23" t="inlineStr">
        <is>
          <t>판정</t>
        </is>
      </c>
    </row>
    <row r="5">
      <c r="A5" s="16" t="n">
        <v>1</v>
      </c>
      <c r="B5" s="24" t="n">
        <v>3.05</v>
      </c>
      <c r="C5" s="16" t="n">
        <v>5</v>
      </c>
      <c r="D5" s="24" t="n">
        <v>3</v>
      </c>
      <c r="E5" s="24" t="n"/>
      <c r="F5" s="24" t="n">
        <v>2.84</v>
      </c>
      <c r="G5" s="24" t="n">
        <v>2.807</v>
      </c>
      <c r="H5" s="24" t="n">
        <v>2.881</v>
      </c>
      <c r="I5" s="24">
        <f>D5-B5</f>
        <v/>
      </c>
      <c r="J5" s="25">
        <f>D5/2.955</f>
        <v/>
      </c>
      <c r="K5" s="16">
        <f>IF(AND(D5&gt;=G5,D5&lt;=H5,OR(E5="",AND(E5&gt;=G5,E5&lt;=H5))),"합격","재시험")</f>
        <v/>
      </c>
    </row>
    <row r="6">
      <c r="A6" s="16" t="n">
        <v>2</v>
      </c>
      <c r="B6" s="24" t="n">
        <v>2.93</v>
      </c>
      <c r="C6" s="16" t="n">
        <v>5</v>
      </c>
      <c r="D6" s="24" t="n">
        <v>2.986</v>
      </c>
      <c r="E6" s="24" t="n">
        <v>2.99</v>
      </c>
      <c r="F6" s="24" t="n">
        <v>2.84</v>
      </c>
      <c r="G6" s="24" t="n">
        <v>2.807</v>
      </c>
      <c r="H6" s="24" t="n">
        <v>2.881</v>
      </c>
      <c r="I6" s="24">
        <f>D6-B6</f>
        <v/>
      </c>
      <c r="J6" s="25">
        <f>D6/2.955</f>
        <v/>
      </c>
      <c r="K6" s="16">
        <f>IF(AND(D6&gt;=G6,D6&lt;=H6,OR(E6="",AND(E6&gt;=G6,E6&lt;=H6))),"합격","재시험")</f>
        <v/>
      </c>
    </row>
    <row r="7">
      <c r="A7" s="16" t="n">
        <v>3</v>
      </c>
      <c r="B7" s="24" t="n">
        <v>2.86</v>
      </c>
      <c r="C7" s="16" t="n">
        <v>5</v>
      </c>
      <c r="D7" s="24" t="n">
        <v>2.921</v>
      </c>
      <c r="E7" s="24" t="n">
        <v>2.9315</v>
      </c>
      <c r="F7" s="24" t="n">
        <v>2.84</v>
      </c>
      <c r="G7" s="24" t="n">
        <v>2.807</v>
      </c>
      <c r="H7" s="24" t="n">
        <v>2.881</v>
      </c>
      <c r="I7" s="24">
        <f>D7-B7</f>
        <v/>
      </c>
      <c r="J7" s="25">
        <f>D7/2.955</f>
        <v/>
      </c>
      <c r="K7" s="16">
        <f>IF(AND(D7&gt;=G7,D7&lt;=H7,OR(E7="",AND(E7&gt;=G7,E7&lt;=H7))),"합격","재시험")</f>
        <v/>
      </c>
    </row>
    <row r="8">
      <c r="A8" s="16" t="n">
        <v>4</v>
      </c>
      <c r="B8" s="24" t="n">
        <v>2.79</v>
      </c>
      <c r="C8" s="16" t="n">
        <v>1</v>
      </c>
      <c r="D8" s="24" t="n">
        <v>2.8535</v>
      </c>
      <c r="E8" s="24" t="n">
        <v>2.86</v>
      </c>
      <c r="F8" s="24" t="n">
        <v>2.84</v>
      </c>
      <c r="G8" s="24" t="n">
        <v>2.807</v>
      </c>
      <c r="H8" s="24" t="n">
        <v>2.881</v>
      </c>
      <c r="I8" s="24">
        <f>D8-B8</f>
        <v/>
      </c>
      <c r="J8" s="25">
        <f>D8/2.955</f>
        <v/>
      </c>
      <c r="K8" s="16">
        <f>IF(AND(D8&gt;=G8,D8&lt;=H8,OR(E8="",AND(E8&gt;=G8,E8&lt;=H8))),"합격","재시험")</f>
        <v/>
      </c>
    </row>
    <row r="10">
      <c r="A10" s="2" t="inlineStr">
        <is>
          <t>※ 1회 머리 값 3.00 = 위치 미기록 · 가공 전 지름 해석 2가지(블랭크 4.0 / 몸통 약 3.00) — 위키 AFCY 시험 페이지 §4. 2 ~ 4회 측정 − 입력 평균 약 +0.063 mm [사내 경험값 후보].</t>
        </is>
      </c>
    </row>
    <row r="11">
      <c r="A11" s="2" t="inlineStr">
        <is>
          <t>※ dn 값은 측정 범위의 중간값(예 2.853 ~ 2.854 → 2.8535). 테이퍼 쪽 1회 미측정.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46" customWidth="1" min="3" max="3"/>
  </cols>
  <sheetData>
    <row r="1">
      <c r="A1" s="22" t="inlineStr">
        <is>
          <t>테스트 1 · 2 비교 — D3 넥 원통연삭 · 2026-10-20 (GX7 · HID 12° 휠 Ø125.102 · 3,500 rpm = 22.93 m/s)</t>
        </is>
      </c>
    </row>
    <row r="2">
      <c r="A2" s="2" t="inlineStr">
        <is>
          <t>측정: Mitutoyo 293-340-30 마이크로미터 (분해능 0.001 mm) · 실측 검증(공구 1개씩) · 양산 적용 ❌</t>
        </is>
      </c>
    </row>
    <row r="4">
      <c r="A4" s="26" t="inlineStr">
        <is>
          <t>항목</t>
        </is>
      </c>
      <c r="B4" s="26" t="inlineStr">
        <is>
          <t>테스트 1 (1번 공구 · 4회째)</t>
        </is>
      </c>
      <c r="C4" s="26" t="inlineStr">
        <is>
          <t>테스트 2 (2번 공구 · 1회)</t>
        </is>
      </c>
    </row>
    <row r="5">
      <c r="A5" s="27" t="inlineStr">
        <is>
          <t>실측 D (mm)</t>
        </is>
      </c>
      <c r="B5" s="28" t="n">
        <v>2.955</v>
      </c>
      <c r="C5" s="28" t="n">
        <v>2.97</v>
      </c>
    </row>
    <row r="6">
      <c r="A6" s="27" t="inlineStr">
        <is>
          <t>목표 dn = 0.96 × D (mm)</t>
        </is>
      </c>
      <c r="B6" s="28">
        <f>ROUND(0.96*B5,3)</f>
        <v/>
      </c>
      <c r="C6" s="28">
        <f>ROUND(0.96*C5,3)</f>
        <v/>
      </c>
    </row>
    <row r="7">
      <c r="A7" s="27" t="inlineStr">
        <is>
          <t>허용 하한 0.95 × D (mm)</t>
        </is>
      </c>
      <c r="B7" s="28">
        <f>ROUND(0.95*B5,3)</f>
        <v/>
      </c>
      <c r="C7" s="28">
        <f>ROUND(0.95*C5,3)</f>
        <v/>
      </c>
    </row>
    <row r="8">
      <c r="A8" s="27" t="inlineStr">
        <is>
          <t>허용 상한 0.975 × D (mm)</t>
        </is>
      </c>
      <c r="B8" s="28">
        <f>ROUND(0.975*B5,3)</f>
        <v/>
      </c>
      <c r="C8" s="28">
        <f>ROUND(0.975*C5,3)</f>
        <v/>
      </c>
    </row>
    <row r="9">
      <c r="A9" s="27" t="inlineStr">
        <is>
          <t>방식</t>
        </is>
      </c>
      <c r="B9" s="27" t="inlineStr">
        <is>
          <t>정삭만 · Stock 1.333 · Infeed 1.0</t>
        </is>
      </c>
      <c r="C9" s="27" t="inlineStr">
        <is>
          <t>황삭 Diagonal 0.075×1 (4 mm/min · A Spin 50) + 정삭 Stock 0.020 · Infeed 0.5</t>
        </is>
      </c>
    </row>
    <row r="10">
      <c r="A10" s="27" t="inlineStr">
        <is>
          <t>입력 Final Ø (mm)</t>
        </is>
      </c>
      <c r="B10" s="28" t="n">
        <v>2.79</v>
      </c>
      <c r="C10" s="28" t="n">
        <v>2.825</v>
      </c>
    </row>
    <row r="11">
      <c r="A11" s="27" t="inlineStr">
        <is>
          <t>dn ① 날장 진입 (mm) — v1 「머리」</t>
        </is>
      </c>
      <c r="B11" s="28" t="n">
        <v>2.8535</v>
      </c>
      <c r="C11" s="28" t="n">
        <v>2.89</v>
      </c>
    </row>
    <row r="12">
      <c r="A12" s="27" t="inlineStr">
        <is>
          <t>dn ② 목 중간 (mm)</t>
        </is>
      </c>
      <c r="B12" s="28" t="n">
        <v>2.8545</v>
      </c>
      <c r="C12" s="28" t="n">
        <v>2.905</v>
      </c>
    </row>
    <row r="13">
      <c r="A13" s="27" t="inlineStr">
        <is>
          <t>dn ③ 테이퍼 진입 (mm) — v1 「테이퍼」</t>
        </is>
      </c>
      <c r="B13" s="28" t="n">
        <v>2.86</v>
      </c>
      <c r="C13" s="28" t="n">
        <v>2.907</v>
      </c>
    </row>
    <row r="14">
      <c r="A14" s="27" t="inlineStr">
        <is>
          <t>머리 − 입력 (mm)</t>
        </is>
      </c>
      <c r="B14" s="28">
        <f>B11-B10</f>
        <v/>
      </c>
      <c r="C14" s="28">
        <f>C11-C10</f>
        <v/>
      </c>
    </row>
    <row r="15">
      <c r="A15" s="27" t="inlineStr">
        <is>
          <t>테이퍼 − 입력 (mm)</t>
        </is>
      </c>
      <c r="B15" s="28">
        <f>B13-B10</f>
        <v/>
      </c>
      <c r="C15" s="28">
        <f>C13-C10</f>
        <v/>
      </c>
    </row>
    <row r="16">
      <c r="A16" s="27" t="inlineStr">
        <is>
          <t>비율 머리 ÷ D</t>
        </is>
      </c>
      <c r="B16" s="29">
        <f>B11/B5</f>
        <v/>
      </c>
      <c r="C16" s="29">
        <f>C11/C5</f>
        <v/>
      </c>
    </row>
    <row r="17">
      <c r="A17" s="27" t="inlineStr">
        <is>
          <t>비율 테이퍼 ÷ D</t>
        </is>
      </c>
      <c r="B17" s="29">
        <f>B13/B5</f>
        <v/>
      </c>
      <c r="C17" s="29">
        <f>C13/C5</f>
        <v/>
      </c>
    </row>
    <row r="18">
      <c r="A18" s="27" t="inlineStr">
        <is>
          <t>판정</t>
        </is>
      </c>
      <c r="B18" s="27">
        <f>IF(AND(MIN(B11:B13)&gt;=B7,MAX(B11:B13)&lt;=B8),"합격","보류/재시험")</f>
        <v/>
      </c>
      <c r="C18" s="27">
        <f>IF(AND(MIN(C11:C13)&gt;=C7,MAX(C11:C13)&lt;=C8),"합격","보류/재시험")</f>
        <v/>
      </c>
    </row>
    <row r="19">
      <c r="A19" s="27" t="inlineStr">
        <is>
          <t>진입 찍힘</t>
        </is>
      </c>
      <c r="B19" s="27" t="inlineStr">
        <is>
          <t>있음 (같은 자리)</t>
        </is>
      </c>
      <c r="C19" s="27" t="inlineStr">
        <is>
          <t>없음 ✅</t>
        </is>
      </c>
    </row>
    <row r="20">
      <c r="A20" s="27" t="inlineStr">
        <is>
          <t>넥 끝 부하</t>
        </is>
      </c>
      <c r="B20" s="27" t="inlineStr">
        <is>
          <t>테이퍼 쪽 +3 ~ 4 %</t>
        </is>
      </c>
      <c r="C20" s="27" t="inlineStr">
        <is>
          <t>황삭 테이퍼 면 5 ~ 10 % · 정삭 진입 3 %</t>
        </is>
      </c>
    </row>
    <row r="21">
      <c r="A21" s="27" t="inlineStr">
        <is>
          <t>가공 시간</t>
        </is>
      </c>
      <c r="B21" s="27" t="inlineStr">
        <is>
          <t>iGrind 표시 04:57</t>
        </is>
      </c>
      <c r="C21" s="27" t="inlineStr">
        <is>
          <t>실제 약 8 분 (CIM3D 6:28)</t>
        </is>
      </c>
    </row>
    <row r="23">
      <c r="A23" s="2" t="inlineStr">
        <is>
          <t>※ dn 은 측정 범위 중간값. 테스트 2 는 중간 · 테이퍼가 상한 초과(굵은 쪽 → 재정삭 가능). 원인 추정: 넥 끝 X −19.44 가 기존 15° 테이퍼 면을 같이 깎아 부하 급증 [추정값]. 다음: L2 확인 → 섹션 분할 + Washout 15° (위키 AFCY 시험 페이지 §7-A).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  <col width="34" customWidth="1" min="3" max="3"/>
  </cols>
  <sheetData>
    <row r="1">
      <c r="A1" s="13" t="inlineStr">
        <is>
          <t>항목</t>
        </is>
      </c>
      <c r="B1" s="13" t="inlineStr">
        <is>
          <t>내용</t>
        </is>
      </c>
      <c r="C1" s="13" t="inlineStr">
        <is>
          <t>신뢰도 / 출처</t>
        </is>
      </c>
    </row>
    <row r="2">
      <c r="A2" s="14" t="inlineStr">
        <is>
          <t>목적</t>
        </is>
      </c>
      <c r="B2" s="14" t="inlineStr">
        <is>
          <t>넥 원통연삭 시험 연삭 1개마다 조건·측정값·설비 상태를 한 줄로 남겨, 같은 조건을 다시 낼 수 있게 한다 (cnc-wiki CLAUDE.md §9).</t>
        </is>
      </c>
      <c r="C2" s="14" t="inlineStr"/>
    </row>
    <row r="3">
      <c r="A3" s="14" t="inlineStr">
        <is>
          <t>기록 규칙</t>
        </is>
      </c>
      <c r="B3" s="14" t="inlineStr">
        <is>
          <t>공구 1개 = 1행. 조건을 바꾸면 새 행. 지난 행은 고치지 않는다(틀린 값은 비고에 정정 사유).</t>
        </is>
      </c>
      <c r="C3" s="14" t="inlineStr">
        <is>
          <t>decisions 원칙 · CLAUDE.md §2-8</t>
        </is>
      </c>
    </row>
    <row r="4">
      <c r="A4" s="14" t="inlineStr">
        <is>
          <t>dn 측정 위치</t>
        </is>
      </c>
      <c r="B4" s="14" t="inlineStr">
        <is>
          <t>넥 직선 구간 3곳 — ① 날장 진입(날이 끝나고 넥이 시작되는 쪽) · ② 목 중간 · ③ 테이퍼 진입(넥이 끝나고 테이퍼가 시작되는 쪽). 각 점은 경계에서 잰 거리(mm)를 「위치」 칸에 적는다. v1 의 「머리 쪽 / 중간 / 테이퍼 쪽」은 ① / ② / ③ 과 같은 뜻. ①~③ 차가 크면 테이퍼(축방향 휨 · 휠 마모) 의심.</t>
        </is>
      </c>
      <c r="C4" s="14" t="inlineStr">
        <is>
          <t>decisions 2026-10-21 (6) — 한경준님 지정 (v1: 「머리 쪽 · 중간 · 테이퍼 쪽」, Cowork 제안)</t>
        </is>
      </c>
    </row>
    <row r="5">
      <c r="A5" s="14" t="inlineStr">
        <is>
          <t>dn 목표</t>
        </is>
      </c>
      <c r="B5" s="14" t="inlineStr">
        <is>
          <t>사내 기본 dn = 0.96 × D, 허용 0.95 ~ 0.975 × D. 2JJCR 은 확정값 Ø3.85(비율 0.9625).</t>
        </is>
      </c>
      <c r="C5" s="14" t="inlineStr">
        <is>
          <t>decisions 2026-10-20 (2) · 2026-10-19 (6)</t>
        </is>
      </c>
    </row>
    <row r="6">
      <c r="A6" s="14" t="inlineStr">
        <is>
          <t>dn 공차</t>
        </is>
      </c>
      <c r="B6" s="14" t="inlineStr">
        <is>
          <t>사내 공차는 아직 정하지 않았다 → 「목표 대비 (μm)」만 계산하고 합부 판정은 현장에서. 참고: Micro 100 은 넥 지름 공차 +0.00 / −0.13 mm(넥 = 여유 치수).</t>
        </is>
      </c>
      <c r="C6" s="14" t="inlineStr">
        <is>
          <t>확인 필요 / Micro 100 [제조사 기준]</t>
        </is>
      </c>
    </row>
    <row r="7">
      <c r="A7" s="14" t="inlineStr">
        <is>
          <t>굽힘 강성 비</t>
        </is>
      </c>
      <c r="B7" s="14" t="inlineStr">
        <is>
          <t>(dn ÷ D)⁴. 원형 단면 I = π × dn⁴ ÷ 64, 외팔보 처짐 δ = F × L³ ÷ (3 × E × I). 0.96⁴ = 0.849.</t>
        </is>
      </c>
      <c r="C7" s="14" t="inlineStr">
        <is>
          <t>[ACA-GERE-MECHMAT]</t>
        </is>
      </c>
    </row>
    <row r="8">
      <c r="A8" s="14" t="inlineStr">
        <is>
          <t>Vc</t>
        </is>
      </c>
      <c r="B8" s="14" t="inlineStr">
        <is>
          <t>Vc = π × 휠 지름(mm) × 휠 회전수(rpm) ÷ 60,000. 휠 지름 미확인 → 입력 전에는 계산 안 함. 3,000 rpm 일 때 Ø100 → 15.7 · Ø125 → 19.6 · Ø150 → 23.6 m/s.</t>
        </is>
      </c>
      <c r="C8" s="14" t="inlineStr">
        <is>
          <t>계산 · 휠 지름 확인 필요</t>
        </is>
      </c>
    </row>
    <row r="9">
      <c r="A9" s="14" t="inlineStr">
        <is>
          <t>Vc 판정</t>
        </is>
      </c>
      <c r="B9" s="14" t="inlineStr">
        <is>
          <t>&gt; 30 m/s ⚠️ 고속 연삭(Resin Bond 초과 가능성) · &gt; 25 m/s 사내 상한 초과 · Norton Winter 레진 다이아 + 초경 사례 18 ~ 22 m/s.</t>
        </is>
      </c>
      <c r="C9" s="14" t="inlineStr">
        <is>
          <t>CLAUDE.md §2 · [VEN-NORTON-WINTER-2023] [제조사 기준]</t>
        </is>
      </c>
    </row>
    <row r="10">
      <c r="A10" s="14" t="inlineStr">
        <is>
          <t>fa</t>
        </is>
      </c>
      <c r="B10" s="14" t="inlineStr">
        <is>
          <t>회전당 축방향 이송 fa = vf ÷ A Spin. 현행 2.0 ÷ 25 = 0.08 mm/rev.</t>
        </is>
      </c>
      <c r="C10" s="14" t="inlineStr">
        <is>
          <t>계산 · 현행값 [사내 경험값]</t>
        </is>
      </c>
    </row>
    <row r="11">
      <c r="A11" s="14" t="inlineStr">
        <is>
          <t>절입 판정</t>
        </is>
      </c>
      <c r="B11" s="14" t="inlineStr">
        <is>
          <t>반경 0.075 mm/패스 = 사내 1패스 실적(Ø4 → Ø3.85). 초과 시 ⚠️, 150%(0.1125 mm) 초과 시 ⚠️ 고절입. 반경/직경 기준은 iGrind 에서 확인 필요.</t>
        </is>
      </c>
      <c r="C11" s="14" t="inlineStr">
        <is>
          <t>[사내 경험값] · CLAUDE.md §2</t>
        </is>
      </c>
    </row>
    <row r="12">
      <c r="A12" s="14" t="inlineStr">
        <is>
          <t>정삭 1패스 계산</t>
        </is>
      </c>
      <c r="B12" s="14" t="inlineStr">
        <is>
          <t>(Step length + washout) ÷ vf. 2JJCR: (15.62 + 0.28) ÷ 2.0 = 7.95 분. CIM3D 표시 3:15 와 불일치(미결) → 실측 사이클로 확인.</t>
        </is>
      </c>
      <c r="C12" s="14" t="inlineStr">
        <is>
          <t>[추정값]</t>
        </is>
      </c>
    </row>
    <row r="13">
      <c r="A13" s="14" t="inlineStr">
        <is>
          <t>설비 상태</t>
        </is>
      </c>
      <c r="B13" s="14" t="inlineStr">
        <is>
          <t>런아웃 · 휠 밸런스 · 마지막 드레싱 · 쿨런트 농도 · 예열은 결과에 영향 — 빈칸이면 「미측정」이라고 적는다.</t>
        </is>
      </c>
      <c r="C13" s="14" t="inlineStr">
        <is>
          <t>CLAUDE.md §9-2</t>
        </is>
      </c>
    </row>
    <row r="14">
      <c r="A14" s="14" t="inlineStr">
        <is>
          <t>신뢰도</t>
        </is>
      </c>
      <c r="B14" s="14" t="inlineStr">
        <is>
          <t>측정값이 들어간 행 = 실측 검증. 조건만 넣고 아직 안 깎은 행 = 추정값.</t>
        </is>
      </c>
      <c r="C14" s="14" t="inlineStr">
        <is>
          <t>CLAUDE.md §2</t>
        </is>
      </c>
    </row>
    <row r="15">
      <c r="A15" s="14" t="inlineStr">
        <is>
          <t>안전</t>
        </is>
      </c>
      <c r="B15" s="14" t="inlineStr">
        <is>
          <t>⚠️ 검증 전 양산 적용 금지. CIM3D → 시험 1개 → 측정 → 검증. 테스트 제품은 Blank OD 6.0 확인(4.0 이면 1패스로 잡혀 과부하 위험). Overhang 섹션마다 OFF 확인.</t>
        </is>
      </c>
      <c r="C15" s="14" t="inlineStr">
        <is>
          <t>decisions 2026-10-19 (5) · worklog 10-19 #4</t>
        </is>
      </c>
    </row>
    <row r="16">
      <c r="A16" s="14" t="inlineStr">
        <is>
          <t>기록 후</t>
        </is>
      </c>
      <c r="B16" s="14" t="inlineStr">
        <is>
          <t>측정이 끝나면 Cowork(컴퓨터1)에 「기록표 반영」이라고 하면 위키(조건검토 · iGrind 페이지 · 굽힘강성표 §4)와 decisions 에 옮긴다.</t>
        </is>
      </c>
      <c r="C16" s="14" t="inlineStr"/>
    </row>
    <row r="17">
      <c r="A17" s="14" t="inlineStr">
        <is>
          <t>진원도 · Ra</t>
        </is>
      </c>
      <c r="B17" s="14" t="inlineStr">
        <is>
          <t>측정 장비가 정해질 때까지 빈칸 대신 「측정 안 함(장비 미정)」으로 적는다(빠뜨린 것과 안 잰 것 구분).</t>
        </is>
      </c>
      <c r="C17" s="14" t="inlineStr">
        <is>
          <t>decisions 2026-10-21 (6)</t>
        </is>
      </c>
    </row>
    <row r="18">
      <c r="A18" s="14" t="inlineStr">
        <is>
          <t>휠 상태</t>
        </is>
      </c>
      <c r="B18" s="14" t="inlineStr">
        <is>
          <t>시험마다: 마지막 드레싱(일시) · 그 뒤 가공 수 · 드레싱 전후 휠 지름 · 폭 실측 · Qualify 지름 · 폭 · Front · Back · iBalance(잰 경우). 지름 감소(μm) = (전 − 후) × 1000.</t>
        </is>
      </c>
      <c r="C18" s="14" t="inlineStr">
        <is>
          <t>decisions 2026-10-21 (6) · CLAUDE.md §9-2</t>
        </is>
      </c>
    </row>
    <row r="19">
      <c r="A19" s="14" t="inlineStr">
        <is>
          <t>Vc 확인</t>
        </is>
      </c>
      <c r="B19" s="14" t="inlineStr">
        <is>
          <t>.tom 을 불러오거나 휠을 바꿀 때마다 Rough · Finish rpm 을 Vc 로 환산해 25 m/s 이하 확인. 예: 4,000 rpm × Ø125.102 = 26.2 m/s 는 상한 초과(2026-10-20 발견).</t>
        </is>
      </c>
      <c r="C19" s="14" t="inlineStr">
        <is>
          <t>decisions 2026-10-21 (7) ①</t>
        </is>
      </c>
    </row>
    <row r="20">
      <c r="A20" s="14" t="inlineStr">
        <is>
          <t>프로그램 파일명</t>
        </is>
      </c>
      <c r="B20" s="14" t="inlineStr">
        <is>
          <t>시험용 .tom 은 회차마다 {원본명}_T{테스트 번호}_{회차}_YYYYMMDD.tom 으로 새로 저장하고 「프로그램」 칸에 적는다. 영문 · 숫자 · 밑줄만. 기존 파일은 이름을 바꾸거나 옮기지 않는다.</t>
        </is>
      </c>
      <c r="C20" s="14" t="inlineStr">
        <is>
          <t>decisions 2026-10-21 (7) ②</t>
        </is>
      </c>
    </row>
    <row r="21">
      <c r="A21" s="14" t="inlineStr">
        <is>
          <t>발신 블록</t>
        </is>
      </c>
      <c r="B21" s="14" t="inlineStr">
        <is>
          <t>컴퓨터2 12_PC2발신 블록은 이 기록표 칸 순서(공구 → 프로그램 → 휠 → 휠 상태 → 입력 → 측정 → 품질 → 부하 → 사진)로 쓴다.</t>
        </is>
      </c>
      <c r="C21" s="14" t="inlineStr">
        <is>
          <t>decisions 2026-10-21 (7) 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70" customWidth="1" min="3" max="3"/>
    <col width="16" customWidth="1" min="4" max="4"/>
  </cols>
  <sheetData>
    <row r="1">
      <c r="A1" s="15" t="inlineStr">
        <is>
          <t>날짜</t>
        </is>
      </c>
      <c r="B1" s="15" t="inlineStr">
        <is>
          <t>판</t>
        </is>
      </c>
      <c r="C1" s="15" t="inlineStr">
        <is>
          <t>내용</t>
        </is>
      </c>
      <c r="D1" s="15" t="inlineStr">
        <is>
          <t>작성</t>
        </is>
      </c>
    </row>
    <row r="2">
      <c r="A2" s="16" t="inlineStr">
        <is>
          <t>2026-10-20</t>
        </is>
      </c>
      <c r="B2" s="16" t="inlineStr">
        <is>
          <t>v1</t>
        </is>
      </c>
      <c r="C2" s="16" t="inlineStr">
        <is>
          <t>신규 — 시험 연삭 기록표. T1(2JJCR)·T2(테스트 D4) 조건 미리 입력, 측정값 빈칸</t>
        </is>
      </c>
      <c r="D2" s="16" t="inlineStr">
        <is>
          <t>Cowork(컴퓨터1)</t>
        </is>
      </c>
    </row>
    <row r="3">
      <c r="A3" t="inlineStr">
        <is>
          <t>2026-10-20</t>
        </is>
      </c>
      <c r="B3" t="inlineStr">
        <is>
          <t>v1</t>
        </is>
      </c>
      <c r="C3" t="inlineStr">
        <is>
          <t>T3~T6 AFCY_D3.8_S6(D3) 1~4차 실측 · T7 5번째 공구 셋팅(가공 전) 추가 — 출처 프로젝트 12_PC2발신 · 원본 백업 .bak_20261020</t>
        </is>
      </c>
      <c r="D3" t="inlineStr">
        <is>
          <t>Cowork(컴퓨터1)</t>
        </is>
      </c>
    </row>
    <row r="4">
      <c r="A4" t="inlineStr">
        <is>
          <t>2026-10-20</t>
        </is>
      </c>
      <c r="B4" t="inlineStr">
        <is>
          <t>v1</t>
        </is>
      </c>
      <c r="C4" t="inlineStr">
        <is>
          <t>테스트 이름 규칙 반영(T3~T6 = 테스트1-1~4회, T7 = 테스트2) · 「테스트1_요약」 시트(표 + 입력 vs 측정 그래프) 추가 · 테스트1 종결</t>
        </is>
      </c>
      <c r="D4" t="inlineStr">
        <is>
          <t>Cowork(컴퓨터1)</t>
        </is>
      </c>
    </row>
    <row r="5">
      <c r="A5" t="inlineStr">
        <is>
          <t>2026-10-20</t>
        </is>
      </c>
      <c r="B5" t="inlineStr">
        <is>
          <t>v1</t>
        </is>
      </c>
      <c r="C5" t="inlineStr">
        <is>
          <t>T3 비고(1회 비접촉 확정) · T3~T6 측정 장비 · T7 테스트 2 실측(보류) · 「테스트2_요약」(테스트 1 · 2 비교) 시트 추가</t>
        </is>
      </c>
      <c r="D5" t="inlineStr">
        <is>
          <t>Cowork(컴퓨터1)</t>
        </is>
      </c>
    </row>
    <row r="6">
      <c r="A6" t="inlineStr">
        <is>
          <t>2026-10-21</t>
        </is>
      </c>
      <c r="B6" t="inlineStr">
        <is>
          <t>v2</t>
        </is>
      </c>
      <c r="C6" t="inlineStr">
        <is>
          <t>v2 신규(v1 파일 보존) — 측정 3점 이름(날장 진입 · 목 중간 · 테이퍼 진입) + 경계 거리 3칸 · 「휠 상태」 12칸(드레싱 · 지름 · 폭 · Qualify · iBalance — 마지막 드레싱 · 휠 밸런스는 측정·설비에서 옮김) · 프로그램(.tom) · 사진 파일명 칸 · T3~T7 새 칸은 「미기록」, 진원도 · Ra 는 「측정 안 함(장비 미정)」 · 설명 시트 5행 — decisions 2026-10-21 (6)·(7)</t>
        </is>
      </c>
      <c r="D6" t="inlineStr">
        <is>
          <t>Cowork(컴퓨터1)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2026-10-20T01:06:42Z</dcterms:created>
  <dcterms:modified xmlns:dcterms="http://purl.org/dc/terms/" xmlns:xsi="http://www.w3.org/2001/XMLSchema-instance" xsi:type="dcterms:W3CDTF">2026-10-21T04:16:47Z</dcterms:modified>
</cp:coreProperties>
</file>