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📋 INDEX" sheetId="1" state="visible" r:id="rId3"/>
    <sheet name="① MCT_S45C" sheetId="2" state="visible" r:id="rId4"/>
    <sheet name="② MCT_Al" sheetId="3" state="visible" r:id="rId5"/>
    <sheet name="③ GRIND_조건" sheetId="4" state="visible" r:id="rId6"/>
    <sheet name="GRIND_조건" sheetId="5" state="visible" r:id="rId7"/>
    <sheet name="④ 신뢰도_범례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<sst xmlns="http://schemas.openxmlformats.org/spreadsheetml/2006/main" count="1564" uniqueCount="353">
  <si>
    <r>
      <rPr>
        <b val="true"/>
        <sz val="14"/>
        <color rgb="FFFFFFFF"/>
        <rFont val="Arial"/>
        <family val="2"/>
        <charset val="1"/>
      </rPr>
      <t xml:space="preserve">TOOLKOREA cnc-wiki — </t>
    </r>
    <r>
      <rPr>
        <b val="true"/>
        <sz val="14"/>
        <color rgb="FFFFFFFF"/>
        <rFont val="DejaVu Sans"/>
        <family val="2"/>
      </rPr>
      <t xml:space="preserve">가공 조건 마스터 시트</t>
    </r>
  </si>
  <si>
    <r>
      <rPr>
        <sz val="9"/>
        <color rgb="FF595959"/>
        <rFont val="Arial"/>
        <family val="2"/>
        <charset val="1"/>
      </rPr>
      <t xml:space="preserve">MCT </t>
    </r>
    <r>
      <rPr>
        <sz val="9"/>
        <color rgb="FF595959"/>
        <rFont val="DejaVu Sans"/>
        <family val="2"/>
      </rPr>
      <t xml:space="preserve">밀링</t>
    </r>
    <r>
      <rPr>
        <sz val="9"/>
        <color rgb="FF595959"/>
        <rFont val="Arial"/>
        <family val="2"/>
        <charset val="1"/>
      </rPr>
      <t xml:space="preserve">(S45C·Al) + </t>
    </r>
    <r>
      <rPr>
        <sz val="9"/>
        <color rgb="FF595959"/>
        <rFont val="DejaVu Sans"/>
        <family val="2"/>
      </rPr>
      <t xml:space="preserve">공구 연삭</t>
    </r>
    <r>
      <rPr>
        <sz val="9"/>
        <color rgb="FF595959"/>
        <rFont val="Arial"/>
        <family val="2"/>
        <charset val="1"/>
      </rPr>
      <t xml:space="preserve">(ANCA) </t>
    </r>
    <r>
      <rPr>
        <sz val="9"/>
        <color rgb="FF595959"/>
        <rFont val="DejaVu Sans"/>
        <family val="2"/>
      </rPr>
      <t xml:space="preserve">조건 통합표  </t>
    </r>
    <r>
      <rPr>
        <sz val="9"/>
        <color rgb="FF595959"/>
        <rFont val="Arial"/>
        <family val="2"/>
        <charset val="1"/>
      </rPr>
      <t xml:space="preserve">|  2026-05-28 </t>
    </r>
    <r>
      <rPr>
        <sz val="9"/>
        <color rgb="FF595959"/>
        <rFont val="DejaVu Sans"/>
        <family val="2"/>
      </rPr>
      <t xml:space="preserve">생성</t>
    </r>
  </si>
  <si>
    <t xml:space="preserve">시트명</t>
  </si>
  <si>
    <t xml:space="preserve">내용</t>
  </si>
  <si>
    <t xml:space="preserve">소재</t>
  </si>
  <si>
    <t xml:space="preserve">상태</t>
  </si>
  <si>
    <t xml:space="preserve">① MCT_S45C</t>
  </si>
  <si>
    <r>
      <rPr>
        <sz val="10"/>
        <color rgb="FF1F1F1F"/>
        <rFont val="Arial"/>
        <family val="2"/>
        <charset val="1"/>
      </rPr>
      <t xml:space="preserve">MCT </t>
    </r>
    <r>
      <rPr>
        <sz val="10"/>
        <color rgb="FF1F1F1F"/>
        <rFont val="DejaVu Sans"/>
        <family val="2"/>
      </rPr>
      <t xml:space="preserve">밀링 — </t>
    </r>
    <r>
      <rPr>
        <sz val="10"/>
        <color rgb="FF1F1F1F"/>
        <rFont val="Arial"/>
        <family val="2"/>
        <charset val="1"/>
      </rPr>
      <t xml:space="preserve">S45C / C45 / 1045</t>
    </r>
  </si>
  <si>
    <r>
      <rPr>
        <sz val="10"/>
        <color rgb="FF1F1F1F"/>
        <rFont val="DejaVu Sans"/>
        <family val="2"/>
      </rPr>
      <t xml:space="preserve">중탄소강 </t>
    </r>
    <r>
      <rPr>
        <sz val="10"/>
        <color rgb="FF1F1F1F"/>
        <rFont val="DejaVu Sans"/>
        <family val="2"/>
        <charset val="1"/>
      </rPr>
      <t xml:space="preserve">HB 170~270</t>
    </r>
  </si>
  <si>
    <r>
      <rPr>
        <sz val="10"/>
        <color rgb="FF1F1F1F"/>
        <rFont val="DejaVu Sans"/>
        <family val="2"/>
      </rPr>
      <t xml:space="preserve">데이터 반영 </t>
    </r>
    <r>
      <rPr>
        <sz val="10"/>
        <color rgb="FF1F1F1F"/>
        <rFont val="DejaVu Sans"/>
        <family val="2"/>
        <charset val="1"/>
      </rPr>
      <t xml:space="preserve">(</t>
    </r>
    <r>
      <rPr>
        <sz val="10"/>
        <color rgb="FF1F1F1F"/>
        <rFont val="DejaVu Sans"/>
        <family val="2"/>
      </rPr>
      <t xml:space="preserve">위키 </t>
    </r>
    <r>
      <rPr>
        <sz val="10"/>
        <color rgb="FF1F1F1F"/>
        <rFont val="DejaVu Sans"/>
        <family val="2"/>
        <charset val="1"/>
      </rPr>
      <t xml:space="preserve">§6.3)</t>
    </r>
  </si>
  <si>
    <t xml:space="preserve">② MCT_Al</t>
  </si>
  <si>
    <r>
      <rPr>
        <sz val="10"/>
        <color rgb="FF1F1F1F"/>
        <rFont val="Arial"/>
        <family val="2"/>
        <charset val="1"/>
      </rPr>
      <t xml:space="preserve">MCT </t>
    </r>
    <r>
      <rPr>
        <sz val="10"/>
        <color rgb="FF1F1F1F"/>
        <rFont val="DejaVu Sans"/>
        <family val="2"/>
      </rPr>
      <t xml:space="preserve">밀링 — 알루미늄 </t>
    </r>
    <r>
      <rPr>
        <sz val="10"/>
        <color rgb="FF1F1F1F"/>
        <rFont val="Arial"/>
        <family val="2"/>
        <charset val="1"/>
      </rPr>
      <t xml:space="preserve">6061·7075·5052</t>
    </r>
  </si>
  <si>
    <r>
      <rPr>
        <sz val="10"/>
        <color rgb="FF1F1F1F"/>
        <rFont val="DejaVu Sans"/>
        <family val="2"/>
      </rPr>
      <t xml:space="preserve">비철 </t>
    </r>
    <r>
      <rPr>
        <sz val="10"/>
        <color rgb="FF1F1F1F"/>
        <rFont val="DejaVu Sans"/>
        <family val="2"/>
        <charset val="1"/>
      </rPr>
      <t xml:space="preserve">N</t>
    </r>
    <r>
      <rPr>
        <sz val="10"/>
        <color rgb="FF1F1F1F"/>
        <rFont val="DejaVu Sans"/>
        <family val="2"/>
      </rPr>
      <t xml:space="preserve">그룹</t>
    </r>
  </si>
  <si>
    <r>
      <rPr>
        <sz val="10"/>
        <color rgb="FF1F1F1F"/>
        <rFont val="Arial"/>
        <family val="2"/>
        <charset val="1"/>
      </rPr>
      <t xml:space="preserve">③ GRIND_</t>
    </r>
    <r>
      <rPr>
        <sz val="10"/>
        <color rgb="FF1F1F1F"/>
        <rFont val="DejaVu Sans"/>
        <family val="2"/>
      </rPr>
      <t xml:space="preserve">조건</t>
    </r>
  </si>
  <si>
    <r>
      <rPr>
        <sz val="10"/>
        <color rgb="FF1F1F1F"/>
        <rFont val="Arial"/>
        <family val="2"/>
        <charset val="1"/>
      </rPr>
      <t xml:space="preserve">ANCA </t>
    </r>
    <r>
      <rPr>
        <sz val="10"/>
        <color rgb="FF1F1F1F"/>
        <rFont val="DejaVu Sans"/>
        <family val="2"/>
      </rPr>
      <t xml:space="preserve">연삭 — 확정</t>
    </r>
    <r>
      <rPr>
        <sz val="10"/>
        <color rgb="FF1F1F1F"/>
        <rFont val="Arial"/>
        <family val="2"/>
        <charset val="1"/>
      </rPr>
      <t xml:space="preserve">·</t>
    </r>
    <r>
      <rPr>
        <sz val="10"/>
        <color rgb="FF1F1F1F"/>
        <rFont val="DejaVu Sans"/>
        <family val="2"/>
      </rPr>
      <t xml:space="preserve">검증중</t>
    </r>
    <r>
      <rPr>
        <sz val="10"/>
        <color rgb="FF1F1F1F"/>
        <rFont val="Arial"/>
        <family val="2"/>
        <charset val="1"/>
      </rPr>
      <t xml:space="preserve">·</t>
    </r>
    <r>
      <rPr>
        <sz val="10"/>
        <color rgb="FF1F1F1F"/>
        <rFont val="DejaVu Sans"/>
        <family val="2"/>
      </rPr>
      <t xml:space="preserve">미기록 조건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</si>
  <si>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 xml:space="preserve">(Carbide)</t>
    </r>
  </si>
  <si>
    <r>
      <rPr>
        <sz val="10"/>
        <color rgb="FF1F1F1F"/>
        <rFont val="DejaVu Sans"/>
        <family val="2"/>
      </rPr>
      <t xml:space="preserve">확정 </t>
    </r>
    <r>
      <rPr>
        <sz val="10"/>
        <color rgb="FF1F1F1F"/>
        <rFont val="DejaVu Sans"/>
        <family val="2"/>
        <charset val="1"/>
      </rPr>
      <t xml:space="preserve">2</t>
    </r>
    <r>
      <rPr>
        <sz val="10"/>
        <color rgb="FF1F1F1F"/>
        <rFont val="DejaVu Sans"/>
        <family val="2"/>
      </rPr>
      <t xml:space="preserve">건</t>
    </r>
    <r>
      <rPr>
        <sz val="10"/>
        <color rgb="FF1F1F1F"/>
        <rFont val="DejaVu Sans"/>
        <family val="2"/>
        <charset val="1"/>
      </rPr>
      <t xml:space="preserve">·</t>
    </r>
    <r>
      <rPr>
        <sz val="10"/>
        <color rgb="FF1F1F1F"/>
        <rFont val="DejaVu Sans"/>
        <family val="2"/>
      </rPr>
      <t xml:space="preserve">검증중 </t>
    </r>
    <r>
      <rPr>
        <sz val="10"/>
        <color rgb="FF1F1F1F"/>
        <rFont val="DejaVu Sans"/>
        <family val="2"/>
        <charset val="1"/>
      </rPr>
      <t xml:space="preserve">1</t>
    </r>
    <r>
      <rPr>
        <sz val="10"/>
        <color rgb="FF1F1F1F"/>
        <rFont val="DejaVu Sans"/>
        <family val="2"/>
      </rPr>
      <t xml:space="preserve">건</t>
    </r>
    <r>
      <rPr>
        <sz val="10"/>
        <color rgb="FF1F1F1F"/>
        <rFont val="DejaVu Sans"/>
        <family val="2"/>
        <charset val="1"/>
      </rPr>
      <t xml:space="preserve">·</t>
    </r>
    <r>
      <rPr>
        <sz val="10"/>
        <color rgb="FF1F1F1F"/>
        <rFont val="DejaVu Sans"/>
        <family val="2"/>
      </rPr>
      <t xml:space="preserve">양식</t>
    </r>
  </si>
  <si>
    <r>
      <rPr>
        <sz val="10"/>
        <color rgb="FF1F1F1F"/>
        <rFont val="DejaVu Sans"/>
        <family val="2"/>
      </rPr>
      <t xml:space="preserve">④ 신뢰도</t>
    </r>
    <r>
      <rPr>
        <sz val="10"/>
        <color rgb="FF1F1F1F"/>
        <rFont val="DejaVu Sans"/>
        <family val="2"/>
        <charset val="1"/>
      </rPr>
      <t xml:space="preserve">_</t>
    </r>
    <r>
      <rPr>
        <sz val="10"/>
        <color rgb="FF1F1F1F"/>
        <rFont val="DejaVu Sans"/>
        <family val="2"/>
      </rPr>
      <t xml:space="preserve">범례</t>
    </r>
  </si>
  <si>
    <r>
      <rPr>
        <sz val="10"/>
        <color rgb="FF1F1F1F"/>
        <rFont val="DejaVu Sans"/>
        <family val="2"/>
      </rPr>
      <t xml:space="preserve">신뢰도 </t>
    </r>
    <r>
      <rPr>
        <sz val="10"/>
        <color rgb="FF1F1F1F"/>
        <rFont val="DejaVu Sans"/>
        <family val="2"/>
        <charset val="1"/>
      </rPr>
      <t xml:space="preserve">4</t>
    </r>
    <r>
      <rPr>
        <sz val="10"/>
        <color rgb="FF1F1F1F"/>
        <rFont val="DejaVu Sans"/>
        <family val="2"/>
      </rPr>
      <t xml:space="preserve">단계 </t>
    </r>
    <r>
      <rPr>
        <sz val="10"/>
        <color rgb="FF1F1F1F"/>
        <rFont val="DejaVu Sans"/>
        <family val="2"/>
        <charset val="1"/>
      </rPr>
      <t xml:space="preserve">+ </t>
    </r>
    <r>
      <rPr>
        <sz val="10"/>
        <color rgb="FF1F1F1F"/>
        <rFont val="DejaVu Sans"/>
        <family val="2"/>
      </rPr>
      <t xml:space="preserve">기호 설명</t>
    </r>
  </si>
  <si>
    <t xml:space="preserve">—</t>
  </si>
  <si>
    <t xml:space="preserve">참조용</t>
  </si>
  <si>
    <r>
      <rPr>
        <b val="true"/>
        <sz val="10"/>
        <color rgb="FFFFFFFF"/>
        <rFont val="DejaVu Sans"/>
        <family val="2"/>
      </rPr>
      <t xml:space="preserve">📌 신뢰도 </t>
    </r>
    <r>
      <rPr>
        <b val="true"/>
        <sz val="10"/>
        <color rgb="FFFFFFFF"/>
        <rFont val="DejaVu Sans"/>
        <family val="2"/>
        <charset val="1"/>
      </rPr>
      <t xml:space="preserve">4</t>
    </r>
    <r>
      <rPr>
        <b val="true"/>
        <sz val="10"/>
        <color rgb="FFFFFFFF"/>
        <rFont val="DejaVu Sans"/>
        <family val="2"/>
      </rPr>
      <t xml:space="preserve">단계</t>
    </r>
  </si>
  <si>
    <t xml:space="preserve">🟦</t>
  </si>
  <si>
    <t xml:space="preserve">제조사 기준</t>
  </si>
  <si>
    <r>
      <rPr>
        <sz val="10"/>
        <color rgb="FF1F1F1F"/>
        <rFont val="DejaVu Sans"/>
        <family val="2"/>
      </rPr>
      <t xml:space="preserve">제조사 카탈로그</t>
    </r>
    <r>
      <rPr>
        <sz val="10"/>
        <color rgb="FF1F1F1F"/>
        <rFont val="DejaVu Sans"/>
        <family val="2"/>
        <charset val="1"/>
      </rPr>
      <t xml:space="preserve">·</t>
    </r>
    <r>
      <rPr>
        <sz val="10"/>
        <color rgb="FF1F1F1F"/>
        <rFont val="DejaVu Sans"/>
        <family val="2"/>
      </rPr>
      <t xml:space="preserve">매뉴얼 직접 인용</t>
    </r>
  </si>
  <si>
    <t xml:space="preserve">🟩</t>
  </si>
  <si>
    <t xml:space="preserve">실측 검증</t>
  </si>
  <si>
    <t xml:space="preserve">사내 테스트로 재현 확인된 값</t>
  </si>
  <si>
    <t xml:space="preserve">🟨</t>
  </si>
  <si>
    <t xml:space="preserve">사내 경험값</t>
  </si>
  <si>
    <r>
      <rPr>
        <sz val="10"/>
        <color rgb="FF1F1F1F"/>
        <rFont val="DejaVu Sans"/>
        <family val="2"/>
      </rPr>
      <t xml:space="preserve">반복 경험에서 얻은 값</t>
    </r>
    <r>
      <rPr>
        <sz val="10"/>
        <color rgb="FF1F1F1F"/>
        <rFont val="DejaVu Sans"/>
        <family val="2"/>
        <charset val="1"/>
      </rPr>
      <t xml:space="preserve">, </t>
    </r>
    <r>
      <rPr>
        <sz val="10"/>
        <color rgb="FF1F1F1F"/>
        <rFont val="DejaVu Sans"/>
        <family val="2"/>
      </rPr>
      <t xml:space="preserve">체계적 검증 미완</t>
    </r>
  </si>
  <si>
    <t xml:space="preserve">🟧</t>
  </si>
  <si>
    <t xml:space="preserve">추정값</t>
  </si>
  <si>
    <r>
      <rPr>
        <sz val="10"/>
        <color rgb="FF1F1F1F"/>
        <rFont val="DejaVu Sans"/>
        <family val="2"/>
      </rPr>
      <t xml:space="preserve">근거 불충분 또는 유추된 값 </t>
    </r>
    <r>
      <rPr>
        <sz val="10"/>
        <color rgb="FF1F1F1F"/>
        <rFont val="DejaVu Sans"/>
        <family val="2"/>
        <charset val="1"/>
      </rPr>
      <t xml:space="preserve">(</t>
    </r>
    <r>
      <rPr>
        <sz val="10"/>
        <color rgb="FF1F1F1F"/>
        <rFont val="DejaVu Sans"/>
        <family val="2"/>
      </rPr>
      <t xml:space="preserve">확인 필요</t>
    </r>
    <r>
      <rPr>
        <sz val="10"/>
        <color rgb="FF1F1F1F"/>
        <rFont val="DejaVu Sans"/>
        <family val="2"/>
        <charset val="1"/>
      </rPr>
      <t xml:space="preserve">)</t>
    </r>
  </si>
  <si>
    <r>
      <rPr>
        <b val="true"/>
        <sz val="12"/>
        <color rgb="FFFFFFFF"/>
        <rFont val="Arial"/>
        <family val="2"/>
        <charset val="1"/>
      </rPr>
      <t xml:space="preserve">MCT </t>
    </r>
    <r>
      <rPr>
        <b val="true"/>
        <sz val="12"/>
        <color rgb="FFFFFFFF"/>
        <rFont val="DejaVu Sans"/>
        <family val="2"/>
      </rPr>
      <t xml:space="preserve">밀링 절삭 조건표 — </t>
    </r>
    <r>
      <rPr>
        <b val="true"/>
        <sz val="12"/>
        <color rgb="FFFFFFFF"/>
        <rFont val="Arial"/>
        <family val="2"/>
        <charset val="1"/>
      </rPr>
      <t xml:space="preserve">S45C / C45 / 1045  (</t>
    </r>
    <r>
      <rPr>
        <b val="true"/>
        <sz val="12"/>
        <color rgb="FFFFFFFF"/>
        <rFont val="DejaVu Sans"/>
        <family val="2"/>
      </rPr>
      <t xml:space="preserve">중탄소강</t>
    </r>
    <r>
      <rPr>
        <b val="true"/>
        <sz val="12"/>
        <color rgb="FFFFFFFF"/>
        <rFont val="Arial"/>
        <family val="2"/>
        <charset val="1"/>
      </rPr>
      <t xml:space="preserve">, ISO P20~P40)</t>
    </r>
  </si>
  <si>
    <r>
      <rPr>
        <i val="true"/>
        <sz val="8"/>
        <color rgb="FF595959"/>
        <rFont val="DejaVu Sans"/>
        <family val="2"/>
      </rPr>
      <t xml:space="preserve">소재 경도</t>
    </r>
    <r>
      <rPr>
        <i val="true"/>
        <sz val="8"/>
        <color rgb="FF595959"/>
        <rFont val="DejaVu Sans"/>
        <family val="2"/>
        <charset val="1"/>
      </rPr>
      <t xml:space="preserve">: HB 170~270 (</t>
    </r>
    <r>
      <rPr>
        <i val="true"/>
        <sz val="8"/>
        <color rgb="FF595959"/>
        <rFont val="DejaVu Sans"/>
        <family val="2"/>
      </rPr>
      <t xml:space="preserve">정규화</t>
    </r>
    <r>
      <rPr>
        <i val="true"/>
        <sz val="8"/>
        <color rgb="FF595959"/>
        <rFont val="DejaVu Sans"/>
        <family val="2"/>
        <charset val="1"/>
      </rPr>
      <t xml:space="preserve">~Q&amp;T) │ ISO 513 </t>
    </r>
    <r>
      <rPr>
        <i val="true"/>
        <sz val="8"/>
        <color rgb="FF595959"/>
        <rFont val="DejaVu Sans"/>
        <family val="2"/>
      </rPr>
      <t xml:space="preserve">그룹</t>
    </r>
    <r>
      <rPr>
        <i val="true"/>
        <sz val="8"/>
        <color rgb="FF595959"/>
        <rFont val="DejaVu Sans"/>
        <family val="2"/>
        <charset val="1"/>
      </rPr>
      <t xml:space="preserve">: P │ </t>
    </r>
    <r>
      <rPr>
        <i val="true"/>
        <sz val="8"/>
        <color rgb="FF595959"/>
        <rFont val="DejaVu Sans"/>
        <family val="2"/>
      </rPr>
      <t xml:space="preserve">절삭성 지수</t>
    </r>
    <r>
      <rPr>
        <i val="true"/>
        <sz val="8"/>
        <color rgb="FF595959"/>
        <rFont val="DejaVu Sans"/>
        <family val="2"/>
        <charset val="1"/>
      </rPr>
      <t xml:space="preserve">: 57 (</t>
    </r>
    <r>
      <rPr>
        <i val="true"/>
        <sz val="8"/>
        <color rgb="FF595959"/>
        <rFont val="DejaVu Sans"/>
        <family val="2"/>
      </rPr>
      <t xml:space="preserve">기준 </t>
    </r>
    <r>
      <rPr>
        <i val="true"/>
        <sz val="8"/>
        <color rgb="FF595959"/>
        <rFont val="DejaVu Sans"/>
        <family val="2"/>
        <charset val="1"/>
      </rPr>
      <t xml:space="preserve">1212</t>
    </r>
    <r>
      <rPr>
        <i val="true"/>
        <sz val="8"/>
        <color rgb="FF595959"/>
        <rFont val="DejaVu Sans"/>
        <family val="2"/>
      </rPr>
      <t xml:space="preserve">강</t>
    </r>
    <r>
      <rPr>
        <i val="true"/>
        <sz val="8"/>
        <color rgb="FF595959"/>
        <rFont val="DejaVu Sans"/>
        <family val="2"/>
        <charset val="1"/>
      </rPr>
      <t xml:space="preserve">=100) │ </t>
    </r>
    <r>
      <rPr>
        <i val="true"/>
        <sz val="8"/>
        <color rgb="FF595959"/>
        <rFont val="DejaVu Sans"/>
        <family val="2"/>
      </rPr>
      <t xml:space="preserve">출처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위키 </t>
    </r>
    <r>
      <rPr>
        <i val="true"/>
        <sz val="8"/>
        <color rgb="FF595959"/>
        <rFont val="DejaVu Sans"/>
        <family val="2"/>
        <charset val="1"/>
      </rPr>
      <t xml:space="preserve">s45c.md §6.3 [</t>
    </r>
    <r>
      <rPr>
        <i val="true"/>
        <sz val="8"/>
        <color rgb="FF595959"/>
        <rFont val="DejaVu Sans"/>
        <family val="2"/>
      </rPr>
      <t xml:space="preserve">사내 경험값</t>
    </r>
    <r>
      <rPr>
        <i val="true"/>
        <sz val="8"/>
        <color rgb="FF595959"/>
        <rFont val="DejaVu Sans"/>
        <family val="2"/>
        <charset val="1"/>
      </rPr>
      <t xml:space="preserve">]</t>
    </r>
  </si>
  <si>
    <t xml:space="preserve">작업
유형</t>
  </si>
  <si>
    <r>
      <rPr>
        <b val="true"/>
        <sz val="9"/>
        <color rgb="FFFFFFFF"/>
        <rFont val="DejaVu Sans"/>
        <family val="2"/>
      </rPr>
      <t xml:space="preserve">공구
직경</t>
    </r>
    <r>
      <rPr>
        <b val="true"/>
        <sz val="9"/>
        <color rgb="FFFFFFFF"/>
        <rFont val="DejaVu Sans"/>
        <family val="2"/>
        <charset val="1"/>
      </rPr>
      <t xml:space="preserve">(mm)</t>
    </r>
  </si>
  <si>
    <r>
      <rPr>
        <b val="true"/>
        <sz val="9"/>
        <color rgb="FFFFFFFF"/>
        <rFont val="DejaVu Sans"/>
        <family val="2"/>
      </rPr>
      <t xml:space="preserve">날수
</t>
    </r>
    <r>
      <rPr>
        <b val="true"/>
        <sz val="9"/>
        <color rgb="FFFFFFFF"/>
        <rFont val="DejaVu Sans"/>
        <family val="2"/>
        <charset val="1"/>
      </rPr>
      <t xml:space="preserve">(z)</t>
    </r>
  </si>
  <si>
    <r>
      <rPr>
        <b val="true"/>
        <sz val="9"/>
        <color rgb="FFFFFFFF"/>
        <rFont val="DejaVu Sans"/>
        <family val="2"/>
      </rPr>
      <t xml:space="preserve">절삭속도
</t>
    </r>
    <r>
      <rPr>
        <b val="true"/>
        <sz val="9"/>
        <color rgb="FFFFFFFF"/>
        <rFont val="DejaVu Sans"/>
        <family val="2"/>
        <charset val="1"/>
      </rPr>
      <t xml:space="preserve">Vc (m/min)</t>
    </r>
  </si>
  <si>
    <r>
      <rPr>
        <b val="true"/>
        <sz val="9"/>
        <color rgb="FFFFFFFF"/>
        <rFont val="DejaVu Sans"/>
        <family val="2"/>
      </rPr>
      <t xml:space="preserve">주축속도
</t>
    </r>
    <r>
      <rPr>
        <b val="true"/>
        <sz val="9"/>
        <color rgb="FFFFFFFF"/>
        <rFont val="DejaVu Sans"/>
        <family val="2"/>
        <charset val="1"/>
      </rPr>
      <t xml:space="preserve">N (RPM)</t>
    </r>
  </si>
  <si>
    <r>
      <rPr>
        <b val="true"/>
        <sz val="9"/>
        <color rgb="FFFFFFFF"/>
        <rFont val="DejaVu Sans"/>
        <family val="2"/>
      </rPr>
      <t xml:space="preserve">이송속도
</t>
    </r>
    <r>
      <rPr>
        <b val="true"/>
        <sz val="9"/>
        <color rgb="FFFFFFFF"/>
        <rFont val="DejaVu Sans"/>
        <family val="2"/>
        <charset val="1"/>
      </rPr>
      <t xml:space="preserve">Vf (mm/min)</t>
    </r>
  </si>
  <si>
    <r>
      <rPr>
        <b val="true"/>
        <sz val="9"/>
        <color rgb="FFFFFFFF"/>
        <rFont val="DejaVu Sans"/>
        <family val="2"/>
      </rPr>
      <t xml:space="preserve">날당이송
</t>
    </r>
    <r>
      <rPr>
        <b val="true"/>
        <sz val="9"/>
        <color rgb="FFFFFFFF"/>
        <rFont val="DejaVu Sans"/>
        <family val="2"/>
        <charset val="1"/>
      </rPr>
      <t xml:space="preserve">fz (mm/tooth)</t>
    </r>
  </si>
  <si>
    <r>
      <rPr>
        <b val="true"/>
        <sz val="9"/>
        <color rgb="FFFFFFFF"/>
        <rFont val="DejaVu Sans"/>
        <family val="2"/>
      </rPr>
      <t xml:space="preserve">축방향절입
</t>
    </r>
    <r>
      <rPr>
        <b val="true"/>
        <sz val="9"/>
        <color rgb="FFFFFFFF"/>
        <rFont val="DejaVu Sans"/>
        <family val="2"/>
        <charset val="1"/>
      </rPr>
      <t xml:space="preserve">ap (mm)</t>
    </r>
  </si>
  <si>
    <r>
      <rPr>
        <b val="true"/>
        <sz val="9"/>
        <color rgb="FFFFFFFF"/>
        <rFont val="DejaVu Sans"/>
        <family val="2"/>
      </rPr>
      <t xml:space="preserve">반경방향절입
</t>
    </r>
    <r>
      <rPr>
        <b val="true"/>
        <sz val="9"/>
        <color rgb="FFFFFFFF"/>
        <rFont val="DejaVu Sans"/>
        <family val="2"/>
        <charset val="1"/>
      </rPr>
      <t xml:space="preserve">ae (mm)</t>
    </r>
  </si>
  <si>
    <r>
      <rPr>
        <b val="true"/>
        <sz val="9"/>
        <color rgb="FFFFFFFF"/>
        <rFont val="DejaVu Sans"/>
        <family val="2"/>
      </rPr>
      <t xml:space="preserve">공구</t>
    </r>
    <r>
      <rPr>
        <b val="true"/>
        <sz val="9"/>
        <color rgb="FFFFFFFF"/>
        <rFont val="DejaVu Sans"/>
        <family val="2"/>
        <charset val="1"/>
      </rPr>
      <t xml:space="preserve">·</t>
    </r>
    <r>
      <rPr>
        <b val="true"/>
        <sz val="9"/>
        <color rgb="FFFFFFFF"/>
        <rFont val="DejaVu Sans"/>
        <family val="2"/>
      </rPr>
      <t xml:space="preserve">코팅
</t>
    </r>
    <r>
      <rPr>
        <b val="true"/>
        <sz val="9"/>
        <color rgb="FFFFFFFF"/>
        <rFont val="DejaVu Sans"/>
        <family val="2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권장</t>
    </r>
    <r>
      <rPr>
        <b val="true"/>
        <sz val="9"/>
        <color rgb="FFFFFFFF"/>
        <rFont val="DejaVu Sans"/>
        <family val="2"/>
        <charset val="1"/>
      </rPr>
      <t xml:space="preserve">)</t>
    </r>
  </si>
  <si>
    <t xml:space="preserve">쿨런트</t>
  </si>
  <si>
    <t xml:space="preserve">신뢰도</t>
  </si>
  <si>
    <t xml:space="preserve">비고</t>
  </si>
  <si>
    <t xml:space="preserve">황삭</t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</si>
  <si>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 xml:space="preserve">P30 / TiAlN</t>
    </r>
  </si>
  <si>
    <r>
      <rPr>
        <sz val="10"/>
        <color rgb="FF1F1F1F"/>
        <rFont val="DejaVu Sans"/>
        <family val="2"/>
      </rPr>
      <t xml:space="preserve">수용성 에멀전 </t>
    </r>
    <r>
      <rPr>
        <sz val="10"/>
        <color rgb="FF1F1F1F"/>
        <rFont val="DejaVu Sans"/>
        <family val="2"/>
        <charset val="1"/>
      </rPr>
      <t xml:space="preserve">5%, </t>
    </r>
    <r>
      <rPr>
        <sz val="10"/>
        <color rgb="FF1F1F1F"/>
        <rFont val="DejaVu Sans"/>
        <family val="2"/>
      </rPr>
      <t xml:space="preserve">고압</t>
    </r>
  </si>
  <si>
    <r>
      <rPr>
        <sz val="10"/>
        <color rgb="FF1F1F1F"/>
        <rFont val="Arial"/>
        <family val="2"/>
        <charset val="1"/>
      </rPr>
      <t xml:space="preserve">BUE </t>
    </r>
    <r>
      <rPr>
        <sz val="10"/>
        <color rgb="FF1F1F1F"/>
        <rFont val="DejaVu Sans"/>
        <family val="2"/>
      </rPr>
      <t xml:space="preserve">회피 위해 </t>
    </r>
    <r>
      <rPr>
        <sz val="10"/>
        <color rgb="FF1F1F1F"/>
        <rFont val="Arial"/>
        <family val="2"/>
        <charset val="1"/>
      </rPr>
      <t xml:space="preserve">Vc≥150 </t>
    </r>
    <r>
      <rPr>
        <sz val="10"/>
        <color rgb="FF1F1F1F"/>
        <rFont val="DejaVu Sans"/>
        <family val="2"/>
      </rPr>
      <t xml:space="preserve">유지</t>
    </r>
  </si>
  <si>
    <t xml:space="preserve">중삭</t>
  </si>
  <si>
    <t xml:space="preserve">표면 품질 개선 시작</t>
  </si>
  <si>
    <t xml:space="preserve">정삭</t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</si>
  <si>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 xml:space="preserve">P20 / TiAlN</t>
    </r>
  </si>
  <si>
    <r>
      <rPr>
        <sz val="10"/>
        <color rgb="FF1F1F1F"/>
        <rFont val="DejaVu Sans"/>
        <family val="2"/>
      </rPr>
      <t xml:space="preserve">수용성 에멀전 </t>
    </r>
    <r>
      <rPr>
        <sz val="10"/>
        <color rgb="FF1F1F1F"/>
        <rFont val="DejaVu Sans"/>
        <family val="2"/>
        <charset val="1"/>
      </rPr>
      <t xml:space="preserve">5%</t>
    </r>
  </si>
  <si>
    <r>
      <rPr>
        <sz val="10"/>
        <color rgb="FF1F1F1F"/>
        <rFont val="Arial"/>
        <family val="2"/>
        <charset val="1"/>
      </rPr>
      <t xml:space="preserve">Ra </t>
    </r>
    <r>
      <rPr>
        <sz val="10"/>
        <color rgb="FF1F1F1F"/>
        <rFont val="DejaVu Sans"/>
        <family val="2"/>
      </rPr>
      <t xml:space="preserve">목표 </t>
    </r>
    <r>
      <rPr>
        <sz val="10"/>
        <color rgb="FF1F1F1F"/>
        <rFont val="Arial"/>
        <family val="2"/>
        <charset val="1"/>
      </rPr>
      <t xml:space="preserve">1.6~3.2 μm</t>
    </r>
  </si>
  <si>
    <r>
      <rPr>
        <sz val="10"/>
        <color rgb="FF1F1F1F"/>
        <rFont val="Arial"/>
        <family val="2"/>
        <charset val="1"/>
      </rPr>
      <t xml:space="preserve">Ra </t>
    </r>
    <r>
      <rPr>
        <sz val="10"/>
        <color rgb="FF1F1F1F"/>
        <rFont val="DejaVu Sans"/>
        <family val="2"/>
      </rPr>
      <t xml:space="preserve">목표 </t>
    </r>
    <r>
      <rPr>
        <sz val="10"/>
        <color rgb="FF1F1F1F"/>
        <rFont val="Arial"/>
        <family val="2"/>
        <charset val="1"/>
      </rPr>
      <t xml:space="preserve">1.6 μm</t>
    </r>
  </si>
  <si>
    <t xml:space="preserve">소직경 — 공구 강성 주의</t>
  </si>
  <si>
    <t xml:space="preserve">← 직접 입력</t>
  </si>
  <si>
    <r>
      <rPr>
        <i val="true"/>
        <sz val="8"/>
        <color rgb="FF595959"/>
        <rFont val="DejaVu Sans"/>
        <family val="2"/>
      </rPr>
      <t xml:space="preserve">⚠️ 본 표의 </t>
    </r>
    <r>
      <rPr>
        <i val="true"/>
        <sz val="8"/>
        <color rgb="FF595959"/>
        <rFont val="DejaVu Sans"/>
        <family val="2"/>
        <charset val="1"/>
      </rPr>
      <t xml:space="preserve">Vc·fz·ap·ae</t>
    </r>
    <r>
      <rPr>
        <i val="true"/>
        <sz val="8"/>
        <color rgb="FF595959"/>
        <rFont val="DejaVu Sans"/>
        <family val="2"/>
      </rPr>
      <t xml:space="preserve">는 일반 가이드값</t>
    </r>
    <r>
      <rPr>
        <i val="true"/>
        <sz val="8"/>
        <color rgb="FF595959"/>
        <rFont val="DejaVu Sans"/>
        <family val="2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사내 경험값 기준</t>
    </r>
    <r>
      <rPr>
        <i val="true"/>
        <sz val="8"/>
        <color rgb="FF595959"/>
        <rFont val="DejaVu Sans"/>
        <family val="2"/>
        <charset val="1"/>
      </rPr>
      <t xml:space="preserve">). </t>
    </r>
    <r>
      <rPr>
        <i val="true"/>
        <sz val="8"/>
        <color rgb="FF595959"/>
        <rFont val="DejaVu Sans"/>
        <family val="2"/>
      </rPr>
      <t xml:space="preserve">실제 조건은 공구 제조사 카탈로그</t>
    </r>
    <r>
      <rPr>
        <i val="true"/>
        <sz val="8"/>
        <color rgb="FF595959"/>
        <rFont val="DejaVu Sans"/>
        <family val="2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현장 머신 강성</t>
    </r>
    <r>
      <rPr>
        <i val="true"/>
        <sz val="8"/>
        <color rgb="FF595959"/>
        <rFont val="DejaVu Sans"/>
        <family val="2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쿨런트 상태에 따라 조정 필요</t>
    </r>
    <r>
      <rPr>
        <i val="true"/>
        <sz val="8"/>
        <color rgb="FF595959"/>
        <rFont val="DejaVu Sans"/>
        <family val="2"/>
        <charset val="1"/>
      </rPr>
      <t xml:space="preserve">. </t>
    </r>
    <r>
      <rPr>
        <i val="true"/>
        <sz val="8"/>
        <color rgb="FF595959"/>
        <rFont val="DejaVu Sans"/>
        <family val="2"/>
      </rPr>
      <t xml:space="preserve">신규 조건 적용 전 테스트→측정→검증 단계 필수 </t>
    </r>
    <r>
      <rPr>
        <i val="true"/>
        <sz val="8"/>
        <color rgb="FF595959"/>
        <rFont val="DejaVu Sans"/>
        <family val="2"/>
        <charset val="1"/>
      </rPr>
      <t xml:space="preserve">(CLAUDE.md §2 </t>
    </r>
    <r>
      <rPr>
        <i val="true"/>
        <sz val="8"/>
        <color rgb="FF595959"/>
        <rFont val="DejaVu Sans"/>
        <family val="2"/>
      </rPr>
      <t xml:space="preserve">안전 규칙</t>
    </r>
    <r>
      <rPr>
        <i val="true"/>
        <sz val="8"/>
        <color rgb="FF595959"/>
        <rFont val="DejaVu Sans"/>
        <family val="2"/>
        <charset val="1"/>
      </rPr>
      <t xml:space="preserve">). </t>
    </r>
    <r>
      <rPr>
        <i val="true"/>
        <sz val="8"/>
        <color rgb="FF595959"/>
        <rFont val="DejaVu Sans"/>
        <family val="2"/>
      </rPr>
      <t xml:space="preserve">출처</t>
    </r>
    <r>
      <rPr>
        <i val="true"/>
        <sz val="8"/>
        <color rgb="FF595959"/>
        <rFont val="DejaVu Sans"/>
        <family val="2"/>
        <charset val="1"/>
      </rPr>
      <t xml:space="preserve">: wiki/materials/s45c.md §6.3 / Sandvik Coromant CoroKey P</t>
    </r>
    <r>
      <rPr>
        <i val="true"/>
        <sz val="8"/>
        <color rgb="FF595959"/>
        <rFont val="DejaVu Sans"/>
        <family val="2"/>
      </rPr>
      <t xml:space="preserve">그룹</t>
    </r>
  </si>
  <si>
    <r>
      <rPr>
        <b val="true"/>
        <sz val="12"/>
        <color rgb="FFFFFFFF"/>
        <rFont val="Arial"/>
        <family val="2"/>
        <charset val="1"/>
      </rPr>
      <t xml:space="preserve">MCT </t>
    </r>
    <r>
      <rPr>
        <b val="true"/>
        <sz val="12"/>
        <color rgb="FFFFFFFF"/>
        <rFont val="DejaVu Sans"/>
        <family val="2"/>
      </rPr>
      <t xml:space="preserve">밀링 절삭 조건표 — 알루미늄 합금 </t>
    </r>
    <r>
      <rPr>
        <b val="true"/>
        <sz val="12"/>
        <color rgb="FFFFFFFF"/>
        <rFont val="Arial"/>
        <family val="2"/>
        <charset val="1"/>
      </rPr>
      <t xml:space="preserve">(6061-T6 · 7075-T6 · 5052-H32)</t>
    </r>
  </si>
  <si>
    <r>
      <rPr>
        <i val="true"/>
        <sz val="8"/>
        <color rgb="FF595959"/>
        <rFont val="Arial"/>
        <family val="2"/>
        <charset val="1"/>
      </rPr>
      <t xml:space="preserve">ISO 513 </t>
    </r>
    <r>
      <rPr>
        <i val="true"/>
        <sz val="8"/>
        <color rgb="FF595959"/>
        <rFont val="DejaVu Sans"/>
        <family val="2"/>
      </rPr>
      <t xml:space="preserve">그룹</t>
    </r>
    <r>
      <rPr>
        <i val="true"/>
        <sz val="8"/>
        <color rgb="FF595959"/>
        <rFont val="Arial"/>
        <family val="2"/>
        <charset val="1"/>
      </rPr>
      <t xml:space="preserve">: N │ </t>
    </r>
    <r>
      <rPr>
        <i val="true"/>
        <sz val="8"/>
        <color rgb="FF595959"/>
        <rFont val="DejaVu Sans"/>
        <family val="2"/>
      </rPr>
      <t xml:space="preserve">절삭성 </t>
    </r>
    <r>
      <rPr>
        <i val="true"/>
        <sz val="8"/>
        <color rgb="FF595959"/>
        <rFont val="Arial"/>
        <family val="2"/>
        <charset val="1"/>
      </rPr>
      <t xml:space="preserve">6061≈300, 7075≈200, 5052≈180 │ ⚠️ TiAlN </t>
    </r>
    <r>
      <rPr>
        <i val="true"/>
        <sz val="8"/>
        <color rgb="FF595959"/>
        <rFont val="DejaVu Sans"/>
        <family val="2"/>
      </rPr>
      <t xml:space="preserve">코팅 회피 </t>
    </r>
    <r>
      <rPr>
        <i val="true"/>
        <sz val="8"/>
        <color rgb="FF595959"/>
        <rFont val="Arial"/>
        <family val="2"/>
        <charset val="1"/>
      </rPr>
      <t xml:space="preserve">(Al </t>
    </r>
    <r>
      <rPr>
        <i val="true"/>
        <sz val="8"/>
        <color rgb="FF595959"/>
        <rFont val="DejaVu Sans"/>
        <family val="2"/>
      </rPr>
      <t xml:space="preserve">응착</t>
    </r>
    <r>
      <rPr>
        <i val="true"/>
        <sz val="8"/>
        <color rgb="FF595959"/>
        <rFont val="Arial"/>
        <family val="2"/>
        <charset val="1"/>
      </rPr>
      <t xml:space="preserve">) │ </t>
    </r>
    <r>
      <rPr>
        <i val="true"/>
        <sz val="8"/>
        <color rgb="FF595959"/>
        <rFont val="DejaVu Sans"/>
        <family val="2"/>
      </rPr>
      <t xml:space="preserve">출처</t>
    </r>
    <r>
      <rPr>
        <i val="true"/>
        <sz val="8"/>
        <color rgb="FF595959"/>
        <rFont val="Arial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위키 알루미늄</t>
    </r>
    <r>
      <rPr>
        <i val="true"/>
        <sz val="8"/>
        <color rgb="FF595959"/>
        <rFont val="Arial"/>
        <family val="2"/>
        <charset val="1"/>
      </rPr>
      <t xml:space="preserve">.md §6.3 [</t>
    </r>
    <r>
      <rPr>
        <i val="true"/>
        <sz val="8"/>
        <color rgb="FF595959"/>
        <rFont val="DejaVu Sans"/>
        <family val="2"/>
      </rPr>
      <t xml:space="preserve">사내 경험값</t>
    </r>
    <r>
      <rPr>
        <i val="true"/>
        <sz val="8"/>
        <color rgb="FF595959"/>
        <rFont val="Arial"/>
        <family val="2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추정값</t>
    </r>
    <r>
      <rPr>
        <i val="true"/>
        <sz val="8"/>
        <color rgb="FF595959"/>
        <rFont val="Arial"/>
        <family val="2"/>
        <charset val="1"/>
      </rPr>
      <t xml:space="preserve">]</t>
    </r>
  </si>
  <si>
    <r>
      <rPr>
        <b val="true"/>
        <sz val="9"/>
        <color rgb="FFFFFFFF"/>
        <rFont val="DejaVu Sans"/>
        <family val="2"/>
      </rPr>
      <t xml:space="preserve">합금
</t>
    </r>
    <r>
      <rPr>
        <b val="true"/>
        <sz val="9"/>
        <color rgb="FFFFFFFF"/>
        <rFont val="DejaVu Sans"/>
        <family val="2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템퍼</t>
    </r>
    <r>
      <rPr>
        <b val="true"/>
        <sz val="9"/>
        <color rgb="FFFFFFFF"/>
        <rFont val="DejaVu Sans"/>
        <family val="2"/>
        <charset val="1"/>
      </rPr>
      <t xml:space="preserve">)</t>
    </r>
  </si>
  <si>
    <r>
      <rPr>
        <sz val="10"/>
        <color rgb="FF1F1F1F"/>
        <rFont val="Arial"/>
        <family val="2"/>
        <charset val="1"/>
      </rPr>
      <t xml:space="preserve">6061-T6 </t>
    </r>
    <r>
      <rPr>
        <sz val="10"/>
        <color rgb="FF1F1F1F"/>
        <rFont val="DejaVu Sans"/>
        <family val="2"/>
      </rPr>
      <t xml:space="preserve">황삭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</si>
  <si>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 xml:space="preserve">N20 / DLC</t>
    </r>
  </si>
  <si>
    <r>
      <rPr>
        <sz val="10"/>
        <color rgb="FF1F1F1F"/>
        <rFont val="DejaVu Sans"/>
        <family val="2"/>
      </rPr>
      <t xml:space="preserve">합성 수용성 </t>
    </r>
    <r>
      <rPr>
        <sz val="10"/>
        <color rgb="FF1F1F1F"/>
        <rFont val="DejaVu Sans"/>
        <family val="2"/>
        <charset val="1"/>
      </rPr>
      <t xml:space="preserve">pH 8.5~9.5</t>
    </r>
  </si>
  <si>
    <r>
      <rPr>
        <sz val="10"/>
        <color rgb="FF1F1F1F"/>
        <rFont val="Arial"/>
        <family val="2"/>
        <charset val="1"/>
      </rPr>
      <t xml:space="preserve">BUE </t>
    </r>
    <r>
      <rPr>
        <sz val="10"/>
        <color rgb="FF1F1F1F"/>
        <rFont val="DejaVu Sans"/>
        <family val="2"/>
      </rPr>
      <t xml:space="preserve">방지</t>
    </r>
    <r>
      <rPr>
        <sz val="10"/>
        <color rgb="FF1F1F1F"/>
        <rFont val="Arial"/>
        <family val="2"/>
        <charset val="1"/>
      </rPr>
      <t xml:space="preserve">: Vc≥200 </t>
    </r>
    <r>
      <rPr>
        <sz val="10"/>
        <color rgb="FF1F1F1F"/>
        <rFont val="DejaVu Sans"/>
        <family val="2"/>
      </rPr>
      <t xml:space="preserve">필수</t>
    </r>
  </si>
  <si>
    <r>
      <rPr>
        <sz val="10"/>
        <color rgb="FF1F1F1F"/>
        <rFont val="Arial"/>
        <family val="2"/>
        <charset val="1"/>
      </rPr>
      <t xml:space="preserve">6061-T6 </t>
    </r>
    <r>
      <rPr>
        <sz val="10"/>
        <color rgb="FF1F1F1F"/>
        <rFont val="DejaVu Sans"/>
        <family val="2"/>
      </rPr>
      <t xml:space="preserve">정삭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</si>
  <si>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 xml:space="preserve">N20 / PCD·DLC</t>
    </r>
  </si>
  <si>
    <t xml:space="preserve">합성 수용성 또는 에어</t>
  </si>
  <si>
    <r>
      <rPr>
        <sz val="10"/>
        <color rgb="FF1F1F1F"/>
        <rFont val="Arial"/>
        <family val="2"/>
        <charset val="1"/>
      </rPr>
      <t xml:space="preserve">Ra </t>
    </r>
    <r>
      <rPr>
        <sz val="10"/>
        <color rgb="FF1F1F1F"/>
        <rFont val="DejaVu Sans"/>
        <family val="2"/>
      </rPr>
      <t xml:space="preserve">목표 ≤</t>
    </r>
    <r>
      <rPr>
        <sz val="10"/>
        <color rgb="FF1F1F1F"/>
        <rFont val="Arial"/>
        <family val="2"/>
        <charset val="1"/>
      </rPr>
      <t xml:space="preserve">1.6 μm</t>
    </r>
  </si>
  <si>
    <t xml:space="preserve">6061-T6 HSM</t>
  </si>
  <si>
    <t xml:space="preserve">PCD</t>
  </si>
  <si>
    <r>
      <rPr>
        <sz val="10"/>
        <color rgb="FF1F1F1F"/>
        <rFont val="DejaVu Sans"/>
        <family val="2"/>
      </rPr>
      <t xml:space="preserve">에어 블라스트 </t>
    </r>
    <r>
      <rPr>
        <sz val="10"/>
        <color rgb="FF1F1F1F"/>
        <rFont val="DejaVu Sans"/>
        <family val="2"/>
        <charset val="1"/>
      </rPr>
      <t xml:space="preserve">/ MQL</t>
    </r>
  </si>
  <si>
    <r>
      <rPr>
        <sz val="10"/>
        <color rgb="FF1F1F1F"/>
        <rFont val="DejaVu Sans"/>
        <family val="2"/>
      </rPr>
      <t xml:space="preserve">⚠️ 고</t>
    </r>
    <r>
      <rPr>
        <sz val="10"/>
        <color rgb="FF1F1F1F"/>
        <rFont val="DejaVu Sans"/>
        <family val="2"/>
        <charset val="1"/>
      </rPr>
      <t xml:space="preserve">RPM </t>
    </r>
    <r>
      <rPr>
        <sz val="10"/>
        <color rgb="FF1F1F1F"/>
        <rFont val="DejaVu Sans"/>
        <family val="2"/>
      </rPr>
      <t xml:space="preserve">장비 필수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 xml:space="preserve">머신 최대</t>
    </r>
    <r>
      <rPr>
        <sz val="10"/>
        <color rgb="FF1F1F1F"/>
        <rFont val="DejaVu Sans"/>
        <family val="2"/>
        <charset val="1"/>
      </rPr>
      <t xml:space="preserve">RPM </t>
    </r>
    <r>
      <rPr>
        <sz val="10"/>
        <color rgb="FF1F1F1F"/>
        <rFont val="DejaVu Sans"/>
        <family val="2"/>
      </rPr>
      <t xml:space="preserve">확인</t>
    </r>
  </si>
  <si>
    <r>
      <rPr>
        <sz val="10"/>
        <color rgb="FF1F1F1F"/>
        <rFont val="Arial"/>
        <family val="2"/>
        <charset val="1"/>
      </rPr>
      <t xml:space="preserve">7075-T6 </t>
    </r>
    <r>
      <rPr>
        <sz val="10"/>
        <color rgb="FF1F1F1F"/>
        <rFont val="DejaVu Sans"/>
        <family val="2"/>
      </rPr>
      <t xml:space="preserve">황삭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</si>
  <si>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 xml:space="preserve">N10 / PCD</t>
    </r>
  </si>
  <si>
    <r>
      <rPr>
        <sz val="10"/>
        <color rgb="FF1F1F1F"/>
        <rFont val="DejaVu Sans"/>
        <family val="2"/>
      </rPr>
      <t xml:space="preserve">고강도</t>
    </r>
    <r>
      <rPr>
        <sz val="10"/>
        <color rgb="FF1F1F1F"/>
        <rFont val="DejaVu Sans"/>
        <family val="2"/>
        <charset val="1"/>
      </rPr>
      <t xml:space="preserve">: Vc </t>
    </r>
    <r>
      <rPr>
        <sz val="10"/>
        <color rgb="FF1F1F1F"/>
        <rFont val="DejaVu Sans"/>
        <family val="2"/>
      </rPr>
      <t xml:space="preserve">낮추고 </t>
    </r>
    <r>
      <rPr>
        <sz val="10"/>
        <color rgb="FF1F1F1F"/>
        <rFont val="DejaVu Sans"/>
        <family val="2"/>
        <charset val="1"/>
      </rPr>
      <t xml:space="preserve">ap </t>
    </r>
    <r>
      <rPr>
        <sz val="10"/>
        <color rgb="FF1F1F1F"/>
        <rFont val="DejaVu Sans"/>
        <family val="2"/>
      </rPr>
      <t xml:space="preserve">보수적</t>
    </r>
  </si>
  <si>
    <r>
      <rPr>
        <sz val="10"/>
        <color rgb="FF1F1F1F"/>
        <rFont val="Arial"/>
        <family val="2"/>
        <charset val="1"/>
      </rPr>
      <t xml:space="preserve">7075-T6 </t>
    </r>
    <r>
      <rPr>
        <sz val="10"/>
        <color rgb="FF1F1F1F"/>
        <rFont val="DejaVu Sans"/>
        <family val="2"/>
      </rPr>
      <t xml:space="preserve">정삭</t>
    </r>
  </si>
  <si>
    <t xml:space="preserve">PCD / DLC</t>
  </si>
  <si>
    <r>
      <rPr>
        <sz val="10"/>
        <color rgb="FF1F1F1F"/>
        <rFont val="Arial"/>
        <family val="2"/>
        <charset val="1"/>
      </rPr>
      <t xml:space="preserve">TiAlN </t>
    </r>
    <r>
      <rPr>
        <sz val="10"/>
        <color rgb="FF1F1F1F"/>
        <rFont val="DejaVu Sans"/>
        <family val="2"/>
      </rPr>
      <t xml:space="preserve">회피</t>
    </r>
  </si>
  <si>
    <r>
      <rPr>
        <sz val="10"/>
        <color rgb="FF1F1F1F"/>
        <rFont val="Arial"/>
        <family val="2"/>
        <charset val="1"/>
      </rPr>
      <t xml:space="preserve">5052-H32 </t>
    </r>
    <r>
      <rPr>
        <sz val="10"/>
        <color rgb="FF1F1F1F"/>
        <rFont val="DejaVu Sans"/>
        <family val="2"/>
      </rPr>
      <t xml:space="preserve">황삭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</si>
  <si>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 xml:space="preserve">N10 polished</t>
    </r>
  </si>
  <si>
    <t xml:space="preserve">점성 칩 주의 — 고압 쿨런트</t>
  </si>
  <si>
    <r>
      <rPr>
        <sz val="10"/>
        <color rgb="FF1F1F1F"/>
        <rFont val="Arial"/>
        <family val="2"/>
        <charset val="1"/>
      </rPr>
      <t xml:space="preserve">5052-H32 </t>
    </r>
    <r>
      <rPr>
        <sz val="10"/>
        <color rgb="FF1F1F1F"/>
        <rFont val="DejaVu Sans"/>
        <family val="2"/>
      </rPr>
      <t xml:space="preserve">정삭</t>
    </r>
  </si>
  <si>
    <r>
      <rPr>
        <sz val="10"/>
        <color rgb="FF1F1F1F"/>
        <rFont val="DejaVu Sans"/>
        <family val="2"/>
      </rPr>
      <t xml:space="preserve">초경 </t>
    </r>
    <r>
      <rPr>
        <sz val="10"/>
        <color rgb="FF1F1F1F"/>
        <rFont val="DejaVu Sans"/>
        <family val="2"/>
        <charset val="1"/>
      </rPr>
      <t xml:space="preserve">polished / DLC</t>
    </r>
  </si>
  <si>
    <r>
      <rPr>
        <i val="true"/>
        <sz val="8"/>
        <color rgb="FF595959"/>
        <rFont val="Arial"/>
        <family val="2"/>
        <charset val="1"/>
      </rPr>
      <t xml:space="preserve">⚠️ TiAlN </t>
    </r>
    <r>
      <rPr>
        <i val="true"/>
        <sz val="8"/>
        <color rgb="FF595959"/>
        <rFont val="DejaVu Sans"/>
        <family val="2"/>
      </rPr>
      <t xml:space="preserve">코팅은 알루미늄 가공에서 응착</t>
    </r>
    <r>
      <rPr>
        <i val="true"/>
        <sz val="8"/>
        <color rgb="FF595959"/>
        <rFont val="Arial"/>
        <family val="2"/>
        <charset val="1"/>
      </rPr>
      <t xml:space="preserve">(galling) </t>
    </r>
    <r>
      <rPr>
        <i val="true"/>
        <sz val="8"/>
        <color rgb="FF595959"/>
        <rFont val="DejaVu Sans"/>
        <family val="2"/>
      </rPr>
      <t xml:space="preserve">유발 — 회피 필수</t>
    </r>
    <r>
      <rPr>
        <i val="true"/>
        <sz val="8"/>
        <color rgb="FF595959"/>
        <rFont val="Arial"/>
        <family val="2"/>
        <charset val="1"/>
      </rPr>
      <t xml:space="preserve">. HSM </t>
    </r>
    <r>
      <rPr>
        <i val="true"/>
        <sz val="8"/>
        <color rgb="FF595959"/>
        <rFont val="DejaVu Sans"/>
        <family val="2"/>
      </rPr>
      <t xml:space="preserve">조건</t>
    </r>
    <r>
      <rPr>
        <i val="true"/>
        <sz val="8"/>
        <color rgb="FF595959"/>
        <rFont val="Arial"/>
        <family val="2"/>
        <charset val="1"/>
      </rPr>
      <t xml:space="preserve">(Vc≥1,000)</t>
    </r>
    <r>
      <rPr>
        <i val="true"/>
        <sz val="8"/>
        <color rgb="FF595959"/>
        <rFont val="DejaVu Sans"/>
        <family val="2"/>
      </rPr>
      <t xml:space="preserve">은 장비 최대 </t>
    </r>
    <r>
      <rPr>
        <i val="true"/>
        <sz val="8"/>
        <color rgb="FF595959"/>
        <rFont val="Arial"/>
        <family val="2"/>
        <charset val="1"/>
      </rPr>
      <t xml:space="preserve">RPM </t>
    </r>
    <r>
      <rPr>
        <i val="true"/>
        <sz val="8"/>
        <color rgb="FF595959"/>
        <rFont val="DejaVu Sans"/>
        <family val="2"/>
      </rPr>
      <t xml:space="preserve">사전 확인 필수</t>
    </r>
    <r>
      <rPr>
        <i val="true"/>
        <sz val="8"/>
        <color rgb="FF595959"/>
        <rFont val="Arial"/>
        <family val="2"/>
        <charset val="1"/>
      </rPr>
      <t xml:space="preserve">. ⚠️ 6061-T6 HSM </t>
    </r>
    <r>
      <rPr>
        <i val="true"/>
        <sz val="8"/>
        <color rgb="FF595959"/>
        <rFont val="DejaVu Sans"/>
        <family val="2"/>
      </rPr>
      <t xml:space="preserve">행은 추정값</t>
    </r>
    <r>
      <rPr>
        <i val="true"/>
        <sz val="8"/>
        <color rgb="FF595959"/>
        <rFont val="Arial"/>
        <family val="2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확인 필요</t>
    </r>
    <r>
      <rPr>
        <i val="true"/>
        <sz val="8"/>
        <color rgb="FF595959"/>
        <rFont val="Arial"/>
        <family val="2"/>
        <charset val="1"/>
      </rPr>
      <t xml:space="preserve">). </t>
    </r>
    <r>
      <rPr>
        <i val="true"/>
        <sz val="8"/>
        <color rgb="FF595959"/>
        <rFont val="DejaVu Sans"/>
        <family val="2"/>
      </rPr>
      <t xml:space="preserve">출처</t>
    </r>
    <r>
      <rPr>
        <i val="true"/>
        <sz val="8"/>
        <color rgb="FF595959"/>
        <rFont val="Arial"/>
        <family val="2"/>
        <charset val="1"/>
      </rPr>
      <t xml:space="preserve">: wiki/materials/</t>
    </r>
    <r>
      <rPr>
        <i val="true"/>
        <sz val="8"/>
        <color rgb="FF595959"/>
        <rFont val="DejaVu Sans"/>
        <family val="2"/>
      </rPr>
      <t xml:space="preserve">알루미늄</t>
    </r>
    <r>
      <rPr>
        <i val="true"/>
        <sz val="8"/>
        <color rgb="FF595959"/>
        <rFont val="Arial"/>
        <family val="2"/>
        <charset val="1"/>
      </rPr>
      <t xml:space="preserve">.md §6.3 / Sandvik CoroKey N</t>
    </r>
    <r>
      <rPr>
        <i val="true"/>
        <sz val="8"/>
        <color rgb="FF595959"/>
        <rFont val="DejaVu Sans"/>
        <family val="2"/>
      </rPr>
      <t xml:space="preserve">그룹</t>
    </r>
  </si>
  <si>
    <r>
      <rPr>
        <b val="true"/>
        <sz val="12"/>
        <color rgb="FFFFFFFF"/>
        <rFont val="Arial"/>
        <family val="2"/>
        <charset val="1"/>
      </rPr>
      <t xml:space="preserve">ANCA </t>
    </r>
    <r>
      <rPr>
        <b val="true"/>
        <sz val="12"/>
        <color rgb="FFFFFFFF"/>
        <rFont val="DejaVu Sans"/>
        <family val="2"/>
      </rPr>
      <t xml:space="preserve">공구 연삭 조건표 — 초경 엔드밀 재연마 </t>
    </r>
    <r>
      <rPr>
        <b val="true"/>
        <sz val="12"/>
        <color rgb="FFFFFFFF"/>
        <rFont val="Arial"/>
        <family val="2"/>
        <charset val="1"/>
      </rPr>
      <t xml:space="preserve">(ANCA CNC Tool Grinder)</t>
    </r>
  </si>
  <si>
    <r>
      <rPr>
        <b val="true"/>
        <sz val="9"/>
        <color rgb="FFFFFFFF"/>
        <rFont val="DejaVu Sans"/>
        <family val="2"/>
      </rPr>
      <t xml:space="preserve">휠</t>
    </r>
    <r>
      <rPr>
        <b val="true"/>
        <sz val="9"/>
        <color rgb="FFFFFFFF"/>
        <rFont val="DejaVu Sans"/>
        <family val="2"/>
        <charset val="1"/>
      </rPr>
      <t xml:space="preserve">: Ø125 Resin Diamond (</t>
    </r>
    <r>
      <rPr>
        <b val="true"/>
        <sz val="9"/>
        <color rgb="FFFFFFFF"/>
        <rFont val="DejaVu Sans"/>
        <family val="2"/>
      </rPr>
      <t xml:space="preserve">스택 </t>
    </r>
    <r>
      <rPr>
        <b val="true"/>
        <sz val="9"/>
        <color rgb="FFFFFFFF"/>
        <rFont val="DejaVu Sans"/>
        <family val="2"/>
        <charset val="1"/>
      </rPr>
      <t xml:space="preserve">1-2) · Ø125 &amp; Ø100 Resin (</t>
    </r>
    <r>
      <rPr>
        <b val="true"/>
        <sz val="9"/>
        <color rgb="FFFFFFFF"/>
        <rFont val="DejaVu Sans"/>
        <family val="2"/>
      </rPr>
      <t xml:space="preserve">스택 </t>
    </r>
    <r>
      <rPr>
        <b val="true"/>
        <sz val="9"/>
        <color rgb="FFFFFFFF"/>
        <rFont val="DejaVu Sans"/>
        <family val="2"/>
        <charset val="1"/>
      </rPr>
      <t xml:space="preserve">1-1) │ </t>
    </r>
    <r>
      <rPr>
        <b val="true"/>
        <sz val="9"/>
        <color rgb="FFFFFFFF"/>
        <rFont val="DejaVu Sans"/>
        <family val="2"/>
      </rPr>
      <t xml:space="preserve">권장 </t>
    </r>
    <r>
      <rPr>
        <b val="true"/>
        <sz val="9"/>
        <color rgb="FFFFFFFF"/>
        <rFont val="DejaVu Sans"/>
        <family val="2"/>
        <charset val="1"/>
      </rPr>
      <t xml:space="preserve">Vc: 18~30 m/s │ </t>
    </r>
    <r>
      <rPr>
        <b val="true"/>
        <sz val="9"/>
        <color rgb="FFFFFFFF"/>
        <rFont val="DejaVu Sans"/>
        <family val="2"/>
      </rPr>
      <t xml:space="preserve">회색 이탤릭 </t>
    </r>
    <r>
      <rPr>
        <b val="true"/>
        <sz val="9"/>
        <color rgb="FFFFFFFF"/>
        <rFont val="DejaVu Sans"/>
        <family val="2"/>
        <charset val="1"/>
      </rPr>
      <t xml:space="preserve">= </t>
    </r>
    <r>
      <rPr>
        <b val="true"/>
        <sz val="9"/>
        <color rgb="FFFFFFFF"/>
        <rFont val="DejaVu Sans"/>
        <family val="2"/>
      </rPr>
      <t xml:space="preserve">권장 참고값 </t>
    </r>
    <r>
      <rPr>
        <b val="true"/>
        <sz val="9"/>
        <color rgb="FFFFFFFF"/>
        <rFont val="DejaVu Sans"/>
        <family val="2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추정값</t>
    </r>
    <r>
      <rPr>
        <b val="true"/>
        <sz val="9"/>
        <color rgb="FFFFFFFF"/>
        <rFont val="DejaVu Sans"/>
        <family val="2"/>
        <charset val="1"/>
      </rPr>
      <t xml:space="preserve">, </t>
    </r>
    <r>
      <rPr>
        <b val="true"/>
        <sz val="9"/>
        <color rgb="FFFFFFFF"/>
        <rFont val="DejaVu Sans"/>
        <family val="2"/>
      </rPr>
      <t xml:space="preserve">양산 전 테스트 필수</t>
    </r>
    <r>
      <rPr>
        <b val="true"/>
        <sz val="9"/>
        <color rgb="FFFFFFFF"/>
        <rFont val="DejaVu Sans"/>
        <family val="2"/>
        <charset val="1"/>
      </rPr>
      <t xml:space="preserve">) │ Vc </t>
    </r>
    <r>
      <rPr>
        <b val="true"/>
        <sz val="9"/>
        <color rgb="FFFFFFFF"/>
        <rFont val="DejaVu Sans"/>
        <family val="2"/>
      </rPr>
      <t xml:space="preserve">수식</t>
    </r>
    <r>
      <rPr>
        <b val="true"/>
        <sz val="9"/>
        <color rgb="FFFFFFFF"/>
        <rFont val="DejaVu Sans"/>
        <family val="2"/>
        <charset val="1"/>
      </rPr>
      <t xml:space="preserve">: π×D×RPM÷60,000</t>
    </r>
  </si>
  <si>
    <r>
      <rPr>
        <b val="true"/>
        <sz val="10"/>
        <color rgb="FFFFFFFF"/>
        <rFont val="Arial"/>
        <family val="2"/>
        <charset val="1"/>
      </rPr>
      <t xml:space="preserve">A.  </t>
    </r>
    <r>
      <rPr>
        <b val="true"/>
        <sz val="10"/>
        <color rgb="FFFFFFFF"/>
        <rFont val="DejaVu Sans"/>
        <family val="2"/>
      </rPr>
      <t xml:space="preserve">확정 조건 </t>
    </r>
    <r>
      <rPr>
        <b val="true"/>
        <sz val="10"/>
        <color rgb="FFFFFFFF"/>
        <rFont val="Arial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실측 검증 — 재현 가능</t>
    </r>
    <r>
      <rPr>
        <b val="true"/>
        <sz val="10"/>
        <color rgb="FFFFFFFF"/>
        <rFont val="Arial"/>
        <family val="2"/>
        <charset val="1"/>
      </rPr>
      <t xml:space="preserve">)</t>
    </r>
  </si>
  <si>
    <t xml:space="preserve">공구
코드</t>
  </si>
  <si>
    <r>
      <rPr>
        <b val="true"/>
        <sz val="9"/>
        <color rgb="FFFFFFFF"/>
        <rFont val="DejaVu Sans"/>
        <family val="2"/>
      </rPr>
      <t xml:space="preserve">규격
</t>
    </r>
    <r>
      <rPr>
        <b val="true"/>
        <sz val="9"/>
        <color rgb="FFFFFFFF"/>
        <rFont val="DejaVu Sans"/>
        <family val="2"/>
        <charset val="1"/>
      </rPr>
      <t xml:space="preserve">(D mm)</t>
    </r>
  </si>
  <si>
    <t xml:space="preserve">공구
형상</t>
  </si>
  <si>
    <t xml:space="preserve">공정명</t>
  </si>
  <si>
    <t xml:space="preserve">스택</t>
  </si>
  <si>
    <t xml:space="preserve">휠 사양</t>
  </si>
  <si>
    <t xml:space="preserve">RPM</t>
  </si>
  <si>
    <r>
      <rPr>
        <b val="true"/>
        <sz val="9"/>
        <color rgb="FFFFFFFF"/>
        <rFont val="DejaVu Sans"/>
        <family val="2"/>
      </rPr>
      <t xml:space="preserve">원주속도
</t>
    </r>
    <r>
      <rPr>
        <b val="true"/>
        <sz val="9"/>
        <color rgb="FFFFFFFF"/>
        <rFont val="DejaVu Sans"/>
        <family val="2"/>
        <charset val="1"/>
      </rPr>
      <t xml:space="preserve">Vc (m/s)</t>
    </r>
  </si>
  <si>
    <r>
      <rPr>
        <b val="true"/>
        <sz val="9"/>
        <color rgb="FFFFFFFF"/>
        <rFont val="Arial"/>
        <family val="2"/>
        <charset val="1"/>
      </rPr>
      <t xml:space="preserve">Feed_</t>
    </r>
    <r>
      <rPr>
        <b val="true"/>
        <sz val="9"/>
        <color rgb="FFFFFFFF"/>
        <rFont val="DejaVu Sans"/>
        <family val="2"/>
      </rPr>
      <t xml:space="preserve">진입
</t>
    </r>
    <r>
      <rPr>
        <b val="true"/>
        <sz val="9"/>
        <color rgb="FFFFFFFF"/>
        <rFont val="Arial"/>
        <family val="2"/>
        <charset val="1"/>
      </rPr>
      <t xml:space="preserve">(mm/min)</t>
    </r>
  </si>
  <si>
    <r>
      <rPr>
        <b val="true"/>
        <sz val="9"/>
        <color rgb="FFFFFFFF"/>
        <rFont val="Arial"/>
        <family val="2"/>
        <charset val="1"/>
      </rPr>
      <t xml:space="preserve">Feed_</t>
    </r>
    <r>
      <rPr>
        <b val="true"/>
        <sz val="9"/>
        <color rgb="FFFFFFFF"/>
        <rFont val="DejaVu Sans"/>
        <family val="2"/>
      </rPr>
      <t xml:space="preserve">중간
</t>
    </r>
    <r>
      <rPr>
        <b val="true"/>
        <sz val="9"/>
        <color rgb="FFFFFFFF"/>
        <rFont val="Arial"/>
        <family val="2"/>
        <charset val="1"/>
      </rPr>
      <t xml:space="preserve">(mm/min)</t>
    </r>
  </si>
  <si>
    <r>
      <rPr>
        <b val="true"/>
        <sz val="9"/>
        <color rgb="FFFFFFFF"/>
        <rFont val="Arial"/>
        <family val="2"/>
        <charset val="1"/>
      </rPr>
      <t xml:space="preserve">Feed_</t>
    </r>
    <r>
      <rPr>
        <b val="true"/>
        <sz val="9"/>
        <color rgb="FFFFFFFF"/>
        <rFont val="DejaVu Sans"/>
        <family val="2"/>
      </rPr>
      <t xml:space="preserve">마무리
</t>
    </r>
    <r>
      <rPr>
        <b val="true"/>
        <sz val="9"/>
        <color rgb="FFFFFFFF"/>
        <rFont val="Arial"/>
        <family val="2"/>
        <charset val="1"/>
      </rPr>
      <t xml:space="preserve">(mm/min)</t>
    </r>
  </si>
  <si>
    <t xml:space="preserve">DOC
(mm)</t>
  </si>
  <si>
    <t xml:space="preserve">4CO060</t>
  </si>
  <si>
    <t xml:space="preserve">Ø6</t>
  </si>
  <si>
    <r>
      <rPr>
        <sz val="10"/>
        <color rgb="FF000000"/>
        <rFont val="DejaVu Sans"/>
        <family val="2"/>
      </rPr>
      <t xml:space="preserve">코너</t>
    </r>
    <r>
      <rPr>
        <sz val="10"/>
        <color rgb="FF000000"/>
        <rFont val="DejaVu Sans"/>
        <family val="2"/>
        <charset val="1"/>
      </rPr>
      <t xml:space="preserve">R</t>
    </r>
  </si>
  <si>
    <t xml:space="preserve">End Face Gash</t>
  </si>
  <si>
    <r>
      <rPr>
        <sz val="10"/>
        <color rgb="FF000000"/>
        <rFont val="DejaVu Sans"/>
        <family val="2"/>
      </rPr>
      <t xml:space="preserve">스택 </t>
    </r>
    <r>
      <rPr>
        <sz val="10"/>
        <color rgb="FF000000"/>
        <rFont val="DejaVu Sans"/>
        <family val="2"/>
        <charset val="1"/>
      </rPr>
      <t xml:space="preserve">1-2-2</t>
    </r>
  </si>
  <si>
    <t xml:space="preserve">45° Ø125 #325 Resin</t>
  </si>
  <si>
    <r>
      <rPr>
        <sz val="10"/>
        <color rgb="FF000000"/>
        <rFont val="DejaVu Sans"/>
        <family val="2"/>
      </rPr>
      <t xml:space="preserve">✅ 확정 </t>
    </r>
    <r>
      <rPr>
        <sz val="10"/>
        <color rgb="FF000000"/>
        <rFont val="DejaVu Sans"/>
        <family val="2"/>
        <charset val="1"/>
      </rPr>
      <t xml:space="preserve">2026-04-21 │ Vc 25.2 m/s, </t>
    </r>
    <r>
      <rPr>
        <sz val="10"/>
        <color rgb="FF000000"/>
        <rFont val="DejaVu Sans"/>
        <family val="2"/>
      </rPr>
      <t xml:space="preserve">부하 </t>
    </r>
    <r>
      <rPr>
        <sz val="10"/>
        <color rgb="FF000000"/>
        <rFont val="DejaVu Sans"/>
        <family val="2"/>
        <charset val="1"/>
      </rPr>
      <t xml:space="preserve">25%, </t>
    </r>
    <r>
      <rPr>
        <sz val="10"/>
        <color rgb="FF000000"/>
        <rFont val="DejaVu Sans"/>
        <family val="2"/>
      </rPr>
      <t xml:space="preserve">품질 양호 │ 연삭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조건</t>
    </r>
    <r>
      <rPr>
        <sz val="10"/>
        <color rgb="FF000000"/>
        <rFont val="DejaVu Sans"/>
        <family val="2"/>
        <charset val="1"/>
      </rPr>
      <t xml:space="preserve">-D6-4</t>
    </r>
    <r>
      <rPr>
        <sz val="10"/>
        <color rgb="FF000000"/>
        <rFont val="DejaVu Sans"/>
        <family val="2"/>
      </rPr>
      <t xml:space="preserve">날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코너</t>
    </r>
    <r>
      <rPr>
        <sz val="10"/>
        <color rgb="FF000000"/>
        <rFont val="DejaVu Sans"/>
        <family val="2"/>
        <charset val="1"/>
      </rPr>
      <t xml:space="preserve">R-GASH</t>
    </r>
  </si>
  <si>
    <t xml:space="preserve">2BA080</t>
  </si>
  <si>
    <t xml:space="preserve">Ø8</t>
  </si>
  <si>
    <r>
      <rPr>
        <sz val="10"/>
        <color rgb="FF000000"/>
        <rFont val="DejaVu Sans"/>
        <family val="2"/>
      </rPr>
      <t xml:space="preserve">볼</t>
    </r>
    <r>
      <rPr>
        <sz val="10"/>
        <color rgb="FF000000"/>
        <rFont val="DejaVu Sans"/>
        <family val="2"/>
        <charset val="1"/>
      </rPr>
      <t xml:space="preserve">(BA)</t>
    </r>
  </si>
  <si>
    <t xml:space="preserve">Ball Gash</t>
  </si>
  <si>
    <r>
      <rPr>
        <sz val="10"/>
        <color rgb="FF000000"/>
        <rFont val="DejaVu Sans"/>
        <family val="2"/>
      </rPr>
      <t xml:space="preserve">스택 </t>
    </r>
    <r>
      <rPr>
        <sz val="10"/>
        <color rgb="FF000000"/>
        <rFont val="DejaVu Sans"/>
        <family val="2"/>
        <charset val="1"/>
      </rPr>
      <t xml:space="preserve">1-1-1</t>
    </r>
  </si>
  <si>
    <t xml:space="preserve">20° Ø125 #400 Resin</t>
  </si>
  <si>
    <t xml:space="preserve">-</t>
  </si>
  <si>
    <r>
      <rPr>
        <sz val="10"/>
        <color rgb="FF000000"/>
        <rFont val="DejaVu Sans"/>
        <family val="2"/>
      </rPr>
      <t xml:space="preserve">✅ 확정 │ </t>
    </r>
    <r>
      <rPr>
        <sz val="10"/>
        <color rgb="FF000000"/>
        <rFont val="DejaVu Sans"/>
        <family val="2"/>
        <charset val="1"/>
      </rPr>
      <t xml:space="preserve">Ball Gash RPM 3,200/Feed 100-180 │ OD</t>
    </r>
    <r>
      <rPr>
        <sz val="10"/>
        <color rgb="FF000000"/>
        <rFont val="DejaVu Sans"/>
        <family val="2"/>
      </rPr>
      <t xml:space="preserve">피니쉬 </t>
    </r>
    <r>
      <rPr>
        <sz val="10"/>
        <color rgb="FF000000"/>
        <rFont val="DejaVu Sans"/>
        <family val="2"/>
        <charset val="1"/>
      </rPr>
      <t xml:space="preserve">RPM 3,400 / </t>
    </r>
    <r>
      <rPr>
        <sz val="10"/>
        <color rgb="FF000000"/>
        <rFont val="DejaVu Sans"/>
        <family val="2"/>
      </rPr>
      <t xml:space="preserve">진입</t>
    </r>
    <r>
      <rPr>
        <sz val="10"/>
        <color rgb="FF000000"/>
        <rFont val="DejaVu Sans"/>
        <family val="2"/>
        <charset val="1"/>
      </rPr>
      <t xml:space="preserve">300·2</t>
    </r>
    <r>
      <rPr>
        <sz val="10"/>
        <color rgb="FF000000"/>
        <rFont val="DejaVu Sans"/>
        <family val="2"/>
      </rPr>
      <t xml:space="preserve">차</t>
    </r>
    <r>
      <rPr>
        <sz val="10"/>
        <color rgb="FF000000"/>
        <rFont val="DejaVu Sans"/>
        <family val="2"/>
        <charset val="1"/>
      </rPr>
      <t xml:space="preserve">250·1</t>
    </r>
    <r>
      <rPr>
        <sz val="10"/>
        <color rgb="FF000000"/>
        <rFont val="DejaVu Sans"/>
        <family val="2"/>
      </rPr>
      <t xml:space="preserve">차</t>
    </r>
    <r>
      <rPr>
        <sz val="10"/>
        <color rgb="FF000000"/>
        <rFont val="DejaVu Sans"/>
        <family val="2"/>
        <charset val="1"/>
      </rPr>
      <t xml:space="preserve">450 (</t>
    </r>
    <r>
      <rPr>
        <sz val="10"/>
        <color rgb="FF000000"/>
        <rFont val="DejaVu Sans"/>
        <family val="2"/>
      </rPr>
      <t xml:space="preserve">컵휠 스택 </t>
    </r>
    <r>
      <rPr>
        <sz val="10"/>
        <color rgb="FF000000"/>
        <rFont val="DejaVu Sans"/>
        <family val="2"/>
        <charset val="1"/>
      </rPr>
      <t xml:space="preserve">1-1-2)</t>
    </r>
  </si>
  <si>
    <r>
      <rPr>
        <b val="true"/>
        <sz val="10"/>
        <color rgb="FFFFFFFF"/>
        <rFont val="Arial"/>
        <family val="2"/>
        <charset val="1"/>
      </rPr>
      <t xml:space="preserve">B.  </t>
    </r>
    <r>
      <rPr>
        <b val="true"/>
        <sz val="10"/>
        <color rgb="FFFFFFFF"/>
        <rFont val="DejaVu Sans"/>
        <family val="2"/>
      </rPr>
      <t xml:space="preserve">검증 중 </t>
    </r>
    <r>
      <rPr>
        <b val="true"/>
        <sz val="10"/>
        <color rgb="FFFFFFFF"/>
        <rFont val="Arial"/>
        <family val="2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재가동 조건 </t>
    </r>
    <r>
      <rPr>
        <b val="true"/>
        <sz val="10"/>
        <color rgb="FFFFFFFF"/>
        <rFont val="Arial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사내 경험값 — 양산 전 확인 필요</t>
    </r>
    <r>
      <rPr>
        <b val="true"/>
        <sz val="10"/>
        <color rgb="FFFFFFFF"/>
        <rFont val="Arial"/>
        <family val="2"/>
        <charset val="1"/>
      </rPr>
      <t xml:space="preserve">)</t>
    </r>
  </si>
  <si>
    <t xml:space="preserve">4CO080</t>
  </si>
  <si>
    <r>
      <rPr>
        <sz val="10"/>
        <color rgb="FF000000"/>
        <rFont val="DejaVu Sans"/>
        <family val="2"/>
      </rPr>
      <t xml:space="preserve">⚠️ 재가동 검증중 </t>
    </r>
    <r>
      <rPr>
        <sz val="10"/>
        <color rgb="FF000000"/>
        <rFont val="DejaVu Sans"/>
        <family val="2"/>
        <charset val="1"/>
      </rPr>
      <t xml:space="preserve">2026-04-21 │ Vc 20.9 m/s (</t>
    </r>
    <r>
      <rPr>
        <sz val="10"/>
        <color rgb="FF000000"/>
        <rFont val="DejaVu Sans"/>
        <family val="2"/>
      </rPr>
      <t xml:space="preserve">전환구간</t>
    </r>
    <r>
      <rPr>
        <sz val="10"/>
        <color rgb="FF000000"/>
        <rFont val="DejaVu Sans"/>
        <family val="2"/>
        <charset val="1"/>
      </rPr>
      <t xml:space="preserve">) │ </t>
    </r>
    <r>
      <rPr>
        <sz val="10"/>
        <color rgb="FF000000"/>
        <rFont val="DejaVu Sans"/>
        <family val="2"/>
      </rPr>
      <t xml:space="preserve">파손이력 → </t>
    </r>
    <r>
      <rPr>
        <sz val="10"/>
        <color rgb="FF000000"/>
        <rFont val="DejaVu Sans"/>
        <family val="2"/>
        <charset val="1"/>
      </rPr>
      <t xml:space="preserve">RPM 3,820→4,000 </t>
    </r>
    <r>
      <rPr>
        <sz val="10"/>
        <color rgb="FF000000"/>
        <rFont val="DejaVu Sans"/>
        <family val="2"/>
      </rPr>
      <t xml:space="preserve">점진 상향 예정</t>
    </r>
  </si>
  <si>
    <r>
      <rPr>
        <b val="true"/>
        <sz val="10"/>
        <color rgb="FFFFFFFF"/>
        <rFont val="Arial"/>
        <family val="2"/>
        <charset val="1"/>
      </rPr>
      <t xml:space="preserve">C.  </t>
    </r>
    <r>
      <rPr>
        <b val="true"/>
        <sz val="10"/>
        <color rgb="FFFFFFFF"/>
        <rFont val="DejaVu Sans"/>
        <family val="2"/>
      </rPr>
      <t xml:space="preserve">미기록 — 조건 확정 후 입력 │ 회색 이탤릭 </t>
    </r>
    <r>
      <rPr>
        <b val="true"/>
        <sz val="10"/>
        <color rgb="FFFFFFFF"/>
        <rFont val="Arial"/>
        <family val="2"/>
        <charset val="1"/>
      </rPr>
      <t xml:space="preserve">= </t>
    </r>
    <r>
      <rPr>
        <b val="true"/>
        <sz val="10"/>
        <color rgb="FFFFFFFF"/>
        <rFont val="DejaVu Sans"/>
        <family val="2"/>
      </rPr>
      <t xml:space="preserve">권장 참고값 </t>
    </r>
    <r>
      <rPr>
        <b val="true"/>
        <sz val="10"/>
        <color rgb="FFFFFFFF"/>
        <rFont val="Arial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추정값</t>
    </r>
    <r>
      <rPr>
        <b val="true"/>
        <sz val="10"/>
        <color rgb="FFFFFFFF"/>
        <rFont val="Arial"/>
        <family val="2"/>
        <charset val="1"/>
      </rPr>
      <t xml:space="preserve">, </t>
    </r>
    <r>
      <rPr>
        <b val="true"/>
        <sz val="10"/>
        <color rgb="FFFFFFFF"/>
        <rFont val="DejaVu Sans"/>
        <family val="2"/>
      </rPr>
      <t xml:space="preserve">양산 전 테스트</t>
    </r>
    <r>
      <rPr>
        <b val="true"/>
        <sz val="10"/>
        <color rgb="FFFFFFFF"/>
        <rFont val="Arial"/>
        <family val="2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측정</t>
    </r>
    <r>
      <rPr>
        <b val="true"/>
        <sz val="10"/>
        <color rgb="FFFFFFFF"/>
        <rFont val="Arial"/>
        <family val="2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검증 필수</t>
    </r>
    <r>
      <rPr>
        <b val="true"/>
        <sz val="10"/>
        <color rgb="FFFFFFFF"/>
        <rFont val="Arial"/>
        <family val="2"/>
        <charset val="1"/>
      </rPr>
      <t xml:space="preserve">)</t>
    </r>
  </si>
  <si>
    <r>
      <rPr>
        <b val="true"/>
        <sz val="10"/>
        <color rgb="FF1A1A2E"/>
        <rFont val="DejaVu Sans"/>
        <family val="2"/>
      </rPr>
      <t xml:space="preserve">▶ 볼 </t>
    </r>
    <r>
      <rPr>
        <b val="true"/>
        <sz val="10"/>
        <color rgb="FF1A1A2E"/>
        <rFont val="DejaVu Sans"/>
        <family val="2"/>
        <charset val="1"/>
      </rPr>
      <t xml:space="preserve">(BA) — 2</t>
    </r>
    <r>
      <rPr>
        <b val="true"/>
        <sz val="10"/>
        <color rgb="FF1A1A2E"/>
        <rFont val="DejaVu Sans"/>
        <family val="2"/>
      </rPr>
      <t xml:space="preserve">날  │  스택 </t>
    </r>
    <r>
      <rPr>
        <b val="true"/>
        <sz val="10"/>
        <color rgb="FF1A1A2E"/>
        <rFont val="DejaVu Sans"/>
        <family val="2"/>
        <charset val="1"/>
      </rPr>
      <t xml:space="preserve">1-1-1  │  20° Ø125 Resin Diamond  │  Ball Gash</t>
    </r>
  </si>
  <si>
    <t xml:space="preserve">2BA020</t>
  </si>
  <si>
    <t xml:space="preserve">Ø2</t>
  </si>
  <si>
    <r>
      <rPr>
        <i val="true"/>
        <sz val="10"/>
        <color rgb="FF909090"/>
        <rFont val="DejaVu Sans"/>
        <family val="2"/>
      </rPr>
      <t xml:space="preserve">볼</t>
    </r>
    <r>
      <rPr>
        <i val="true"/>
        <sz val="10"/>
        <color rgb="FF909090"/>
        <rFont val="DejaVu Sans"/>
        <family val="2"/>
        <charset val="1"/>
      </rPr>
      <t xml:space="preserve">(BA)</t>
    </r>
  </si>
  <si>
    <r>
      <rPr>
        <i val="true"/>
        <sz val="10"/>
        <color rgb="FF909090"/>
        <rFont val="DejaVu Sans"/>
        <family val="2"/>
      </rPr>
      <t xml:space="preserve">스택 </t>
    </r>
    <r>
      <rPr>
        <i val="true"/>
        <sz val="10"/>
        <color rgb="FF909090"/>
        <rFont val="DejaVu Sans"/>
        <family val="2"/>
        <charset val="1"/>
      </rPr>
      <t xml:space="preserve">1-1-1</t>
    </r>
  </si>
  <si>
    <t xml:space="preserve">← 조건 확정 후 갱신</t>
  </si>
  <si>
    <t xml:space="preserve">2BA030</t>
  </si>
  <si>
    <t xml:space="preserve">Ø3</t>
  </si>
  <si>
    <t xml:space="preserve">2BA040</t>
  </si>
  <si>
    <t xml:space="preserve">Ø4</t>
  </si>
  <si>
    <t xml:space="preserve">2BA060</t>
  </si>
  <si>
    <t xml:space="preserve">2BA100</t>
  </si>
  <si>
    <t xml:space="preserve">Ø10</t>
  </si>
  <si>
    <t xml:space="preserve">2BA120</t>
  </si>
  <si>
    <t xml:space="preserve">Ø12</t>
  </si>
  <si>
    <t xml:space="preserve">2BA140</t>
  </si>
  <si>
    <t xml:space="preserve">Ø14</t>
  </si>
  <si>
    <t xml:space="preserve">2BA160</t>
  </si>
  <si>
    <t xml:space="preserve">Ø16</t>
  </si>
  <si>
    <t xml:space="preserve">2BA200</t>
  </si>
  <si>
    <t xml:space="preserve">Ø20</t>
  </si>
  <si>
    <r>
      <rPr>
        <b val="true"/>
        <sz val="10"/>
        <color rgb="FF1A1A2E"/>
        <rFont val="DejaVu Sans"/>
        <family val="2"/>
      </rPr>
      <t xml:space="preserve">▶ 볼 </t>
    </r>
    <r>
      <rPr>
        <b val="true"/>
        <sz val="10"/>
        <color rgb="FF1A1A2E"/>
        <rFont val="DejaVu Sans"/>
        <family val="2"/>
        <charset val="1"/>
      </rPr>
      <t xml:space="preserve">(BA) — 2</t>
    </r>
    <r>
      <rPr>
        <b val="true"/>
        <sz val="10"/>
        <color rgb="FF1A1A2E"/>
        <rFont val="DejaVu Sans"/>
        <family val="2"/>
      </rPr>
      <t xml:space="preserve">날  │  스택 </t>
    </r>
    <r>
      <rPr>
        <b val="true"/>
        <sz val="10"/>
        <color rgb="FF1A1A2E"/>
        <rFont val="DejaVu Sans"/>
        <family val="2"/>
        <charset val="1"/>
      </rPr>
      <t xml:space="preserve">1-1-2  │  </t>
    </r>
    <r>
      <rPr>
        <b val="true"/>
        <sz val="10"/>
        <color rgb="FF1A1A2E"/>
        <rFont val="DejaVu Sans"/>
        <family val="2"/>
      </rPr>
      <t xml:space="preserve">컵 </t>
    </r>
    <r>
      <rPr>
        <b val="true"/>
        <sz val="10"/>
        <color rgb="FF1A1A2E"/>
        <rFont val="DejaVu Sans"/>
        <family val="2"/>
        <charset val="1"/>
      </rPr>
      <t xml:space="preserve">Ø100 Resin Diamond  │  OD and Ball Finish</t>
    </r>
  </si>
  <si>
    <t xml:space="preserve">OD and Ball Finish</t>
  </si>
  <si>
    <r>
      <rPr>
        <i val="true"/>
        <sz val="10"/>
        <color rgb="FF909090"/>
        <rFont val="DejaVu Sans"/>
        <family val="2"/>
      </rPr>
      <t xml:space="preserve">스택 </t>
    </r>
    <r>
      <rPr>
        <i val="true"/>
        <sz val="10"/>
        <color rgb="FF909090"/>
        <rFont val="DejaVu Sans"/>
        <family val="2"/>
        <charset val="1"/>
      </rPr>
      <t xml:space="preserve">1-1-2</t>
    </r>
  </si>
  <si>
    <r>
      <rPr>
        <i val="true"/>
        <sz val="10"/>
        <color rgb="FF909090"/>
        <rFont val="DejaVu Sans"/>
        <family val="2"/>
      </rPr>
      <t xml:space="preserve">컵 </t>
    </r>
    <r>
      <rPr>
        <i val="true"/>
        <sz val="10"/>
        <color rgb="FF909090"/>
        <rFont val="DejaVu Sans"/>
        <family val="2"/>
        <charset val="1"/>
      </rPr>
      <t xml:space="preserve">Ø100 #400 Resin</t>
    </r>
  </si>
  <si>
    <r>
      <rPr>
        <i val="true"/>
        <sz val="10"/>
        <color rgb="FF909090"/>
        <rFont val="DejaVu Sans"/>
        <family val="2"/>
      </rPr>
      <t xml:space="preserve">← 조건 확정 후 갱신  </t>
    </r>
    <r>
      <rPr>
        <i val="true"/>
        <sz val="10"/>
        <color rgb="FF909090"/>
        <rFont val="DejaVu Sans"/>
        <family val="2"/>
        <charset val="1"/>
      </rPr>
      <t xml:space="preserve">(</t>
    </r>
    <r>
      <rPr>
        <i val="true"/>
        <sz val="10"/>
        <color rgb="FF909090"/>
        <rFont val="DejaVu Sans"/>
        <family val="2"/>
      </rPr>
      <t xml:space="preserve">기준</t>
    </r>
    <r>
      <rPr>
        <i val="true"/>
        <sz val="10"/>
        <color rgb="FF909090"/>
        <rFont val="DejaVu Sans"/>
        <family val="2"/>
        <charset val="1"/>
      </rPr>
      <t xml:space="preserve">: 2BA080 </t>
    </r>
    <r>
      <rPr>
        <i val="true"/>
        <sz val="10"/>
        <color rgb="FF909090"/>
        <rFont val="DejaVu Sans"/>
        <family val="2"/>
      </rPr>
      <t xml:space="preserve">확정값 </t>
    </r>
    <r>
      <rPr>
        <i val="true"/>
        <sz val="10"/>
        <color rgb="FF909090"/>
        <rFont val="DejaVu Sans"/>
        <family val="2"/>
        <charset val="1"/>
      </rPr>
      <t xml:space="preserve">RPM 3,400)</t>
    </r>
  </si>
  <si>
    <r>
      <rPr>
        <b val="true"/>
        <sz val="10"/>
        <color rgb="FF1A1A2E"/>
        <rFont val="DejaVu Sans"/>
        <family val="2"/>
      </rPr>
      <t xml:space="preserve">▶ 평 </t>
    </r>
    <r>
      <rPr>
        <b val="true"/>
        <sz val="10"/>
        <color rgb="FF1A1A2E"/>
        <rFont val="DejaVu Sans"/>
        <family val="2"/>
        <charset val="1"/>
      </rPr>
      <t xml:space="preserve">(FL) — 2</t>
    </r>
    <r>
      <rPr>
        <b val="true"/>
        <sz val="10"/>
        <color rgb="FF1A1A2E"/>
        <rFont val="DejaVu Sans"/>
        <family val="2"/>
      </rPr>
      <t xml:space="preserve">날  │  스택 </t>
    </r>
    <r>
      <rPr>
        <b val="true"/>
        <sz val="10"/>
        <color rgb="FF1A1A2E"/>
        <rFont val="DejaVu Sans"/>
        <family val="2"/>
        <charset val="1"/>
      </rPr>
      <t xml:space="preserve">1-2-1  │  5° Ø125 Resin Diamond  │  End Face Gash</t>
    </r>
  </si>
  <si>
    <t xml:space="preserve">2FL020</t>
  </si>
  <si>
    <r>
      <rPr>
        <i val="true"/>
        <sz val="10"/>
        <color rgb="FF909090"/>
        <rFont val="DejaVu Sans"/>
        <family val="2"/>
      </rPr>
      <t xml:space="preserve">평</t>
    </r>
    <r>
      <rPr>
        <i val="true"/>
        <sz val="10"/>
        <color rgb="FF909090"/>
        <rFont val="DejaVu Sans"/>
        <family val="2"/>
        <charset val="1"/>
      </rPr>
      <t xml:space="preserve">(FL)</t>
    </r>
  </si>
  <si>
    <r>
      <rPr>
        <i val="true"/>
        <sz val="10"/>
        <color rgb="FF909090"/>
        <rFont val="DejaVu Sans"/>
        <family val="2"/>
      </rPr>
      <t xml:space="preserve">스택 </t>
    </r>
    <r>
      <rPr>
        <i val="true"/>
        <sz val="10"/>
        <color rgb="FF909090"/>
        <rFont val="DejaVu Sans"/>
        <family val="2"/>
        <charset val="1"/>
      </rPr>
      <t xml:space="preserve">1-2-1</t>
    </r>
  </si>
  <si>
    <t xml:space="preserve">5° Ø125 #400 Resin</t>
  </si>
  <si>
    <t xml:space="preserve">2FL030</t>
  </si>
  <si>
    <t xml:space="preserve">2FL040</t>
  </si>
  <si>
    <t xml:space="preserve">2FL060</t>
  </si>
  <si>
    <t xml:space="preserve">2FL100</t>
  </si>
  <si>
    <t xml:space="preserve">2FL120</t>
  </si>
  <si>
    <t xml:space="preserve">2FL140</t>
  </si>
  <si>
    <t xml:space="preserve">2FL160</t>
  </si>
  <si>
    <t xml:space="preserve">2FL200</t>
  </si>
  <si>
    <r>
      <rPr>
        <b val="true"/>
        <sz val="10"/>
        <color rgb="FF1A1A2E"/>
        <rFont val="DejaVu Sans"/>
        <family val="2"/>
      </rPr>
      <t xml:space="preserve">▶ 코너</t>
    </r>
    <r>
      <rPr>
        <b val="true"/>
        <sz val="10"/>
        <color rgb="FF1A1A2E"/>
        <rFont val="DejaVu Sans"/>
        <family val="2"/>
        <charset val="1"/>
      </rPr>
      <t xml:space="preserve">R (CO) — 2</t>
    </r>
    <r>
      <rPr>
        <b val="true"/>
        <sz val="10"/>
        <color rgb="FF1A1A2E"/>
        <rFont val="DejaVu Sans"/>
        <family val="2"/>
      </rPr>
      <t xml:space="preserve">날  │  스택 </t>
    </r>
    <r>
      <rPr>
        <b val="true"/>
        <sz val="10"/>
        <color rgb="FF1A1A2E"/>
        <rFont val="DejaVu Sans"/>
        <family val="2"/>
        <charset val="1"/>
      </rPr>
      <t xml:space="preserve">1-2-1  │  5° Ø125 Resin Diamond  │  End Face Gash</t>
    </r>
  </si>
  <si>
    <t xml:space="preserve">2CO020</t>
  </si>
  <si>
    <r>
      <rPr>
        <i val="true"/>
        <sz val="10"/>
        <color rgb="FF909090"/>
        <rFont val="DejaVu Sans"/>
        <family val="2"/>
      </rPr>
      <t xml:space="preserve">코너</t>
    </r>
    <r>
      <rPr>
        <i val="true"/>
        <sz val="10"/>
        <color rgb="FF909090"/>
        <rFont val="DejaVu Sans"/>
        <family val="2"/>
        <charset val="1"/>
      </rPr>
      <t xml:space="preserve">R</t>
    </r>
  </si>
  <si>
    <t xml:space="preserve">2CO030</t>
  </si>
  <si>
    <t xml:space="preserve">2CO040</t>
  </si>
  <si>
    <t xml:space="preserve">2CO060</t>
  </si>
  <si>
    <t xml:space="preserve">2CO100</t>
  </si>
  <si>
    <t xml:space="preserve">2CO120</t>
  </si>
  <si>
    <t xml:space="preserve">2CO140</t>
  </si>
  <si>
    <t xml:space="preserve">2CO160</t>
  </si>
  <si>
    <t xml:space="preserve">2CO200</t>
  </si>
  <si>
    <r>
      <rPr>
        <b val="true"/>
        <sz val="10"/>
        <color rgb="FF1A1A2E"/>
        <rFont val="DejaVu Sans"/>
        <family val="2"/>
      </rPr>
      <t xml:space="preserve">▶ 평 </t>
    </r>
    <r>
      <rPr>
        <b val="true"/>
        <sz val="10"/>
        <color rgb="FF1A1A2E"/>
        <rFont val="DejaVu Sans"/>
        <family val="2"/>
        <charset val="1"/>
      </rPr>
      <t xml:space="preserve">(FL) — 4</t>
    </r>
    <r>
      <rPr>
        <b val="true"/>
        <sz val="10"/>
        <color rgb="FF1A1A2E"/>
        <rFont val="DejaVu Sans"/>
        <family val="2"/>
      </rPr>
      <t xml:space="preserve">날  │  스택 </t>
    </r>
    <r>
      <rPr>
        <b val="true"/>
        <sz val="10"/>
        <color rgb="FF1A1A2E"/>
        <rFont val="DejaVu Sans"/>
        <family val="2"/>
        <charset val="1"/>
      </rPr>
      <t xml:space="preserve">1-2-2  │  45° Ø125 #325 Resin Diamond  │  End Face Gash</t>
    </r>
  </si>
  <si>
    <t xml:space="preserve">4FL020</t>
  </si>
  <si>
    <r>
      <rPr>
        <i val="true"/>
        <sz val="10"/>
        <color rgb="FF909090"/>
        <rFont val="DejaVu Sans"/>
        <family val="2"/>
      </rPr>
      <t xml:space="preserve">스택 </t>
    </r>
    <r>
      <rPr>
        <i val="true"/>
        <sz val="10"/>
        <color rgb="FF909090"/>
        <rFont val="DejaVu Sans"/>
        <family val="2"/>
        <charset val="1"/>
      </rPr>
      <t xml:space="preserve">1-2-2</t>
    </r>
  </si>
  <si>
    <t xml:space="preserve">4FL030</t>
  </si>
  <si>
    <t xml:space="preserve">4FL040</t>
  </si>
  <si>
    <t xml:space="preserve">4FL060</t>
  </si>
  <si>
    <t xml:space="preserve">4FL100</t>
  </si>
  <si>
    <t xml:space="preserve">4FL120</t>
  </si>
  <si>
    <t xml:space="preserve">4FL140</t>
  </si>
  <si>
    <t xml:space="preserve">4FL160</t>
  </si>
  <si>
    <t xml:space="preserve">4FL200</t>
  </si>
  <si>
    <r>
      <rPr>
        <b val="true"/>
        <sz val="10"/>
        <color rgb="FF1A1A2E"/>
        <rFont val="DejaVu Sans"/>
        <family val="2"/>
      </rPr>
      <t xml:space="preserve">▶ 코너</t>
    </r>
    <r>
      <rPr>
        <b val="true"/>
        <sz val="10"/>
        <color rgb="FF1A1A2E"/>
        <rFont val="DejaVu Sans"/>
        <family val="2"/>
        <charset val="1"/>
      </rPr>
      <t xml:space="preserve">R (CO) — 4</t>
    </r>
    <r>
      <rPr>
        <b val="true"/>
        <sz val="10"/>
        <color rgb="FF1A1A2E"/>
        <rFont val="DejaVu Sans"/>
        <family val="2"/>
      </rPr>
      <t xml:space="preserve">날  │  스택 </t>
    </r>
    <r>
      <rPr>
        <b val="true"/>
        <sz val="10"/>
        <color rgb="FF1A1A2E"/>
        <rFont val="DejaVu Sans"/>
        <family val="2"/>
        <charset val="1"/>
      </rPr>
      <t xml:space="preserve">1-2-2  │  45° Ø125 #325 Resin Diamond  │  End Face Gash  │  4CO060(Ø6)=A</t>
    </r>
    <r>
      <rPr>
        <b val="true"/>
        <sz val="10"/>
        <color rgb="FF1A1A2E"/>
        <rFont val="DejaVu Sans"/>
        <family val="2"/>
      </rPr>
      <t xml:space="preserve">확정</t>
    </r>
    <r>
      <rPr>
        <b val="true"/>
        <sz val="10"/>
        <color rgb="FF1A1A2E"/>
        <rFont val="DejaVu Sans"/>
        <family val="2"/>
        <charset val="1"/>
      </rPr>
      <t xml:space="preserve">·4CO080(Ø8)=B</t>
    </r>
    <r>
      <rPr>
        <b val="true"/>
        <sz val="10"/>
        <color rgb="FF1A1A2E"/>
        <rFont val="DejaVu Sans"/>
        <family val="2"/>
      </rPr>
      <t xml:space="preserve">검증중 포함</t>
    </r>
  </si>
  <si>
    <t xml:space="preserve">4CO020</t>
  </si>
  <si>
    <t xml:space="preserve">4CO030</t>
  </si>
  <si>
    <t xml:space="preserve">4CO040</t>
  </si>
  <si>
    <t xml:space="preserve">4CO100</t>
  </si>
  <si>
    <t xml:space="preserve">4CO120</t>
  </si>
  <si>
    <t xml:space="preserve">4CO140</t>
  </si>
  <si>
    <t xml:space="preserve">4CO160</t>
  </si>
  <si>
    <t xml:space="preserve">4CO200</t>
  </si>
  <si>
    <r>
      <rPr>
        <b val="true"/>
        <sz val="9"/>
        <color rgb="FFFFFFFF"/>
        <rFont val="DejaVu Sans"/>
        <family val="2"/>
      </rPr>
      <t xml:space="preserve">⚠️ 회색 이탤릭 </t>
    </r>
    <r>
      <rPr>
        <b val="true"/>
        <sz val="9"/>
        <color rgb="FFFFFFFF"/>
        <rFont val="DejaVu Sans"/>
        <family val="2"/>
        <charset val="1"/>
      </rPr>
      <t xml:space="preserve">= </t>
    </r>
    <r>
      <rPr>
        <b val="true"/>
        <sz val="9"/>
        <color rgb="FFFFFFFF"/>
        <rFont val="DejaVu Sans"/>
        <family val="2"/>
      </rPr>
      <t xml:space="preserve">추정값 </t>
    </r>
    <r>
      <rPr>
        <b val="true"/>
        <sz val="9"/>
        <color rgb="FFFFFFFF"/>
        <rFont val="DejaVu Sans"/>
        <family val="2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권장 참고용</t>
    </r>
    <r>
      <rPr>
        <b val="true"/>
        <sz val="9"/>
        <color rgb="FFFFFFFF"/>
        <rFont val="DejaVu Sans"/>
        <family val="2"/>
        <charset val="1"/>
      </rPr>
      <t xml:space="preserve">). </t>
    </r>
    <r>
      <rPr>
        <b val="true"/>
        <sz val="9"/>
        <color rgb="FFFFFFFF"/>
        <rFont val="DejaVu Sans"/>
        <family val="2"/>
      </rPr>
      <t xml:space="preserve">양산 적용 전 반드시 테스트→측정→검증 필수 </t>
    </r>
    <r>
      <rPr>
        <b val="true"/>
        <sz val="9"/>
        <color rgb="FFFFFFFF"/>
        <rFont val="DejaVu Sans"/>
        <family val="2"/>
        <charset val="1"/>
      </rPr>
      <t xml:space="preserve">(CLAUDE.md §2). │ </t>
    </r>
    <r>
      <rPr>
        <b val="true"/>
        <sz val="9"/>
        <color rgb="FFFFFFFF"/>
        <rFont val="DejaVu Sans"/>
        <family val="2"/>
      </rPr>
      <t xml:space="preserve">스택 </t>
    </r>
    <r>
      <rPr>
        <b val="true"/>
        <sz val="9"/>
        <color rgb="FFFFFFFF"/>
        <rFont val="DejaVu Sans"/>
        <family val="2"/>
        <charset val="1"/>
      </rPr>
      <t xml:space="preserve">1-2 Vc </t>
    </r>
    <r>
      <rPr>
        <b val="true"/>
        <sz val="9"/>
        <color rgb="FFFFFFFF"/>
        <rFont val="DejaVu Sans"/>
        <family val="2"/>
      </rPr>
      <t xml:space="preserve">계산</t>
    </r>
    <r>
      <rPr>
        <b val="true"/>
        <sz val="9"/>
        <color rgb="FFFFFFFF"/>
        <rFont val="DejaVu Sans"/>
        <family val="2"/>
        <charset val="1"/>
      </rPr>
      <t xml:space="preserve">: π×125×RPM÷60,000  / </t>
    </r>
    <r>
      <rPr>
        <b val="true"/>
        <sz val="9"/>
        <color rgb="FFFFFFFF"/>
        <rFont val="DejaVu Sans"/>
        <family val="2"/>
      </rPr>
      <t xml:space="preserve">컵휠 </t>
    </r>
    <r>
      <rPr>
        <b val="true"/>
        <sz val="9"/>
        <color rgb="FFFFFFFF"/>
        <rFont val="DejaVu Sans"/>
        <family val="2"/>
        <charset val="1"/>
      </rPr>
      <t xml:space="preserve">Vc: π×100×RPM÷60,000</t>
    </r>
  </si>
  <si>
    <r>
      <rPr>
        <b val="true"/>
        <sz val="11"/>
        <color rgb="FFFFFFFF"/>
        <rFont val="Arial"/>
        <family val="2"/>
        <charset val="1"/>
      </rPr>
      <t xml:space="preserve">🔧 GRIND </t>
    </r>
    <r>
      <rPr>
        <b val="true"/>
        <sz val="11"/>
        <color rgb="FFFFFFFF"/>
        <rFont val="DejaVu Sans"/>
        <family val="2"/>
      </rPr>
      <t xml:space="preserve">연삭 조건 마스터 — </t>
    </r>
    <r>
      <rPr>
        <b val="true"/>
        <sz val="11"/>
        <color rgb="FFFFFFFF"/>
        <rFont val="Arial"/>
        <family val="2"/>
        <charset val="1"/>
      </rPr>
      <t xml:space="preserve">ANCA MX7  |  </t>
    </r>
    <r>
      <rPr>
        <b val="true"/>
        <sz val="11"/>
        <color rgb="FFFFFFFF"/>
        <rFont val="DejaVu Sans"/>
        <family val="2"/>
      </rPr>
      <t xml:space="preserve">스택 </t>
    </r>
    <r>
      <rPr>
        <b val="true"/>
        <sz val="11"/>
        <color rgb="FFFFFFFF"/>
        <rFont val="Arial"/>
        <family val="2"/>
        <charset val="1"/>
      </rPr>
      <t xml:space="preserve">1-1 (BA) · </t>
    </r>
    <r>
      <rPr>
        <b val="true"/>
        <sz val="11"/>
        <color rgb="FFFFFFFF"/>
        <rFont val="DejaVu Sans"/>
        <family val="2"/>
      </rPr>
      <t xml:space="preserve">스택 </t>
    </r>
    <r>
      <rPr>
        <b val="true"/>
        <sz val="11"/>
        <color rgb="FFFFFFFF"/>
        <rFont val="Arial"/>
        <family val="2"/>
        <charset val="1"/>
      </rPr>
      <t xml:space="preserve">1-2 (FL/CO)  |  Ø125 Resin Diamond </t>
    </r>
    <r>
      <rPr>
        <b val="true"/>
        <sz val="11"/>
        <color rgb="FFFFFFFF"/>
        <rFont val="DejaVu Sans"/>
        <family val="2"/>
      </rPr>
      <t xml:space="preserve">휠</t>
    </r>
  </si>
  <si>
    <t xml:space="preserve">공구 코드</t>
  </si>
  <si>
    <r>
      <rPr>
        <b val="true"/>
        <sz val="9"/>
        <color rgb="FFFFFFFF"/>
        <rFont val="DejaVu Sans"/>
        <family val="2"/>
      </rPr>
      <t xml:space="preserve">규격</t>
    </r>
    <r>
      <rPr>
        <b val="true"/>
        <sz val="9"/>
        <color rgb="FFFFFFFF"/>
        <rFont val="DejaVu Sans"/>
        <family val="2"/>
        <charset val="1"/>
      </rPr>
      <t xml:space="preserve">(D mm)</t>
    </r>
  </si>
  <si>
    <t xml:space="preserve">형상</t>
  </si>
  <si>
    <t xml:space="preserve">공정</t>
  </si>
  <si>
    <t xml:space="preserve">날수</t>
  </si>
  <si>
    <t xml:space="preserve">휠</t>
  </si>
  <si>
    <t xml:space="preserve">Vc (m/s)</t>
  </si>
  <si>
    <r>
      <rPr>
        <b val="true"/>
        <sz val="9"/>
        <color rgb="FFFFFFFF"/>
        <rFont val="Arial"/>
        <family val="2"/>
        <charset val="1"/>
      </rPr>
      <t xml:space="preserve">Feed </t>
    </r>
    <r>
      <rPr>
        <b val="true"/>
        <sz val="9"/>
        <color rgb="FFFFFFFF"/>
        <rFont val="DejaVu Sans"/>
        <family val="2"/>
      </rPr>
      <t xml:space="preserve">진입
</t>
    </r>
    <r>
      <rPr>
        <b val="true"/>
        <sz val="9"/>
        <color rgb="FFFFFFFF"/>
        <rFont val="Arial"/>
        <family val="2"/>
        <charset val="1"/>
      </rPr>
      <t xml:space="preserve">(mm/min)</t>
    </r>
  </si>
  <si>
    <r>
      <rPr>
        <b val="true"/>
        <sz val="9"/>
        <color rgb="FFFFFFFF"/>
        <rFont val="Arial"/>
        <family val="2"/>
        <charset val="1"/>
      </rPr>
      <t xml:space="preserve">Feed </t>
    </r>
    <r>
      <rPr>
        <b val="true"/>
        <sz val="9"/>
        <color rgb="FFFFFFFF"/>
        <rFont val="DejaVu Sans"/>
        <family val="2"/>
      </rPr>
      <t xml:space="preserve">중간
</t>
    </r>
    <r>
      <rPr>
        <b val="true"/>
        <sz val="9"/>
        <color rgb="FFFFFFFF"/>
        <rFont val="Arial"/>
        <family val="2"/>
        <charset val="1"/>
      </rPr>
      <t xml:space="preserve">(mm/min)</t>
    </r>
  </si>
  <si>
    <r>
      <rPr>
        <b val="true"/>
        <sz val="9"/>
        <color rgb="FFFFFFFF"/>
        <rFont val="Arial"/>
        <family val="2"/>
        <charset val="1"/>
      </rPr>
      <t xml:space="preserve">Feed </t>
    </r>
    <r>
      <rPr>
        <b val="true"/>
        <sz val="9"/>
        <color rgb="FFFFFFFF"/>
        <rFont val="DejaVu Sans"/>
        <family val="2"/>
      </rPr>
      <t xml:space="preserve">마무리
</t>
    </r>
    <r>
      <rPr>
        <b val="true"/>
        <sz val="9"/>
        <color rgb="FFFFFFFF"/>
        <rFont val="Arial"/>
        <family val="2"/>
        <charset val="1"/>
      </rPr>
      <t xml:space="preserve">(mm/min)</t>
    </r>
  </si>
  <si>
    <r>
      <rPr>
        <b val="true"/>
        <sz val="10"/>
        <color rgb="FFFFFFFF"/>
        <rFont val="Arial"/>
        <family val="2"/>
        <charset val="1"/>
      </rPr>
      <t xml:space="preserve">✅  SECTION A — </t>
    </r>
    <r>
      <rPr>
        <b val="true"/>
        <sz val="10"/>
        <color rgb="FFFFFFFF"/>
        <rFont val="DejaVu Sans"/>
        <family val="2"/>
      </rPr>
      <t xml:space="preserve">확정 조건  </t>
    </r>
    <r>
      <rPr>
        <b val="true"/>
        <sz val="10"/>
        <color rgb="FFFFFFFF"/>
        <rFont val="Arial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실측 검증 완료</t>
    </r>
    <r>
      <rPr>
        <b val="true"/>
        <sz val="10"/>
        <color rgb="FFFFFFFF"/>
        <rFont val="Arial"/>
        <family val="2"/>
        <charset val="1"/>
      </rPr>
      <t xml:space="preserve">, </t>
    </r>
    <r>
      <rPr>
        <b val="true"/>
        <sz val="10"/>
        <color rgb="FFFFFFFF"/>
        <rFont val="DejaVu Sans"/>
        <family val="2"/>
      </rPr>
      <t xml:space="preserve">양산 적용 가능</t>
    </r>
    <r>
      <rPr>
        <b val="true"/>
        <sz val="10"/>
        <color rgb="FFFFFFFF"/>
        <rFont val="Arial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</si>
  <si>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스택 </t>
    </r>
    <r>
      <rPr>
        <sz val="10"/>
        <color rgb="FF000000"/>
        <rFont val="DejaVu Sans"/>
        <family val="2"/>
        <charset val="1"/>
      </rPr>
      <t xml:space="preserve">1-2</t>
    </r>
  </si>
  <si>
    <r>
      <rPr>
        <sz val="10"/>
        <color rgb="FF000000"/>
        <rFont val="Arial"/>
        <family val="2"/>
        <charset val="1"/>
      </rPr>
      <t xml:space="preserve">45</t>
    </r>
    <r>
      <rPr>
        <sz val="10"/>
        <color rgb="FF000000"/>
        <rFont val="DejaVu Sans"/>
        <family val="2"/>
      </rPr>
      <t xml:space="preserve">도 </t>
    </r>
    <r>
      <rPr>
        <sz val="10"/>
        <color rgb="FF000000"/>
        <rFont val="Arial"/>
        <family val="2"/>
        <charset val="1"/>
      </rPr>
      <t xml:space="preserve">Ø125 #325 Resin</t>
    </r>
  </si>
  <si>
    <r>
      <rPr>
        <sz val="10"/>
        <color rgb="FF000000"/>
        <rFont val="Arial"/>
        <family val="2"/>
        <charset val="1"/>
      </rPr>
      <t xml:space="preserve">D6 </t>
    </r>
    <r>
      <rPr>
        <sz val="10"/>
        <color rgb="FF000000"/>
        <rFont val="DejaVu Sans"/>
        <family val="2"/>
      </rPr>
      <t xml:space="preserve">확정</t>
    </r>
    <r>
      <rPr>
        <sz val="10"/>
        <color rgb="FF000000"/>
        <rFont val="Arial"/>
        <family val="2"/>
        <charset val="1"/>
      </rPr>
      <t xml:space="preserve">. 3,850rpm→Vc 25.2m/s. </t>
    </r>
    <r>
      <rPr>
        <sz val="10"/>
        <color rgb="FF000000"/>
        <rFont val="DejaVu Sans"/>
        <family val="2"/>
      </rPr>
      <t xml:space="preserve">부하</t>
    </r>
    <r>
      <rPr>
        <sz val="10"/>
        <color rgb="FF000000"/>
        <rFont val="Arial"/>
        <family val="2"/>
        <charset val="1"/>
      </rPr>
      <t xml:space="preserve">25% </t>
    </r>
    <r>
      <rPr>
        <sz val="10"/>
        <color rgb="FF000000"/>
        <rFont val="DejaVu Sans"/>
        <family val="2"/>
      </rPr>
      <t xml:space="preserve">품질양호</t>
    </r>
    <r>
      <rPr>
        <sz val="10"/>
        <color rgb="FF000000"/>
        <rFont val="Arial"/>
        <family val="2"/>
        <charset val="1"/>
      </rPr>
      <t xml:space="preserve">. </t>
    </r>
    <r>
      <rPr>
        <sz val="10"/>
        <color rgb="FF000000"/>
        <rFont val="DejaVu Sans"/>
        <family val="2"/>
      </rPr>
      <t xml:space="preserve">참고</t>
    </r>
    <r>
      <rPr>
        <sz val="10"/>
        <color rgb="FF000000"/>
        <rFont val="Arial"/>
        <family val="2"/>
        <charset val="1"/>
      </rPr>
      <t xml:space="preserve">: </t>
    </r>
    <r>
      <rPr>
        <sz val="10"/>
        <color rgb="FF000000"/>
        <rFont val="DejaVu Sans"/>
        <family val="2"/>
      </rPr>
      <t xml:space="preserve">연삭</t>
    </r>
    <r>
      <rPr>
        <sz val="10"/>
        <color rgb="FF000000"/>
        <rFont val="Arial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조건</t>
    </r>
    <r>
      <rPr>
        <sz val="10"/>
        <color rgb="FF000000"/>
        <rFont val="Arial"/>
        <family val="2"/>
        <charset val="1"/>
      </rPr>
      <t xml:space="preserve">-D6-4</t>
    </r>
    <r>
      <rPr>
        <sz val="10"/>
        <color rgb="FF000000"/>
        <rFont val="DejaVu Sans"/>
        <family val="2"/>
      </rPr>
      <t xml:space="preserve">날</t>
    </r>
    <r>
      <rPr>
        <sz val="10"/>
        <color rgb="FF000000"/>
        <rFont val="Arial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코너</t>
    </r>
    <r>
      <rPr>
        <sz val="10"/>
        <color rgb="FF000000"/>
        <rFont val="Arial"/>
        <family val="2"/>
        <charset val="1"/>
      </rPr>
      <t xml:space="preserve">R-GASH</t>
    </r>
  </si>
  <si>
    <r>
      <rPr>
        <sz val="10"/>
        <color rgb="FF000000"/>
        <rFont val="DejaVu Sans"/>
        <family val="2"/>
      </rPr>
      <t xml:space="preserve">스택 </t>
    </r>
    <r>
      <rPr>
        <sz val="10"/>
        <color rgb="FF000000"/>
        <rFont val="DejaVu Sans"/>
        <family val="2"/>
        <charset val="1"/>
      </rPr>
      <t xml:space="preserve">1-1</t>
    </r>
  </si>
  <si>
    <r>
      <rPr>
        <sz val="10"/>
        <color rgb="FF000000"/>
        <rFont val="Arial"/>
        <family val="2"/>
        <charset val="1"/>
      </rPr>
      <t xml:space="preserve">20</t>
    </r>
    <r>
      <rPr>
        <sz val="10"/>
        <color rgb="FF000000"/>
        <rFont val="DejaVu Sans"/>
        <family val="2"/>
      </rPr>
      <t xml:space="preserve">도 </t>
    </r>
    <r>
      <rPr>
        <sz val="10"/>
        <color rgb="FF000000"/>
        <rFont val="Arial"/>
        <family val="2"/>
        <charset val="1"/>
      </rPr>
      <t xml:space="preserve">Ø125 #400 Resin</t>
    </r>
  </si>
  <si>
    <r>
      <rPr>
        <sz val="10"/>
        <color rgb="FF000000"/>
        <rFont val="Arial"/>
        <family val="2"/>
        <charset val="1"/>
      </rPr>
      <t xml:space="preserve">D8 </t>
    </r>
    <r>
      <rPr>
        <sz val="10"/>
        <color rgb="FF000000"/>
        <rFont val="DejaVu Sans"/>
        <family val="2"/>
      </rPr>
      <t xml:space="preserve">볼 확정</t>
    </r>
    <r>
      <rPr>
        <sz val="10"/>
        <color rgb="FF000000"/>
        <rFont val="Arial"/>
        <family val="2"/>
        <charset val="1"/>
      </rPr>
      <t xml:space="preserve">. 3,200rpm→Vc 20.9m/s. </t>
    </r>
    <r>
      <rPr>
        <sz val="10"/>
        <color rgb="FF000000"/>
        <rFont val="DejaVu Sans"/>
        <family val="2"/>
      </rPr>
      <t xml:space="preserve">스택</t>
    </r>
    <r>
      <rPr>
        <sz val="10"/>
        <color rgb="FF000000"/>
        <rFont val="Arial"/>
        <family val="2"/>
        <charset val="1"/>
      </rPr>
      <t xml:space="preserve">1-1. </t>
    </r>
    <r>
      <rPr>
        <sz val="10"/>
        <color rgb="FF000000"/>
        <rFont val="DejaVu Sans"/>
        <family val="2"/>
      </rPr>
      <t xml:space="preserve">참고</t>
    </r>
    <r>
      <rPr>
        <sz val="10"/>
        <color rgb="FF000000"/>
        <rFont val="Arial"/>
        <family val="2"/>
        <charset val="1"/>
      </rPr>
      <t xml:space="preserve">: </t>
    </r>
    <r>
      <rPr>
        <sz val="10"/>
        <color rgb="FF000000"/>
        <rFont val="DejaVu Sans"/>
        <family val="2"/>
      </rPr>
      <t xml:space="preserve">연삭</t>
    </r>
    <r>
      <rPr>
        <sz val="10"/>
        <color rgb="FF000000"/>
        <rFont val="Arial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조건</t>
    </r>
    <r>
      <rPr>
        <sz val="10"/>
        <color rgb="FF000000"/>
        <rFont val="Arial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볼</t>
    </r>
  </si>
  <si>
    <r>
      <rPr>
        <b val="true"/>
        <sz val="10"/>
        <color rgb="FFFFFFFF"/>
        <rFont val="Arial"/>
        <family val="2"/>
        <charset val="1"/>
      </rPr>
      <t xml:space="preserve">⚠️  SECTION B — </t>
    </r>
    <r>
      <rPr>
        <b val="true"/>
        <sz val="10"/>
        <color rgb="FFFFFFFF"/>
        <rFont val="DejaVu Sans"/>
        <family val="2"/>
      </rPr>
      <t xml:space="preserve">검증 중  </t>
    </r>
    <r>
      <rPr>
        <b val="true"/>
        <sz val="10"/>
        <color rgb="FFFFFFFF"/>
        <rFont val="Arial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재가동 진행</t>
    </r>
    <r>
      <rPr>
        <b val="true"/>
        <sz val="10"/>
        <color rgb="FFFFFFFF"/>
        <rFont val="Arial"/>
        <family val="2"/>
        <charset val="1"/>
      </rPr>
      <t xml:space="preserve">. </t>
    </r>
    <r>
      <rPr>
        <b val="true"/>
        <sz val="10"/>
        <color rgb="FFFFFFFF"/>
        <rFont val="DejaVu Sans"/>
        <family val="2"/>
      </rPr>
      <t xml:space="preserve">양산 적용 전 품질 확인 필수</t>
    </r>
    <r>
      <rPr>
        <b val="true"/>
        <sz val="10"/>
        <color rgb="FFFFFFFF"/>
        <rFont val="Arial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</si>
  <si>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⚠️ 재가동 검증중</t>
    </r>
    <r>
      <rPr>
        <sz val="10"/>
        <color rgb="FF000000"/>
        <rFont val="DejaVu Sans"/>
        <family val="2"/>
        <charset val="1"/>
      </rPr>
      <t xml:space="preserve">. </t>
    </r>
    <r>
      <rPr>
        <sz val="10"/>
        <color rgb="FF000000"/>
        <rFont val="DejaVu Sans"/>
        <family val="2"/>
      </rPr>
      <t xml:space="preserve">휠 파손 후 </t>
    </r>
    <r>
      <rPr>
        <sz val="10"/>
        <color rgb="FF000000"/>
        <rFont val="DejaVu Sans"/>
        <family val="2"/>
        <charset val="1"/>
      </rPr>
      <t xml:space="preserve">Feed 35→22 </t>
    </r>
    <r>
      <rPr>
        <sz val="10"/>
        <color rgb="FF000000"/>
        <rFont val="DejaVu Sans"/>
        <family val="2"/>
      </rPr>
      <t xml:space="preserve">하향</t>
    </r>
    <r>
      <rPr>
        <sz val="10"/>
        <color rgb="FF000000"/>
        <rFont val="DejaVu Sans"/>
        <family val="2"/>
        <charset val="1"/>
      </rPr>
      <t xml:space="preserve">. Vc 20.9m/s. </t>
    </r>
    <r>
      <rPr>
        <sz val="10"/>
        <color rgb="FF000000"/>
        <rFont val="DejaVu Sans"/>
        <family val="2"/>
      </rPr>
      <t xml:space="preserve">참고</t>
    </r>
    <r>
      <rPr>
        <sz val="10"/>
        <color rgb="FF000000"/>
        <rFont val="DejaVu Sans"/>
        <family val="2"/>
        <charset val="1"/>
      </rPr>
      <t xml:space="preserve">: </t>
    </r>
    <r>
      <rPr>
        <sz val="10"/>
        <color rgb="FF000000"/>
        <rFont val="DejaVu Sans"/>
        <family val="2"/>
      </rPr>
      <t xml:space="preserve">연삭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조건</t>
    </r>
    <r>
      <rPr>
        <sz val="10"/>
        <color rgb="FF000000"/>
        <rFont val="DejaVu Sans"/>
        <family val="2"/>
        <charset val="1"/>
      </rPr>
      <t xml:space="preserve">-D8-4</t>
    </r>
    <r>
      <rPr>
        <sz val="10"/>
        <color rgb="FF000000"/>
        <rFont val="DejaVu Sans"/>
        <family val="2"/>
      </rPr>
      <t xml:space="preserve">날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코너</t>
    </r>
    <r>
      <rPr>
        <sz val="10"/>
        <color rgb="FF000000"/>
        <rFont val="DejaVu Sans"/>
        <family val="2"/>
        <charset val="1"/>
      </rPr>
      <t xml:space="preserve">R-GASH</t>
    </r>
  </si>
  <si>
    <r>
      <rPr>
        <b val="true"/>
        <sz val="10"/>
        <color rgb="FFFFFFFF"/>
        <rFont val="Arial"/>
        <family val="2"/>
        <charset val="1"/>
      </rPr>
      <t xml:space="preserve">📋  SECTION C — </t>
    </r>
    <r>
      <rPr>
        <b val="true"/>
        <sz val="10"/>
        <color rgb="FFFFFFFF"/>
        <rFont val="DejaVu Sans"/>
        <family val="2"/>
      </rPr>
      <t xml:space="preserve">미기록 추천값  </t>
    </r>
    <r>
      <rPr>
        <b val="true"/>
        <sz val="10"/>
        <color rgb="FFFFFFFF"/>
        <rFont val="Arial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회색</t>
    </r>
    <r>
      <rPr>
        <b val="true"/>
        <sz val="10"/>
        <color rgb="FFFFFFFF"/>
        <rFont val="Arial"/>
        <family val="2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이탤릭 </t>
    </r>
    <r>
      <rPr>
        <b val="true"/>
        <sz val="10"/>
        <color rgb="FFFFFFFF"/>
        <rFont val="Arial"/>
        <family val="2"/>
        <charset val="1"/>
      </rPr>
      <t xml:space="preserve">= </t>
    </r>
    <r>
      <rPr>
        <b val="true"/>
        <sz val="10"/>
        <color rgb="FFFFFFFF"/>
        <rFont val="DejaVu Sans"/>
        <family val="2"/>
      </rPr>
      <t xml:space="preserve">추정값</t>
    </r>
    <r>
      <rPr>
        <b val="true"/>
        <sz val="10"/>
        <color rgb="FFFFFFFF"/>
        <rFont val="Arial"/>
        <family val="2"/>
        <charset val="1"/>
      </rPr>
      <t xml:space="preserve">. </t>
    </r>
    <r>
      <rPr>
        <b val="true"/>
        <sz val="10"/>
        <color rgb="FFFFFFFF"/>
        <rFont val="DejaVu Sans"/>
        <family val="2"/>
      </rPr>
      <t xml:space="preserve">양산 적용 전 테스트</t>
    </r>
    <r>
      <rPr>
        <b val="true"/>
        <sz val="10"/>
        <color rgb="FFFFFFFF"/>
        <rFont val="Arial"/>
        <family val="2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측정</t>
    </r>
    <r>
      <rPr>
        <b val="true"/>
        <sz val="10"/>
        <color rgb="FFFFFFFF"/>
        <rFont val="Arial"/>
        <family val="2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검증 필수</t>
    </r>
    <r>
      <rPr>
        <b val="true"/>
        <sz val="10"/>
        <color rgb="FFFFFFFF"/>
        <rFont val="Arial"/>
        <family val="2"/>
        <charset val="1"/>
      </rPr>
      <t xml:space="preserve">)</t>
    </r>
  </si>
  <si>
    <r>
      <rPr>
        <b val="true"/>
        <sz val="10"/>
        <color rgb="FF1A1A2E"/>
        <rFont val="Arial"/>
        <family val="2"/>
        <charset val="1"/>
      </rPr>
      <t xml:space="preserve">C-1  </t>
    </r>
    <r>
      <rPr>
        <b val="true"/>
        <sz val="10"/>
        <color rgb="FF1A1A2E"/>
        <rFont val="DejaVu Sans"/>
        <family val="2"/>
      </rPr>
      <t xml:space="preserve">볼 </t>
    </r>
    <r>
      <rPr>
        <b val="true"/>
        <sz val="10"/>
        <color rgb="FF1A1A2E"/>
        <rFont val="Arial"/>
        <family val="2"/>
        <charset val="1"/>
      </rPr>
      <t xml:space="preserve">(BA)  ·  2</t>
    </r>
    <r>
      <rPr>
        <b val="true"/>
        <sz val="10"/>
        <color rgb="FF1A1A2E"/>
        <rFont val="DejaVu Sans"/>
        <family val="2"/>
      </rPr>
      <t xml:space="preserve">날  </t>
    </r>
    <r>
      <rPr>
        <b val="true"/>
        <sz val="10"/>
        <color rgb="FF1A1A2E"/>
        <rFont val="Arial"/>
        <family val="2"/>
        <charset val="1"/>
      </rPr>
      <t xml:space="preserve">·  </t>
    </r>
    <r>
      <rPr>
        <b val="true"/>
        <sz val="10"/>
        <color rgb="FF1A1A2E"/>
        <rFont val="DejaVu Sans"/>
        <family val="2"/>
      </rPr>
      <t xml:space="preserve">스택 </t>
    </r>
    <r>
      <rPr>
        <b val="true"/>
        <sz val="10"/>
        <color rgb="FF1A1A2E"/>
        <rFont val="Arial"/>
        <family val="2"/>
        <charset val="1"/>
      </rPr>
      <t xml:space="preserve">1-1  ·  20</t>
    </r>
    <r>
      <rPr>
        <b val="true"/>
        <sz val="10"/>
        <color rgb="FF1A1A2E"/>
        <rFont val="DejaVu Sans"/>
        <family val="2"/>
      </rPr>
      <t xml:space="preserve">도 </t>
    </r>
    <r>
      <rPr>
        <b val="true"/>
        <sz val="10"/>
        <color rgb="FF1A1A2E"/>
        <rFont val="Arial"/>
        <family val="2"/>
        <charset val="1"/>
      </rPr>
      <t xml:space="preserve">Ø125 #400  →  Ball Gash</t>
    </r>
  </si>
  <si>
    <r>
      <rPr>
        <i val="true"/>
        <sz val="10"/>
        <color rgb="FF909090"/>
        <rFont val="DejaVu Sans"/>
        <family val="2"/>
      </rPr>
      <t xml:space="preserve">스택 </t>
    </r>
    <r>
      <rPr>
        <i val="true"/>
        <sz val="10"/>
        <color rgb="FF909090"/>
        <rFont val="DejaVu Sans"/>
        <family val="2"/>
        <charset val="1"/>
      </rPr>
      <t xml:space="preserve">1-1</t>
    </r>
  </si>
  <si>
    <r>
      <rPr>
        <i val="true"/>
        <sz val="10"/>
        <color rgb="FF909090"/>
        <rFont val="Arial"/>
        <family val="2"/>
        <charset val="1"/>
      </rPr>
      <t xml:space="preserve">20</t>
    </r>
    <r>
      <rPr>
        <i val="true"/>
        <sz val="10"/>
        <color rgb="FF909090"/>
        <rFont val="DejaVu Sans"/>
        <family val="2"/>
      </rPr>
      <t xml:space="preserve">도 </t>
    </r>
    <r>
      <rPr>
        <i val="true"/>
        <sz val="10"/>
        <color rgb="FF909090"/>
        <rFont val="Arial"/>
        <family val="2"/>
        <charset val="1"/>
      </rPr>
      <t xml:space="preserve">Ø125 #400 Resin</t>
    </r>
  </si>
  <si>
    <t xml:space="preserve">권장값 — 사내 경험 미확인</t>
  </si>
  <si>
    <t xml:space="preserve">2BA025</t>
  </si>
  <si>
    <t xml:space="preserve">Ø2.5</t>
  </si>
  <si>
    <t xml:space="preserve">2BA050</t>
  </si>
  <si>
    <t xml:space="preserve">Ø5</t>
  </si>
  <si>
    <r>
      <rPr>
        <b val="true"/>
        <sz val="10"/>
        <color rgb="FF1A1A2E"/>
        <rFont val="Arial"/>
        <family val="2"/>
        <charset val="1"/>
      </rPr>
      <t xml:space="preserve">C-2  </t>
    </r>
    <r>
      <rPr>
        <b val="true"/>
        <sz val="10"/>
        <color rgb="FF1A1A2E"/>
        <rFont val="DejaVu Sans"/>
        <family val="2"/>
      </rPr>
      <t xml:space="preserve">코너</t>
    </r>
    <r>
      <rPr>
        <b val="true"/>
        <sz val="10"/>
        <color rgb="FF1A1A2E"/>
        <rFont val="Arial"/>
        <family val="2"/>
        <charset val="1"/>
      </rPr>
      <t xml:space="preserve">R (CO)  ·  </t>
    </r>
    <r>
      <rPr>
        <b val="true"/>
        <sz val="10"/>
        <color rgb="FF1A1A2E"/>
        <rFont val="DejaVu Sans"/>
        <family val="2"/>
      </rPr>
      <t xml:space="preserve">스택 </t>
    </r>
    <r>
      <rPr>
        <b val="true"/>
        <sz val="10"/>
        <color rgb="FF1A1A2E"/>
        <rFont val="Arial"/>
        <family val="2"/>
        <charset val="1"/>
      </rPr>
      <t xml:space="preserve">1-2  →  End Face Gash  (</t>
    </r>
    <r>
      <rPr>
        <b val="true"/>
        <sz val="10"/>
        <color rgb="FF1A1A2E"/>
        <rFont val="DejaVu Sans"/>
        <family val="2"/>
      </rPr>
      <t xml:space="preserve">날수별 휠</t>
    </r>
    <r>
      <rPr>
        <b val="true"/>
        <sz val="10"/>
        <color rgb="FF1A1A2E"/>
        <rFont val="Arial"/>
        <family val="2"/>
        <charset val="1"/>
      </rPr>
      <t xml:space="preserve">: 2</t>
    </r>
    <r>
      <rPr>
        <b val="true"/>
        <sz val="10"/>
        <color rgb="FF1A1A2E"/>
        <rFont val="DejaVu Sans"/>
        <family val="2"/>
      </rPr>
      <t xml:space="preserve">날→</t>
    </r>
    <r>
      <rPr>
        <b val="true"/>
        <sz val="10"/>
        <color rgb="FF1A1A2E"/>
        <rFont val="Arial"/>
        <family val="2"/>
        <charset val="1"/>
      </rPr>
      <t xml:space="preserve">5</t>
    </r>
    <r>
      <rPr>
        <b val="true"/>
        <sz val="10"/>
        <color rgb="FF1A1A2E"/>
        <rFont val="DejaVu Sans"/>
        <family val="2"/>
      </rPr>
      <t xml:space="preserve">도 </t>
    </r>
    <r>
      <rPr>
        <b val="true"/>
        <sz val="10"/>
        <color rgb="FF1A1A2E"/>
        <rFont val="Arial"/>
        <family val="2"/>
        <charset val="1"/>
      </rPr>
      <t xml:space="preserve">#400 / 3·4</t>
    </r>
    <r>
      <rPr>
        <b val="true"/>
        <sz val="10"/>
        <color rgb="FF1A1A2E"/>
        <rFont val="DejaVu Sans"/>
        <family val="2"/>
      </rPr>
      <t xml:space="preserve">날→</t>
    </r>
    <r>
      <rPr>
        <b val="true"/>
        <sz val="10"/>
        <color rgb="FF1A1A2E"/>
        <rFont val="Arial"/>
        <family val="2"/>
        <charset val="1"/>
      </rPr>
      <t xml:space="preserve">45</t>
    </r>
    <r>
      <rPr>
        <b val="true"/>
        <sz val="10"/>
        <color rgb="FF1A1A2E"/>
        <rFont val="DejaVu Sans"/>
        <family val="2"/>
      </rPr>
      <t xml:space="preserve">도 </t>
    </r>
    <r>
      <rPr>
        <b val="true"/>
        <sz val="10"/>
        <color rgb="FF1A1A2E"/>
        <rFont val="Arial"/>
        <family val="2"/>
        <charset val="1"/>
      </rPr>
      <t xml:space="preserve">#325)</t>
    </r>
  </si>
  <si>
    <r>
      <rPr>
        <b val="true"/>
        <sz val="10"/>
        <color rgb="FF1A1A2E"/>
        <rFont val="Arial"/>
        <family val="2"/>
        <charset val="1"/>
      </rPr>
      <t xml:space="preserve">    └ CO  2</t>
    </r>
    <r>
      <rPr>
        <b val="true"/>
        <sz val="10"/>
        <color rgb="FF1A1A2E"/>
        <rFont val="DejaVu Sans"/>
        <family val="2"/>
      </rPr>
      <t xml:space="preserve">날  </t>
    </r>
    <r>
      <rPr>
        <b val="true"/>
        <sz val="10"/>
        <color rgb="FF1A1A2E"/>
        <rFont val="Arial"/>
        <family val="2"/>
        <charset val="1"/>
      </rPr>
      <t xml:space="preserve">(</t>
    </r>
    <r>
      <rPr>
        <b val="true"/>
        <sz val="10"/>
        <color rgb="FF1A1A2E"/>
        <rFont val="DejaVu Sans"/>
        <family val="2"/>
      </rPr>
      <t xml:space="preserve">스택 </t>
    </r>
    <r>
      <rPr>
        <b val="true"/>
        <sz val="10"/>
        <color rgb="FF1A1A2E"/>
        <rFont val="Arial"/>
        <family val="2"/>
        <charset val="1"/>
      </rPr>
      <t xml:space="preserve">1-2 · P1 · 5</t>
    </r>
    <r>
      <rPr>
        <b val="true"/>
        <sz val="10"/>
        <color rgb="FF1A1A2E"/>
        <rFont val="DejaVu Sans"/>
        <family val="2"/>
      </rPr>
      <t xml:space="preserve">도 </t>
    </r>
    <r>
      <rPr>
        <b val="true"/>
        <sz val="10"/>
        <color rgb="FF1A1A2E"/>
        <rFont val="Arial"/>
        <family val="2"/>
        <charset val="1"/>
      </rPr>
      <t xml:space="preserve">Ø125 #400 · RPM 4000 · Vc≈26.2 m/s </t>
    </r>
    <r>
      <rPr>
        <b val="true"/>
        <sz val="10"/>
        <color rgb="FF1A1A2E"/>
        <rFont val="DejaVu Sans"/>
        <family val="2"/>
      </rPr>
      <t xml:space="preserve">추정</t>
    </r>
    <r>
      <rPr>
        <b val="true"/>
        <sz val="10"/>
        <color rgb="FF1A1A2E"/>
        <rFont val="Arial"/>
        <family val="2"/>
        <charset val="1"/>
      </rPr>
      <t xml:space="preserve">)</t>
    </r>
  </si>
  <si>
    <r>
      <rPr>
        <i val="true"/>
        <sz val="10"/>
        <color rgb="FF909090"/>
        <rFont val="DejaVu Sans"/>
        <family val="2"/>
      </rPr>
      <t xml:space="preserve">스택 </t>
    </r>
    <r>
      <rPr>
        <i val="true"/>
        <sz val="10"/>
        <color rgb="FF909090"/>
        <rFont val="DejaVu Sans"/>
        <family val="2"/>
        <charset val="1"/>
      </rPr>
      <t xml:space="preserve">1-2</t>
    </r>
  </si>
  <si>
    <r>
      <rPr>
        <i val="true"/>
        <sz val="10"/>
        <color rgb="FF808080"/>
        <rFont val="Cambria"/>
        <family val="0"/>
        <charset val="1"/>
      </rPr>
      <t xml:space="preserve">5</t>
    </r>
    <r>
      <rPr>
        <i val="true"/>
        <sz val="10"/>
        <color rgb="FF808080"/>
        <rFont val="DejaVu Sans"/>
        <family val="2"/>
      </rPr>
      <t xml:space="preserve">도 </t>
    </r>
    <r>
      <rPr>
        <i val="true"/>
        <sz val="10"/>
        <color rgb="FF808080"/>
        <rFont val="Cambria"/>
        <family val="0"/>
        <charset val="1"/>
      </rPr>
      <t xml:space="preserve">Ø125 #400 Resin</t>
    </r>
  </si>
  <si>
    <t xml:space="preserve">2CO025</t>
  </si>
  <si>
    <t xml:space="preserve">2CO050</t>
  </si>
  <si>
    <t xml:space="preserve">2CO080</t>
  </si>
  <si>
    <r>
      <rPr>
        <b val="true"/>
        <sz val="10"/>
        <color rgb="FF1A1A2E"/>
        <rFont val="Arial"/>
        <family val="2"/>
        <charset val="1"/>
      </rPr>
      <t xml:space="preserve">    └ CO  3</t>
    </r>
    <r>
      <rPr>
        <b val="true"/>
        <sz val="10"/>
        <color rgb="FF1A1A2E"/>
        <rFont val="DejaVu Sans"/>
        <family val="2"/>
      </rPr>
      <t xml:space="preserve">날  </t>
    </r>
    <r>
      <rPr>
        <b val="true"/>
        <sz val="10"/>
        <color rgb="FF1A1A2E"/>
        <rFont val="Arial"/>
        <family val="2"/>
        <charset val="1"/>
      </rPr>
      <t xml:space="preserve">(</t>
    </r>
    <r>
      <rPr>
        <b val="true"/>
        <sz val="10"/>
        <color rgb="FF1A1A2E"/>
        <rFont val="DejaVu Sans"/>
        <family val="2"/>
      </rPr>
      <t xml:space="preserve">스택 </t>
    </r>
    <r>
      <rPr>
        <b val="true"/>
        <sz val="10"/>
        <color rgb="FF1A1A2E"/>
        <rFont val="Arial"/>
        <family val="2"/>
        <charset val="1"/>
      </rPr>
      <t xml:space="preserve">1-2 · P2 · 45</t>
    </r>
    <r>
      <rPr>
        <b val="true"/>
        <sz val="10"/>
        <color rgb="FF1A1A2E"/>
        <rFont val="DejaVu Sans"/>
        <family val="2"/>
      </rPr>
      <t xml:space="preserve">도 </t>
    </r>
    <r>
      <rPr>
        <b val="true"/>
        <sz val="10"/>
        <color rgb="FF1A1A2E"/>
        <rFont val="Arial"/>
        <family val="2"/>
        <charset val="1"/>
      </rPr>
      <t xml:space="preserve">Ø125 #325 · RPM 3820 · Vc≈25.0 m/s </t>
    </r>
    <r>
      <rPr>
        <b val="true"/>
        <sz val="10"/>
        <color rgb="FF1A1A2E"/>
        <rFont val="DejaVu Sans"/>
        <family val="2"/>
      </rPr>
      <t xml:space="preserve">추정</t>
    </r>
    <r>
      <rPr>
        <b val="true"/>
        <sz val="10"/>
        <color rgb="FF1A1A2E"/>
        <rFont val="Arial"/>
        <family val="2"/>
        <charset val="1"/>
      </rPr>
      <t xml:space="preserve">)</t>
    </r>
  </si>
  <si>
    <t xml:space="preserve">3CO020</t>
  </si>
  <si>
    <r>
      <rPr>
        <i val="true"/>
        <sz val="10"/>
        <color rgb="FF909090"/>
        <rFont val="Arial"/>
        <family val="2"/>
        <charset val="1"/>
      </rPr>
      <t xml:space="preserve">45</t>
    </r>
    <r>
      <rPr>
        <i val="true"/>
        <sz val="10"/>
        <color rgb="FF909090"/>
        <rFont val="DejaVu Sans"/>
        <family val="2"/>
      </rPr>
      <t xml:space="preserve">도 </t>
    </r>
    <r>
      <rPr>
        <i val="true"/>
        <sz val="10"/>
        <color rgb="FF909090"/>
        <rFont val="Arial"/>
        <family val="2"/>
        <charset val="1"/>
      </rPr>
      <t xml:space="preserve">Ø125 #325 Resin</t>
    </r>
  </si>
  <si>
    <t xml:space="preserve">3CO025</t>
  </si>
  <si>
    <t xml:space="preserve">3CO030</t>
  </si>
  <si>
    <t xml:space="preserve">3CO040</t>
  </si>
  <si>
    <t xml:space="preserve">3CO050</t>
  </si>
  <si>
    <t xml:space="preserve">3CO060</t>
  </si>
  <si>
    <t xml:space="preserve">3CO080</t>
  </si>
  <si>
    <t xml:space="preserve">3CO100</t>
  </si>
  <si>
    <t xml:space="preserve">3CO120</t>
  </si>
  <si>
    <t xml:space="preserve">3CO160</t>
  </si>
  <si>
    <t xml:space="preserve">3CO200</t>
  </si>
  <si>
    <r>
      <rPr>
        <b val="true"/>
        <sz val="10"/>
        <color rgb="FF1A1A2E"/>
        <rFont val="Arial"/>
        <family val="2"/>
        <charset val="1"/>
      </rPr>
      <t xml:space="preserve">    └ CO  4</t>
    </r>
    <r>
      <rPr>
        <b val="true"/>
        <sz val="10"/>
        <color rgb="FF1A1A2E"/>
        <rFont val="DejaVu Sans"/>
        <family val="2"/>
      </rPr>
      <t xml:space="preserve">날  </t>
    </r>
    <r>
      <rPr>
        <b val="true"/>
        <sz val="10"/>
        <color rgb="FF1A1A2E"/>
        <rFont val="Arial"/>
        <family val="2"/>
        <charset val="1"/>
      </rPr>
      <t xml:space="preserve">(</t>
    </r>
    <r>
      <rPr>
        <b val="true"/>
        <sz val="10"/>
        <color rgb="FF1A1A2E"/>
        <rFont val="DejaVu Sans"/>
        <family val="2"/>
      </rPr>
      <t xml:space="preserve">스택 </t>
    </r>
    <r>
      <rPr>
        <b val="true"/>
        <sz val="10"/>
        <color rgb="FF1A1A2E"/>
        <rFont val="Arial"/>
        <family val="2"/>
        <charset val="1"/>
      </rPr>
      <t xml:space="preserve">1-2 · P2 · 45</t>
    </r>
    <r>
      <rPr>
        <b val="true"/>
        <sz val="10"/>
        <color rgb="FF1A1A2E"/>
        <rFont val="DejaVu Sans"/>
        <family val="2"/>
      </rPr>
      <t xml:space="preserve">도 </t>
    </r>
    <r>
      <rPr>
        <b val="true"/>
        <sz val="10"/>
        <color rgb="FF1A1A2E"/>
        <rFont val="Arial"/>
        <family val="2"/>
        <charset val="1"/>
      </rPr>
      <t xml:space="preserve">Ø125 #325 · RPM 3820 · Vc≈25.0 m/s </t>
    </r>
    <r>
      <rPr>
        <b val="true"/>
        <sz val="10"/>
        <color rgb="FF1A1A2E"/>
        <rFont val="DejaVu Sans"/>
        <family val="2"/>
      </rPr>
      <t xml:space="preserve">추정</t>
    </r>
    <r>
      <rPr>
        <b val="true"/>
        <sz val="10"/>
        <color rgb="FF1A1A2E"/>
        <rFont val="Arial"/>
        <family val="2"/>
        <charset val="1"/>
      </rPr>
      <t xml:space="preserve">)</t>
    </r>
  </si>
  <si>
    <t xml:space="preserve">4CO025</t>
  </si>
  <si>
    <t xml:space="preserve">4CO050</t>
  </si>
  <si>
    <r>
      <rPr>
        <b val="true"/>
        <sz val="10"/>
        <color rgb="FF1A1A2E"/>
        <rFont val="Arial"/>
        <family val="2"/>
        <charset val="1"/>
      </rPr>
      <t xml:space="preserve">C-3  </t>
    </r>
    <r>
      <rPr>
        <b val="true"/>
        <sz val="10"/>
        <color rgb="FF1A1A2E"/>
        <rFont val="DejaVu Sans"/>
        <family val="2"/>
      </rPr>
      <t xml:space="preserve">평 </t>
    </r>
    <r>
      <rPr>
        <b val="true"/>
        <sz val="10"/>
        <color rgb="FF1A1A2E"/>
        <rFont val="Arial"/>
        <family val="2"/>
        <charset val="1"/>
      </rPr>
      <t xml:space="preserve">(FL)  ·  </t>
    </r>
    <r>
      <rPr>
        <b val="true"/>
        <sz val="10"/>
        <color rgb="FF1A1A2E"/>
        <rFont val="DejaVu Sans"/>
        <family val="2"/>
      </rPr>
      <t xml:space="preserve">스택 </t>
    </r>
    <r>
      <rPr>
        <b val="true"/>
        <sz val="10"/>
        <color rgb="FF1A1A2E"/>
        <rFont val="Arial"/>
        <family val="2"/>
        <charset val="1"/>
      </rPr>
      <t xml:space="preserve">1-2  ·  End Face Gash</t>
    </r>
  </si>
  <si>
    <r>
      <rPr>
        <b val="true"/>
        <sz val="10"/>
        <color rgb="FF1A1A2E"/>
        <rFont val="Arial"/>
        <family val="2"/>
        <charset val="1"/>
      </rPr>
      <t xml:space="preserve">    └ FL  2</t>
    </r>
    <r>
      <rPr>
        <b val="true"/>
        <sz val="10"/>
        <color rgb="FF1A1A2E"/>
        <rFont val="DejaVu Sans"/>
        <family val="2"/>
      </rPr>
      <t xml:space="preserve">날  </t>
    </r>
    <r>
      <rPr>
        <b val="true"/>
        <sz val="10"/>
        <color rgb="FF1A1A2E"/>
        <rFont val="Arial"/>
        <family val="2"/>
        <charset val="1"/>
      </rPr>
      <t xml:space="preserve">(</t>
    </r>
    <r>
      <rPr>
        <b val="true"/>
        <sz val="10"/>
        <color rgb="FF1A1A2E"/>
        <rFont val="DejaVu Sans"/>
        <family val="2"/>
      </rPr>
      <t xml:space="preserve">스택 </t>
    </r>
    <r>
      <rPr>
        <b val="true"/>
        <sz val="10"/>
        <color rgb="FF1A1A2E"/>
        <rFont val="Arial"/>
        <family val="2"/>
        <charset val="1"/>
      </rPr>
      <t xml:space="preserve">1-2 · P1 · 5</t>
    </r>
    <r>
      <rPr>
        <b val="true"/>
        <sz val="10"/>
        <color rgb="FF1A1A2E"/>
        <rFont val="DejaVu Sans"/>
        <family val="2"/>
      </rPr>
      <t xml:space="preserve">도 </t>
    </r>
    <r>
      <rPr>
        <b val="true"/>
        <sz val="10"/>
        <color rgb="FF1A1A2E"/>
        <rFont val="Arial"/>
        <family val="2"/>
        <charset val="1"/>
      </rPr>
      <t xml:space="preserve">Ø125 #400 · RPM 4000 · Vc≈26.2 m/s </t>
    </r>
    <r>
      <rPr>
        <b val="true"/>
        <sz val="10"/>
        <color rgb="FF1A1A2E"/>
        <rFont val="DejaVu Sans"/>
        <family val="2"/>
      </rPr>
      <t xml:space="preserve">추정</t>
    </r>
    <r>
      <rPr>
        <b val="true"/>
        <sz val="10"/>
        <color rgb="FF1A1A2E"/>
        <rFont val="Arial"/>
        <family val="2"/>
        <charset val="1"/>
      </rPr>
      <t xml:space="preserve">)</t>
    </r>
  </si>
  <si>
    <r>
      <rPr>
        <i val="true"/>
        <sz val="10"/>
        <color rgb="FF909090"/>
        <rFont val="Arial"/>
        <family val="2"/>
        <charset val="1"/>
      </rPr>
      <t xml:space="preserve">5</t>
    </r>
    <r>
      <rPr>
        <i val="true"/>
        <sz val="10"/>
        <color rgb="FF909090"/>
        <rFont val="DejaVu Sans"/>
        <family val="2"/>
      </rPr>
      <t xml:space="preserve">도 </t>
    </r>
    <r>
      <rPr>
        <i val="true"/>
        <sz val="10"/>
        <color rgb="FF909090"/>
        <rFont val="Arial"/>
        <family val="2"/>
        <charset val="1"/>
      </rPr>
      <t xml:space="preserve">Ø125 #400 Resin</t>
    </r>
  </si>
  <si>
    <t xml:space="preserve">2FL025</t>
  </si>
  <si>
    <t xml:space="preserve">2FL050</t>
  </si>
  <si>
    <t xml:space="preserve">2FL080</t>
  </si>
  <si>
    <r>
      <rPr>
        <b val="true"/>
        <sz val="10"/>
        <color rgb="FF1A1A2E"/>
        <rFont val="Arial"/>
        <family val="2"/>
        <charset val="1"/>
      </rPr>
      <t xml:space="preserve">    └ FL  3</t>
    </r>
    <r>
      <rPr>
        <b val="true"/>
        <sz val="10"/>
        <color rgb="FF1A1A2E"/>
        <rFont val="DejaVu Sans"/>
        <family val="2"/>
      </rPr>
      <t xml:space="preserve">날  </t>
    </r>
    <r>
      <rPr>
        <b val="true"/>
        <sz val="10"/>
        <color rgb="FF1A1A2E"/>
        <rFont val="Arial"/>
        <family val="2"/>
        <charset val="1"/>
      </rPr>
      <t xml:space="preserve">(</t>
    </r>
    <r>
      <rPr>
        <b val="true"/>
        <sz val="10"/>
        <color rgb="FF1A1A2E"/>
        <rFont val="DejaVu Sans"/>
        <family val="2"/>
      </rPr>
      <t xml:space="preserve">스택 </t>
    </r>
    <r>
      <rPr>
        <b val="true"/>
        <sz val="10"/>
        <color rgb="FF1A1A2E"/>
        <rFont val="Arial"/>
        <family val="2"/>
        <charset val="1"/>
      </rPr>
      <t xml:space="preserve">1-2 · P2 · 45</t>
    </r>
    <r>
      <rPr>
        <b val="true"/>
        <sz val="10"/>
        <color rgb="FF1A1A2E"/>
        <rFont val="DejaVu Sans"/>
        <family val="2"/>
      </rPr>
      <t xml:space="preserve">도 </t>
    </r>
    <r>
      <rPr>
        <b val="true"/>
        <sz val="10"/>
        <color rgb="FF1A1A2E"/>
        <rFont val="Arial"/>
        <family val="2"/>
        <charset val="1"/>
      </rPr>
      <t xml:space="preserve">Ø125 #325 · RPM 4000 · Vc≈26.2 m/s </t>
    </r>
    <r>
      <rPr>
        <b val="true"/>
        <sz val="10"/>
        <color rgb="FF1A1A2E"/>
        <rFont val="DejaVu Sans"/>
        <family val="2"/>
      </rPr>
      <t xml:space="preserve">추정</t>
    </r>
    <r>
      <rPr>
        <b val="true"/>
        <sz val="10"/>
        <color rgb="FF1A1A2E"/>
        <rFont val="Arial"/>
        <family val="2"/>
        <charset val="1"/>
      </rPr>
      <t xml:space="preserve">)</t>
    </r>
  </si>
  <si>
    <t xml:space="preserve">3FL020</t>
  </si>
  <si>
    <t xml:space="preserve">3FL025</t>
  </si>
  <si>
    <t xml:space="preserve">3FL030</t>
  </si>
  <si>
    <t xml:space="preserve">3FL040</t>
  </si>
  <si>
    <t xml:space="preserve">3FL050</t>
  </si>
  <si>
    <t xml:space="preserve">3FL060</t>
  </si>
  <si>
    <t xml:space="preserve">3FL080</t>
  </si>
  <si>
    <t xml:space="preserve">3FL100</t>
  </si>
  <si>
    <t xml:space="preserve">3FL120</t>
  </si>
  <si>
    <t xml:space="preserve">3FL160</t>
  </si>
  <si>
    <t xml:space="preserve">3FL200</t>
  </si>
  <si>
    <r>
      <rPr>
        <b val="true"/>
        <sz val="10"/>
        <color rgb="FF1A1A2E"/>
        <rFont val="Arial"/>
        <family val="2"/>
        <charset val="1"/>
      </rPr>
      <t xml:space="preserve">    └ FL  4</t>
    </r>
    <r>
      <rPr>
        <b val="true"/>
        <sz val="10"/>
        <color rgb="FF1A1A2E"/>
        <rFont val="DejaVu Sans"/>
        <family val="2"/>
      </rPr>
      <t xml:space="preserve">날  </t>
    </r>
    <r>
      <rPr>
        <b val="true"/>
        <sz val="10"/>
        <color rgb="FF1A1A2E"/>
        <rFont val="Arial"/>
        <family val="2"/>
        <charset val="1"/>
      </rPr>
      <t xml:space="preserve">(</t>
    </r>
    <r>
      <rPr>
        <b val="true"/>
        <sz val="10"/>
        <color rgb="FF1A1A2E"/>
        <rFont val="DejaVu Sans"/>
        <family val="2"/>
      </rPr>
      <t xml:space="preserve">스택 </t>
    </r>
    <r>
      <rPr>
        <b val="true"/>
        <sz val="10"/>
        <color rgb="FF1A1A2E"/>
        <rFont val="Arial"/>
        <family val="2"/>
        <charset val="1"/>
      </rPr>
      <t xml:space="preserve">1-2 · P2 · 45</t>
    </r>
    <r>
      <rPr>
        <b val="true"/>
        <sz val="10"/>
        <color rgb="FF1A1A2E"/>
        <rFont val="DejaVu Sans"/>
        <family val="2"/>
      </rPr>
      <t xml:space="preserve">도 </t>
    </r>
    <r>
      <rPr>
        <b val="true"/>
        <sz val="10"/>
        <color rgb="FF1A1A2E"/>
        <rFont val="Arial"/>
        <family val="2"/>
        <charset val="1"/>
      </rPr>
      <t xml:space="preserve">Ø125 #325 · RPM 4000 · Vc≈26.2 m/s </t>
    </r>
    <r>
      <rPr>
        <b val="true"/>
        <sz val="10"/>
        <color rgb="FF1A1A2E"/>
        <rFont val="DejaVu Sans"/>
        <family val="2"/>
      </rPr>
      <t xml:space="preserve">추정</t>
    </r>
    <r>
      <rPr>
        <b val="true"/>
        <sz val="10"/>
        <color rgb="FF1A1A2E"/>
        <rFont val="Arial"/>
        <family val="2"/>
        <charset val="1"/>
      </rPr>
      <t xml:space="preserve">)</t>
    </r>
  </si>
  <si>
    <t xml:space="preserve">4FL025</t>
  </si>
  <si>
    <t xml:space="preserve">4FL050</t>
  </si>
  <si>
    <t xml:space="preserve">4FL080</t>
  </si>
  <si>
    <r>
      <rPr>
        <b val="true"/>
        <sz val="10"/>
        <color rgb="FF1A1A2E"/>
        <rFont val="Arial"/>
        <family val="2"/>
        <charset val="1"/>
      </rPr>
      <t xml:space="preserve">    └ FL  6</t>
    </r>
    <r>
      <rPr>
        <b val="true"/>
        <sz val="10"/>
        <color rgb="FF1A1A2E"/>
        <rFont val="DejaVu Sans"/>
        <family val="2"/>
      </rPr>
      <t xml:space="preserve">날  </t>
    </r>
    <r>
      <rPr>
        <b val="true"/>
        <sz val="10"/>
        <color rgb="FF1A1A2E"/>
        <rFont val="Arial"/>
        <family val="2"/>
        <charset val="1"/>
      </rPr>
      <t xml:space="preserve">(</t>
    </r>
    <r>
      <rPr>
        <b val="true"/>
        <sz val="10"/>
        <color rgb="FF1A1A2E"/>
        <rFont val="DejaVu Sans"/>
        <family val="2"/>
      </rPr>
      <t xml:space="preserve">스택 </t>
    </r>
    <r>
      <rPr>
        <b val="true"/>
        <sz val="10"/>
        <color rgb="FF1A1A2E"/>
        <rFont val="Arial"/>
        <family val="2"/>
        <charset val="1"/>
      </rPr>
      <t xml:space="preserve">1-2 · P2 · 45</t>
    </r>
    <r>
      <rPr>
        <b val="true"/>
        <sz val="10"/>
        <color rgb="FF1A1A2E"/>
        <rFont val="DejaVu Sans"/>
        <family val="2"/>
      </rPr>
      <t xml:space="preserve">도 </t>
    </r>
    <r>
      <rPr>
        <b val="true"/>
        <sz val="10"/>
        <color rgb="FF1A1A2E"/>
        <rFont val="Arial"/>
        <family val="2"/>
        <charset val="1"/>
      </rPr>
      <t xml:space="preserve">Ø125 #325 · RPM 4000 · Vc≈26.2 m/s </t>
    </r>
    <r>
      <rPr>
        <b val="true"/>
        <sz val="10"/>
        <color rgb="FF1A1A2E"/>
        <rFont val="DejaVu Sans"/>
        <family val="2"/>
      </rPr>
      <t xml:space="preserve">추정</t>
    </r>
    <r>
      <rPr>
        <b val="true"/>
        <sz val="10"/>
        <color rgb="FF1A1A2E"/>
        <rFont val="Arial"/>
        <family val="2"/>
        <charset val="1"/>
      </rPr>
      <t xml:space="preserve">)</t>
    </r>
  </si>
  <si>
    <t xml:space="preserve">6FL020</t>
  </si>
  <si>
    <t xml:space="preserve">6FL025</t>
  </si>
  <si>
    <t xml:space="preserve">6FL030</t>
  </si>
  <si>
    <t xml:space="preserve">6FL040</t>
  </si>
  <si>
    <t xml:space="preserve">6FL050</t>
  </si>
  <si>
    <t xml:space="preserve">6FL060</t>
  </si>
  <si>
    <t xml:space="preserve">6FL080</t>
  </si>
  <si>
    <t xml:space="preserve">6FL100</t>
  </si>
  <si>
    <t xml:space="preserve">6FL120</t>
  </si>
  <si>
    <t xml:space="preserve">6FL160</t>
  </si>
  <si>
    <t xml:space="preserve">6FL200</t>
  </si>
  <si>
    <r>
      <rPr>
        <b val="true"/>
        <sz val="12"/>
        <color rgb="FFFFFFFF"/>
        <rFont val="DejaVu Sans"/>
        <family val="2"/>
      </rPr>
      <t xml:space="preserve">신뢰도 </t>
    </r>
    <r>
      <rPr>
        <b val="true"/>
        <sz val="12"/>
        <color rgb="FFFFFFFF"/>
        <rFont val="DejaVu Sans"/>
        <family val="2"/>
        <charset val="1"/>
      </rPr>
      <t xml:space="preserve">4</t>
    </r>
    <r>
      <rPr>
        <b val="true"/>
        <sz val="12"/>
        <color rgb="FFFFFFFF"/>
        <rFont val="DejaVu Sans"/>
        <family val="2"/>
      </rPr>
      <t xml:space="preserve">단계 범례 </t>
    </r>
    <r>
      <rPr>
        <b val="true"/>
        <sz val="12"/>
        <color rgb="FFFFFFFF"/>
        <rFont val="DejaVu Sans"/>
        <family val="2"/>
        <charset val="1"/>
      </rPr>
      <t xml:space="preserve">&amp; </t>
    </r>
    <r>
      <rPr>
        <b val="true"/>
        <sz val="12"/>
        <color rgb="FFFFFFFF"/>
        <rFont val="DejaVu Sans"/>
        <family val="2"/>
      </rPr>
      <t xml:space="preserve">기호 설명 </t>
    </r>
    <r>
      <rPr>
        <b val="true"/>
        <sz val="12"/>
        <color rgb="FFFFFFFF"/>
        <rFont val="DejaVu Sans"/>
        <family val="2"/>
        <charset val="1"/>
      </rPr>
      <t xml:space="preserve">(CLAUDE.md §2 </t>
    </r>
    <r>
      <rPr>
        <b val="true"/>
        <sz val="12"/>
        <color rgb="FFFFFFFF"/>
        <rFont val="DejaVu Sans"/>
        <family val="2"/>
      </rPr>
      <t xml:space="preserve">기준</t>
    </r>
    <r>
      <rPr>
        <b val="true"/>
        <sz val="12"/>
        <color rgb="FFFFFFFF"/>
        <rFont val="DejaVu Sans"/>
        <family val="2"/>
        <charset val="1"/>
      </rPr>
      <t xml:space="preserve">)</t>
    </r>
  </si>
  <si>
    <t xml:space="preserve">설명</t>
  </si>
  <si>
    <t xml:space="preserve">색상 기호</t>
  </si>
  <si>
    <t xml:space="preserve">배경색</t>
  </si>
  <si>
    <r>
      <rPr>
        <sz val="10"/>
        <color rgb="FF1F1F1F"/>
        <rFont val="DejaVu Sans"/>
        <family val="2"/>
      </rPr>
      <t xml:space="preserve">제조사 카탈로그</t>
    </r>
    <r>
      <rPr>
        <sz val="10"/>
        <color rgb="FF1F1F1F"/>
        <rFont val="DejaVu Sans"/>
        <family val="2"/>
        <charset val="1"/>
      </rPr>
      <t xml:space="preserve">·</t>
    </r>
    <r>
      <rPr>
        <sz val="10"/>
        <color rgb="FF1F1F1F"/>
        <rFont val="DejaVu Sans"/>
        <family val="2"/>
      </rPr>
      <t xml:space="preserve">매뉴얼 직접 인용값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 xml:space="preserve">재현 가능성 최상</t>
    </r>
    <r>
      <rPr>
        <sz val="10"/>
        <color rgb="FF1F1F1F"/>
        <rFont val="DejaVu Sans"/>
        <family val="2"/>
        <charset val="1"/>
      </rPr>
      <t xml:space="preserve">.</t>
    </r>
  </si>
  <si>
    <t xml:space="preserve">🟦 진파랑</t>
  </si>
  <si>
    <r>
      <rPr>
        <sz val="10"/>
        <color rgb="FF1F1F1F"/>
        <rFont val="DejaVu Sans"/>
        <family val="2"/>
      </rPr>
      <t xml:space="preserve">사내 테스트로 재현 확인 완료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 xml:space="preserve">양산 적용 가능</t>
    </r>
    <r>
      <rPr>
        <sz val="10"/>
        <color rgb="FF1F1F1F"/>
        <rFont val="DejaVu Sans"/>
        <family val="2"/>
        <charset val="1"/>
      </rPr>
      <t xml:space="preserve">.</t>
    </r>
  </si>
  <si>
    <t xml:space="preserve">🟩 초록</t>
  </si>
  <si>
    <r>
      <rPr>
        <sz val="10"/>
        <color rgb="FF1F1F1F"/>
        <rFont val="DejaVu Sans"/>
        <family val="2"/>
      </rPr>
      <t xml:space="preserve">반복 경험에서 도출된 값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 xml:space="preserve">체계적 검증 미완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 xml:space="preserve">실측 권장</t>
    </r>
    <r>
      <rPr>
        <sz val="10"/>
        <color rgb="FF1F1F1F"/>
        <rFont val="DejaVu Sans"/>
        <family val="2"/>
        <charset val="1"/>
      </rPr>
      <t xml:space="preserve">.</t>
    </r>
  </si>
  <si>
    <t xml:space="preserve">🟨 노랑</t>
  </si>
  <si>
    <r>
      <rPr>
        <sz val="10"/>
        <color rgb="FF1F1F1F"/>
        <rFont val="DejaVu Sans"/>
        <family val="2"/>
      </rPr>
      <t xml:space="preserve">근거 불충분 또는 유추값</t>
    </r>
    <r>
      <rPr>
        <sz val="10"/>
        <color rgb="FF1F1F1F"/>
        <rFont val="DejaVu Sans"/>
        <family val="2"/>
        <charset val="1"/>
      </rPr>
      <t xml:space="preserve">. </t>
    </r>
    <r>
      <rPr>
        <sz val="10"/>
        <color rgb="FF1F1F1F"/>
        <rFont val="DejaVu Sans"/>
        <family val="2"/>
      </rPr>
      <t xml:space="preserve">양산 전 반드시 테스트 필요</t>
    </r>
    <r>
      <rPr>
        <sz val="10"/>
        <color rgb="FF1F1F1F"/>
        <rFont val="DejaVu Sans"/>
        <family val="2"/>
        <charset val="1"/>
      </rPr>
      <t xml:space="preserve">.</t>
    </r>
  </si>
  <si>
    <t xml:space="preserve">🟧 주황</t>
  </si>
  <si>
    <r>
      <rPr>
        <b val="true"/>
        <sz val="10"/>
        <color rgb="FFFFFFFF"/>
        <rFont val="DejaVu Sans"/>
        <family val="2"/>
      </rPr>
      <t xml:space="preserve">📐 주요 수식 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검산용</t>
    </r>
    <r>
      <rPr>
        <b val="true"/>
        <sz val="10"/>
        <color rgb="FFFFFFFF"/>
        <rFont val="DejaVu Sans"/>
        <family val="2"/>
        <charset val="1"/>
      </rPr>
      <t xml:space="preserve">)</t>
    </r>
  </si>
  <si>
    <t xml:space="preserve">수식 이름</t>
  </si>
  <si>
    <t xml:space="preserve">공식</t>
  </si>
  <si>
    <t xml:space="preserve">단위 설명</t>
  </si>
  <si>
    <r>
      <rPr>
        <b val="true"/>
        <sz val="10"/>
        <color rgb="FF1F1F1F"/>
        <rFont val="DejaVu Sans"/>
        <family val="2"/>
      </rPr>
      <t xml:space="preserve">주축속도 </t>
    </r>
    <r>
      <rPr>
        <b val="true"/>
        <sz val="10"/>
        <color rgb="FF1F1F1F"/>
        <rFont val="DejaVu Sans"/>
        <family val="2"/>
        <charset val="1"/>
      </rPr>
      <t xml:space="preserve">N (RPM)</t>
    </r>
  </si>
  <si>
    <t xml:space="preserve">N = (60,000 × Vc) ÷ (π × D)</t>
  </si>
  <si>
    <t xml:space="preserve">Vc [m/min], D [mm]</t>
  </si>
  <si>
    <r>
      <rPr>
        <b val="true"/>
        <sz val="10"/>
        <color rgb="FF1F1F1F"/>
        <rFont val="DejaVu Sans"/>
        <family val="2"/>
      </rPr>
      <t xml:space="preserve">이송속도 </t>
    </r>
    <r>
      <rPr>
        <b val="true"/>
        <sz val="10"/>
        <color rgb="FF1F1F1F"/>
        <rFont val="DejaVu Sans"/>
        <family val="2"/>
        <charset val="1"/>
      </rPr>
      <t xml:space="preserve">Vf (mm/min)</t>
    </r>
  </si>
  <si>
    <t xml:space="preserve">Vf = N × fz × z</t>
  </si>
  <si>
    <r>
      <rPr>
        <sz val="10"/>
        <color rgb="FF1F1F1F"/>
        <rFont val="Arial"/>
        <family val="2"/>
        <charset val="1"/>
      </rPr>
      <t xml:space="preserve">N [RPM], fz [mm/tooth], z [</t>
    </r>
    <r>
      <rPr>
        <sz val="10"/>
        <color rgb="FF1F1F1F"/>
        <rFont val="DejaVu Sans"/>
        <family val="2"/>
      </rPr>
      <t xml:space="preserve">날수</t>
    </r>
    <r>
      <rPr>
        <sz val="10"/>
        <color rgb="FF1F1F1F"/>
        <rFont val="Arial"/>
        <family val="2"/>
        <charset val="1"/>
      </rPr>
      <t xml:space="preserve">]</t>
    </r>
  </si>
  <si>
    <r>
      <rPr>
        <b val="true"/>
        <sz val="10"/>
        <color rgb="FF1F1F1F"/>
        <rFont val="DejaVu Sans"/>
        <family val="2"/>
      </rPr>
      <t xml:space="preserve">원주속도 </t>
    </r>
    <r>
      <rPr>
        <b val="true"/>
        <sz val="10"/>
        <color rgb="FF1F1F1F"/>
        <rFont val="DejaVu Sans"/>
        <family val="2"/>
        <charset val="1"/>
      </rPr>
      <t xml:space="preserve">Vc — </t>
    </r>
    <r>
      <rPr>
        <b val="true"/>
        <sz val="10"/>
        <color rgb="FF1F1F1F"/>
        <rFont val="DejaVu Sans"/>
        <family val="2"/>
      </rPr>
      <t xml:space="preserve">연삭 </t>
    </r>
    <r>
      <rPr>
        <b val="true"/>
        <sz val="10"/>
        <color rgb="FF1F1F1F"/>
        <rFont val="DejaVu Sans"/>
        <family val="2"/>
        <charset val="1"/>
      </rPr>
      <t xml:space="preserve">(m/s)</t>
    </r>
  </si>
  <si>
    <t xml:space="preserve">Vc = π × D × RPM ÷ 60,000</t>
  </si>
  <si>
    <t xml:space="preserve">D [mm], RPM</t>
  </si>
  <si>
    <r>
      <rPr>
        <b val="true"/>
        <sz val="10"/>
        <color rgb="FF1F1F1F"/>
        <rFont val="DejaVu Sans"/>
        <family val="2"/>
      </rPr>
      <t xml:space="preserve">비연삭율 </t>
    </r>
    <r>
      <rPr>
        <b val="true"/>
        <sz val="10"/>
        <color rgb="FF1F1F1F"/>
        <rFont val="DejaVu Sans"/>
        <family val="2"/>
        <charset val="1"/>
      </rPr>
      <t xml:space="preserve">Q'w (mm³/mm·s)</t>
    </r>
  </si>
  <si>
    <t xml:space="preserve">Q'w = Vw × Ae ÷ 1,000</t>
  </si>
  <si>
    <t xml:space="preserve">Vw [mm/min], Ae [mm]</t>
  </si>
  <si>
    <t xml:space="preserve">🔢 가공 조건 계산기 — 값을 입력하면 자동 계산됩니다</t>
  </si>
  <si>
    <t xml:space="preserve">파란색 셀에 직접 입력 → 초록색 셀에 결과 자동 표시  │  입력 셀 초기값은 예시값</t>
  </si>
  <si>
    <r>
      <rPr>
        <b val="true"/>
        <sz val="10"/>
        <color rgb="FFFFFFFF"/>
        <rFont val="DejaVu Sans"/>
        <family val="2"/>
      </rPr>
      <t xml:space="preserve">① 주축속도 </t>
    </r>
    <r>
      <rPr>
        <b val="true"/>
        <sz val="10"/>
        <color rgb="FFFFFFFF"/>
        <rFont val="DejaVu Sans"/>
        <family val="2"/>
        <charset val="1"/>
      </rPr>
      <t xml:space="preserve">N (RPM)   —   N = 1,000 × Vc ÷ (π × D)</t>
    </r>
  </si>
  <si>
    <t xml:space="preserve">항목</t>
  </si>
  <si>
    <r>
      <rPr>
        <b val="true"/>
        <sz val="9"/>
        <color rgb="FF1F1F1F"/>
        <rFont val="DejaVu Sans"/>
        <family val="2"/>
      </rPr>
      <t xml:space="preserve">절삭속도 </t>
    </r>
    <r>
      <rPr>
        <b val="true"/>
        <sz val="9"/>
        <color rgb="FF1F1F1F"/>
        <rFont val="DejaVu Sans"/>
        <family val="2"/>
        <charset val="1"/>
      </rPr>
      <t xml:space="preserve">Vc</t>
    </r>
  </si>
  <si>
    <t xml:space="preserve">단위</t>
  </si>
  <si>
    <r>
      <rPr>
        <b val="true"/>
        <sz val="9"/>
        <color rgb="FF1F1F1F"/>
        <rFont val="DejaVu Sans"/>
        <family val="2"/>
      </rPr>
      <t xml:space="preserve">공구 직경 </t>
    </r>
    <r>
      <rPr>
        <b val="true"/>
        <sz val="9"/>
        <color rgb="FF1F1F1F"/>
        <rFont val="DejaVu Sans"/>
        <family val="2"/>
        <charset val="1"/>
      </rPr>
      <t xml:space="preserve">D</t>
    </r>
  </si>
  <si>
    <r>
      <rPr>
        <b val="true"/>
        <sz val="9"/>
        <color rgb="FF1F1F1F"/>
        <rFont val="DejaVu Sans"/>
        <family val="2"/>
      </rPr>
      <t xml:space="preserve">결과 </t>
    </r>
    <r>
      <rPr>
        <b val="true"/>
        <sz val="9"/>
        <color rgb="FF1F1F1F"/>
        <rFont val="DejaVu Sans"/>
        <family val="2"/>
        <charset val="1"/>
      </rPr>
      <t xml:space="preserve">N</t>
    </r>
  </si>
  <si>
    <t xml:space="preserve">입력값</t>
  </si>
  <si>
    <t xml:space="preserve">m/min</t>
  </si>
  <si>
    <t xml:space="preserve">mm</t>
  </si>
  <si>
    <r>
      <rPr>
        <i val="true"/>
        <sz val="8"/>
        <color rgb="FF595959"/>
        <rFont val="Arial"/>
        <family val="2"/>
        <charset val="1"/>
      </rPr>
      <t xml:space="preserve">← Vc </t>
    </r>
    <r>
      <rPr>
        <i val="true"/>
        <sz val="8"/>
        <color rgb="FF595959"/>
        <rFont val="DejaVu Sans"/>
        <family val="2"/>
      </rPr>
      <t xml:space="preserve">입력</t>
    </r>
  </si>
  <si>
    <r>
      <rPr>
        <i val="true"/>
        <sz val="8"/>
        <color rgb="FF595959"/>
        <rFont val="Arial"/>
        <family val="2"/>
        <charset val="1"/>
      </rPr>
      <t xml:space="preserve">← D </t>
    </r>
    <r>
      <rPr>
        <i val="true"/>
        <sz val="8"/>
        <color rgb="FF595959"/>
        <rFont val="DejaVu Sans"/>
        <family val="2"/>
      </rPr>
      <t xml:space="preserve">입력</t>
    </r>
  </si>
  <si>
    <t xml:space="preserve">RPM ↑</t>
  </si>
  <si>
    <r>
      <rPr>
        <b val="true"/>
        <sz val="10"/>
        <color rgb="FFFFFFFF"/>
        <rFont val="DejaVu Sans"/>
        <family val="2"/>
      </rPr>
      <t xml:space="preserve">② 이송속도 </t>
    </r>
    <r>
      <rPr>
        <b val="true"/>
        <sz val="10"/>
        <color rgb="FFFFFFFF"/>
        <rFont val="DejaVu Sans"/>
        <family val="2"/>
        <charset val="1"/>
      </rPr>
      <t xml:space="preserve">Vf (mm/min)   —   Vf = N × fz × z</t>
    </r>
  </si>
  <si>
    <r>
      <rPr>
        <b val="true"/>
        <sz val="9"/>
        <color rgb="FF1F1F1F"/>
        <rFont val="DejaVu Sans"/>
        <family val="2"/>
      </rPr>
      <t xml:space="preserve">주축속도 </t>
    </r>
    <r>
      <rPr>
        <b val="true"/>
        <sz val="9"/>
        <color rgb="FF1F1F1F"/>
        <rFont val="DejaVu Sans"/>
        <family val="2"/>
        <charset val="1"/>
      </rPr>
      <t xml:space="preserve">N</t>
    </r>
  </si>
  <si>
    <r>
      <rPr>
        <b val="true"/>
        <sz val="9"/>
        <color rgb="FF1F1F1F"/>
        <rFont val="DejaVu Sans"/>
        <family val="2"/>
      </rPr>
      <t xml:space="preserve">날당이송 </t>
    </r>
    <r>
      <rPr>
        <b val="true"/>
        <sz val="9"/>
        <color rgb="FF1F1F1F"/>
        <rFont val="DejaVu Sans"/>
        <family val="2"/>
        <charset val="1"/>
      </rPr>
      <t xml:space="preserve">fz</t>
    </r>
  </si>
  <si>
    <r>
      <rPr>
        <b val="true"/>
        <sz val="9"/>
        <color rgb="FF1F1F1F"/>
        <rFont val="DejaVu Sans"/>
        <family val="2"/>
      </rPr>
      <t xml:space="preserve">날수 </t>
    </r>
    <r>
      <rPr>
        <b val="true"/>
        <sz val="9"/>
        <color rgb="FF1F1F1F"/>
        <rFont val="DejaVu Sans"/>
        <family val="2"/>
        <charset val="1"/>
      </rPr>
      <t xml:space="preserve">z</t>
    </r>
  </si>
  <si>
    <r>
      <rPr>
        <b val="true"/>
        <sz val="9"/>
        <color rgb="FF1F1F1F"/>
        <rFont val="DejaVu Sans"/>
        <family val="2"/>
      </rPr>
      <t xml:space="preserve">결과 </t>
    </r>
    <r>
      <rPr>
        <b val="true"/>
        <sz val="9"/>
        <color rgb="FF1F1F1F"/>
        <rFont val="DejaVu Sans"/>
        <family val="2"/>
        <charset val="1"/>
      </rPr>
      <t xml:space="preserve">Vf</t>
    </r>
  </si>
  <si>
    <r>
      <rPr>
        <i val="true"/>
        <sz val="8"/>
        <color rgb="FF595959"/>
        <rFont val="Arial"/>
        <family val="2"/>
        <charset val="1"/>
      </rPr>
      <t xml:space="preserve">← N </t>
    </r>
    <r>
      <rPr>
        <i val="true"/>
        <sz val="8"/>
        <color rgb="FF595959"/>
        <rFont val="DejaVu Sans"/>
        <family val="2"/>
      </rPr>
      <t xml:space="preserve">입력</t>
    </r>
  </si>
  <si>
    <t xml:space="preserve">← fz [mm/tooth]</t>
  </si>
  <si>
    <r>
      <rPr>
        <i val="true"/>
        <sz val="8"/>
        <color rgb="FF595959"/>
        <rFont val="Arial"/>
        <family val="2"/>
        <charset val="1"/>
      </rPr>
      <t xml:space="preserve">← z [</t>
    </r>
    <r>
      <rPr>
        <i val="true"/>
        <sz val="8"/>
        <color rgb="FF595959"/>
        <rFont val="DejaVu Sans"/>
        <family val="2"/>
      </rPr>
      <t xml:space="preserve">날수</t>
    </r>
    <r>
      <rPr>
        <i val="true"/>
        <sz val="8"/>
        <color rgb="FF595959"/>
        <rFont val="Arial"/>
        <family val="2"/>
        <charset val="1"/>
      </rPr>
      <t xml:space="preserve">]</t>
    </r>
  </si>
  <si>
    <t xml:space="preserve">mm/min ↑</t>
  </si>
  <si>
    <r>
      <rPr>
        <b val="true"/>
        <sz val="10"/>
        <color rgb="FFFFFFFF"/>
        <rFont val="DejaVu Sans"/>
        <family val="2"/>
      </rPr>
      <t xml:space="preserve">③ 연삭 원주속도 </t>
    </r>
    <r>
      <rPr>
        <b val="true"/>
        <sz val="10"/>
        <color rgb="FFFFFFFF"/>
        <rFont val="DejaVu Sans"/>
        <family val="2"/>
        <charset val="1"/>
      </rPr>
      <t xml:space="preserve">Vc ↔ RPM </t>
    </r>
    <r>
      <rPr>
        <b val="true"/>
        <sz val="10"/>
        <color rgb="FFFFFFFF"/>
        <rFont val="DejaVu Sans"/>
        <family val="2"/>
      </rPr>
      <t xml:space="preserve">변환   —   휠 직경 </t>
    </r>
    <r>
      <rPr>
        <b val="true"/>
        <sz val="10"/>
        <color rgb="FFFFFFFF"/>
        <rFont val="DejaVu Sans"/>
        <family val="2"/>
        <charset val="1"/>
      </rPr>
      <t xml:space="preserve">D [mm]</t>
    </r>
  </si>
  <si>
    <r>
      <rPr>
        <i val="true"/>
        <sz val="8"/>
        <color rgb="FF595959"/>
        <rFont val="Arial"/>
        <family val="2"/>
        <charset val="1"/>
      </rPr>
      <t xml:space="preserve">RPM → Vc </t>
    </r>
    <r>
      <rPr>
        <i val="true"/>
        <sz val="8"/>
        <color rgb="FF595959"/>
        <rFont val="DejaVu Sans"/>
        <family val="2"/>
      </rPr>
      <t xml:space="preserve">방향 </t>
    </r>
    <r>
      <rPr>
        <i val="true"/>
        <sz val="8"/>
        <color rgb="FF595959"/>
        <rFont val="Arial"/>
        <family val="2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좌측 </t>
    </r>
    <r>
      <rPr>
        <i val="true"/>
        <sz val="8"/>
        <color rgb="FF595959"/>
        <rFont val="Arial"/>
        <family val="2"/>
        <charset val="1"/>
      </rPr>
      <t xml:space="preserve">2</t>
    </r>
    <r>
      <rPr>
        <i val="true"/>
        <sz val="8"/>
        <color rgb="FF595959"/>
        <rFont val="DejaVu Sans"/>
        <family val="2"/>
      </rPr>
      <t xml:space="preserve">칸 입력</t>
    </r>
    <r>
      <rPr>
        <i val="true"/>
        <sz val="8"/>
        <color rgb="FF595959"/>
        <rFont val="Arial"/>
        <family val="2"/>
        <charset val="1"/>
      </rPr>
      <t xml:space="preserve">)       |       Vc → RPM </t>
    </r>
    <r>
      <rPr>
        <i val="true"/>
        <sz val="8"/>
        <color rgb="FF595959"/>
        <rFont val="DejaVu Sans"/>
        <family val="2"/>
      </rPr>
      <t xml:space="preserve">방향 </t>
    </r>
    <r>
      <rPr>
        <i val="true"/>
        <sz val="8"/>
        <color rgb="FF595959"/>
        <rFont val="Arial"/>
        <family val="2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우측 </t>
    </r>
    <r>
      <rPr>
        <i val="true"/>
        <sz val="8"/>
        <color rgb="FF595959"/>
        <rFont val="Arial"/>
        <family val="2"/>
        <charset val="1"/>
      </rPr>
      <t xml:space="preserve">2</t>
    </r>
    <r>
      <rPr>
        <i val="true"/>
        <sz val="8"/>
        <color rgb="FF595959"/>
        <rFont val="DejaVu Sans"/>
        <family val="2"/>
      </rPr>
      <t xml:space="preserve">칸 입력</t>
    </r>
    <r>
      <rPr>
        <i val="true"/>
        <sz val="8"/>
        <color rgb="FF595959"/>
        <rFont val="Arial"/>
        <family val="2"/>
        <charset val="1"/>
      </rPr>
      <t xml:space="preserve">)</t>
    </r>
  </si>
  <si>
    <r>
      <rPr>
        <b val="true"/>
        <sz val="9"/>
        <color rgb="FF1F1F1F"/>
        <rFont val="DejaVu Sans"/>
        <family val="2"/>
      </rPr>
      <t xml:space="preserve">휠 직경 </t>
    </r>
    <r>
      <rPr>
        <b val="true"/>
        <sz val="9"/>
        <color rgb="FF1F1F1F"/>
        <rFont val="DejaVu Sans"/>
        <family val="2"/>
        <charset val="1"/>
      </rPr>
      <t xml:space="preserve">D (mm)</t>
    </r>
  </si>
  <si>
    <t xml:space="preserve">RPM →</t>
  </si>
  <si>
    <r>
      <rPr>
        <b val="true"/>
        <sz val="9"/>
        <color rgb="FF1F1F1F"/>
        <rFont val="DejaVu Sans"/>
        <family val="2"/>
      </rPr>
      <t xml:space="preserve">결과 </t>
    </r>
    <r>
      <rPr>
        <b val="true"/>
        <sz val="9"/>
        <color rgb="FF1F1F1F"/>
        <rFont val="DejaVu Sans"/>
        <family val="2"/>
        <charset val="1"/>
      </rPr>
      <t xml:space="preserve">Vc (m/s)</t>
    </r>
  </si>
  <si>
    <t xml:space="preserve">Vc (m/s) →</t>
  </si>
  <si>
    <r>
      <rPr>
        <b val="true"/>
        <sz val="9"/>
        <color rgb="FF1F1F1F"/>
        <rFont val="DejaVu Sans"/>
        <family val="2"/>
      </rPr>
      <t xml:space="preserve">결과 </t>
    </r>
    <r>
      <rPr>
        <b val="true"/>
        <sz val="9"/>
        <color rgb="FF1F1F1F"/>
        <rFont val="DejaVu Sans"/>
        <family val="2"/>
        <charset val="1"/>
      </rPr>
      <t xml:space="preserve">RPM</t>
    </r>
  </si>
  <si>
    <r>
      <rPr>
        <i val="true"/>
        <sz val="8"/>
        <color rgb="FF595959"/>
        <rFont val="DejaVu Sans"/>
        <family val="2"/>
      </rPr>
      <t xml:space="preserve">← 휠 직경 </t>
    </r>
    <r>
      <rPr>
        <i val="true"/>
        <sz val="8"/>
        <color rgb="FF595959"/>
        <rFont val="DejaVu Sans"/>
        <family val="2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공용</t>
    </r>
    <r>
      <rPr>
        <i val="true"/>
        <sz val="8"/>
        <color rgb="FF595959"/>
        <rFont val="DejaVu Sans"/>
        <family val="2"/>
        <charset val="1"/>
      </rPr>
      <t xml:space="preserve">)</t>
    </r>
  </si>
  <si>
    <r>
      <rPr>
        <i val="true"/>
        <sz val="8"/>
        <color rgb="FF595959"/>
        <rFont val="Arial"/>
        <family val="2"/>
        <charset val="1"/>
      </rPr>
      <t xml:space="preserve">← RPM </t>
    </r>
    <r>
      <rPr>
        <i val="true"/>
        <sz val="8"/>
        <color rgb="FF595959"/>
        <rFont val="DejaVu Sans"/>
        <family val="2"/>
      </rPr>
      <t xml:space="preserve">입력</t>
    </r>
  </si>
  <si>
    <t xml:space="preserve">m/s ↑</t>
  </si>
  <si>
    <r>
      <rPr>
        <i val="true"/>
        <sz val="8"/>
        <color rgb="FF595959"/>
        <rFont val="Arial"/>
        <family val="2"/>
        <charset val="1"/>
      </rPr>
      <t xml:space="preserve">← Vc </t>
    </r>
    <r>
      <rPr>
        <i val="true"/>
        <sz val="8"/>
        <color rgb="FF595959"/>
        <rFont val="DejaVu Sans"/>
        <family val="2"/>
      </rPr>
      <t xml:space="preserve">목표 입력</t>
    </r>
  </si>
  <si>
    <r>
      <rPr>
        <b val="true"/>
        <sz val="8"/>
        <color rgb="FFC00000"/>
        <rFont val="Arial"/>
        <family val="2"/>
        <charset val="1"/>
      </rPr>
      <t xml:space="preserve">⚠️ Resin Bond </t>
    </r>
    <r>
      <rPr>
        <b val="true"/>
        <sz val="8"/>
        <color rgb="FFC00000"/>
        <rFont val="DejaVu Sans"/>
        <family val="2"/>
      </rPr>
      <t xml:space="preserve">휠 권장 범위</t>
    </r>
    <r>
      <rPr>
        <b val="true"/>
        <sz val="8"/>
        <color rgb="FFC00000"/>
        <rFont val="Arial"/>
        <family val="2"/>
        <charset val="1"/>
      </rPr>
      <t xml:space="preserve">: 18~30 m/s │ Vc &gt; 30 m/s </t>
    </r>
    <r>
      <rPr>
        <b val="true"/>
        <sz val="8"/>
        <color rgb="FFC00000"/>
        <rFont val="DejaVu Sans"/>
        <family val="2"/>
      </rPr>
      <t xml:space="preserve">시 반드시 휠 사양</t>
    </r>
    <r>
      <rPr>
        <b val="true"/>
        <sz val="8"/>
        <color rgb="FFC00000"/>
        <rFont val="Arial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최대 </t>
    </r>
    <r>
      <rPr>
        <b val="true"/>
        <sz val="8"/>
        <color rgb="FFC00000"/>
        <rFont val="Arial"/>
        <family val="2"/>
        <charset val="1"/>
      </rPr>
      <t xml:space="preserve">RPM) </t>
    </r>
    <r>
      <rPr>
        <b val="true"/>
        <sz val="8"/>
        <color rgb="FFC00000"/>
        <rFont val="DejaVu Sans"/>
        <family val="2"/>
      </rPr>
      <t xml:space="preserve">확인 필수</t>
    </r>
  </si>
  <si>
    <r>
      <rPr>
        <b val="true"/>
        <sz val="10"/>
        <color rgb="FFFFFFFF"/>
        <rFont val="DejaVu Sans"/>
        <family val="2"/>
      </rPr>
      <t xml:space="preserve">④ 비연삭율 </t>
    </r>
    <r>
      <rPr>
        <b val="true"/>
        <sz val="10"/>
        <color rgb="FFFFFFFF"/>
        <rFont val="DejaVu Sans"/>
        <family val="2"/>
        <charset val="1"/>
      </rPr>
      <t xml:space="preserve">Q'w [mm³/(mm·s)]   —   Q'w = Vw × Ae ÷ 1,000</t>
    </r>
  </si>
  <si>
    <r>
      <rPr>
        <b val="true"/>
        <sz val="9"/>
        <color rgb="FF1F1F1F"/>
        <rFont val="DejaVu Sans"/>
        <family val="2"/>
      </rPr>
      <t xml:space="preserve">테이블 이송속도 </t>
    </r>
    <r>
      <rPr>
        <b val="true"/>
        <sz val="9"/>
        <color rgb="FF1F1F1F"/>
        <rFont val="DejaVu Sans"/>
        <family val="2"/>
        <charset val="1"/>
      </rPr>
      <t xml:space="preserve">Vw</t>
    </r>
  </si>
  <si>
    <r>
      <rPr>
        <b val="true"/>
        <sz val="9"/>
        <color rgb="FF1F1F1F"/>
        <rFont val="DejaVu Sans"/>
        <family val="2"/>
      </rPr>
      <t xml:space="preserve">반경 절입량 </t>
    </r>
    <r>
      <rPr>
        <b val="true"/>
        <sz val="9"/>
        <color rgb="FF1F1F1F"/>
        <rFont val="DejaVu Sans"/>
        <family val="2"/>
        <charset val="1"/>
      </rPr>
      <t xml:space="preserve">Ae</t>
    </r>
  </si>
  <si>
    <r>
      <rPr>
        <b val="true"/>
        <sz val="9"/>
        <color rgb="FF1F1F1F"/>
        <rFont val="DejaVu Sans"/>
        <family val="2"/>
      </rPr>
      <t xml:space="preserve">결과 </t>
    </r>
    <r>
      <rPr>
        <b val="true"/>
        <sz val="9"/>
        <color rgb="FF1F1F1F"/>
        <rFont val="DejaVu Sans"/>
        <family val="2"/>
        <charset val="1"/>
      </rPr>
      <t xml:space="preserve">Q'w</t>
    </r>
  </si>
  <si>
    <t xml:space="preserve">mm/min</t>
  </si>
  <si>
    <r>
      <rPr>
        <i val="true"/>
        <sz val="8"/>
        <color rgb="FF595959"/>
        <rFont val="Arial"/>
        <family val="2"/>
        <charset val="1"/>
      </rPr>
      <t xml:space="preserve">← Vw </t>
    </r>
    <r>
      <rPr>
        <i val="true"/>
        <sz val="8"/>
        <color rgb="FF595959"/>
        <rFont val="DejaVu Sans"/>
        <family val="2"/>
      </rPr>
      <t xml:space="preserve">입력</t>
    </r>
  </si>
  <si>
    <r>
      <rPr>
        <i val="true"/>
        <sz val="8"/>
        <color rgb="FF595959"/>
        <rFont val="Arial"/>
        <family val="2"/>
        <charset val="1"/>
      </rPr>
      <t xml:space="preserve">← Ae </t>
    </r>
    <r>
      <rPr>
        <i val="true"/>
        <sz val="8"/>
        <color rgb="FF595959"/>
        <rFont val="DejaVu Sans"/>
        <family val="2"/>
      </rPr>
      <t xml:space="preserve">입력</t>
    </r>
  </si>
  <si>
    <t xml:space="preserve">mm³/(mm·s) ↑</t>
  </si>
  <si>
    <r>
      <rPr>
        <i val="true"/>
        <sz val="8"/>
        <color rgb="FF595959"/>
        <rFont val="DejaVu Sans"/>
        <family val="2"/>
      </rPr>
      <t xml:space="preserve">참고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초경 엔드밀 </t>
    </r>
    <r>
      <rPr>
        <i val="true"/>
        <sz val="8"/>
        <color rgb="FF595959"/>
        <rFont val="DejaVu Sans"/>
        <family val="2"/>
        <charset val="1"/>
      </rPr>
      <t xml:space="preserve">Fluting </t>
    </r>
    <r>
      <rPr>
        <i val="true"/>
        <sz val="8"/>
        <color rgb="FF595959"/>
        <rFont val="DejaVu Sans"/>
        <family val="2"/>
      </rPr>
      <t xml:space="preserve">권장 </t>
    </r>
    <r>
      <rPr>
        <i val="true"/>
        <sz val="8"/>
        <color rgb="FF595959"/>
        <rFont val="DejaVu Sans"/>
        <family val="2"/>
        <charset val="1"/>
      </rPr>
      <t xml:space="preserve">Q'w = 6~12 mm³/(mm·s) [VEN-ANCA-GRAF2011] | </t>
    </r>
    <r>
      <rPr>
        <i val="true"/>
        <sz val="8"/>
        <color rgb="FF595959"/>
        <rFont val="DejaVu Sans"/>
        <family val="2"/>
      </rPr>
      <t xml:space="preserve">사내 경험값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</si>
</sst>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b val="true"/>
      <sz val="14"/>
      <color rgb="FFFFFFFF"/>
      <name val="DejaVu Sans"/>
      <family val="2"/>
    </font>
    <font>
      <sz val="9"/>
      <color rgb="FF595959"/>
      <name val="Arial"/>
      <family val="2"/>
      <charset val="1"/>
    </font>
    <font>
      <sz val="9"/>
      <color rgb="FF595959"/>
      <name val="DejaVu Sans"/>
      <family val="2"/>
    </font>
    <font>
      <b val="true"/>
      <sz val="10"/>
      <color rgb="FFFFFFFF"/>
      <name val="DejaVu Sans"/>
      <family val="2"/>
    </font>
    <font>
      <sz val="10"/>
      <color rgb="FF1F1F1F"/>
      <name val="Arial"/>
      <family val="2"/>
      <charset val="1"/>
    </font>
    <font>
      <sz val="10"/>
      <color rgb="FF1F1F1F"/>
      <name val="DejaVu Sans"/>
      <family val="2"/>
    </font>
    <font>
      <sz val="10"/>
      <color rgb="FF1F1F1F"/>
      <name val="DejaVu Sans"/>
      <family val="2"/>
      <charset val="1"/>
    </font>
    <font>
      <b val="true"/>
      <sz val="10"/>
      <color rgb="FFFFFFFF"/>
      <name val="DejaVu Sans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2"/>
      <color rgb="FFFFFFFF"/>
      <name val="DejaVu Sans"/>
      <family val="2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DejaVu Sans"/>
      <family val="2"/>
      <charset val="1"/>
    </font>
    <font>
      <sz val="10"/>
      <color rgb="FF0000FF"/>
      <name val="Arial"/>
      <family val="2"/>
      <charset val="1"/>
    </font>
    <font>
      <i val="true"/>
      <sz val="8"/>
      <color rgb="FF59595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b val="true"/>
      <sz val="10"/>
      <color rgb="FF1A1A2E"/>
      <name val="DejaVu Sans"/>
      <family val="2"/>
    </font>
    <font>
      <b val="true"/>
      <sz val="10"/>
      <color rgb="FF1A1A2E"/>
      <name val="DejaVu Sans"/>
      <family val="2"/>
      <charset val="1"/>
    </font>
    <font>
      <i val="true"/>
      <sz val="10"/>
      <color rgb="FF909090"/>
      <name val="Arial"/>
      <family val="2"/>
      <charset val="1"/>
    </font>
    <font>
      <i val="true"/>
      <sz val="10"/>
      <color rgb="FF909090"/>
      <name val="DejaVu Sans"/>
      <family val="2"/>
    </font>
    <font>
      <i val="true"/>
      <sz val="10"/>
      <color rgb="FF909090"/>
      <name val="DejaVu Sans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FFFFFF"/>
      <name val="DejaVu Sans"/>
      <family val="2"/>
    </font>
    <font>
      <b val="true"/>
      <sz val="10"/>
      <color rgb="FF1A1A2E"/>
      <name val="Arial"/>
      <family val="2"/>
      <charset val="1"/>
    </font>
    <font>
      <i val="true"/>
      <sz val="10"/>
      <color rgb="FF808080"/>
      <name val="Cambria"/>
      <family val="0"/>
      <charset val="1"/>
    </font>
    <font>
      <i val="true"/>
      <sz val="10"/>
      <color rgb="FF808080"/>
      <name val="DejaVu Sans"/>
      <family val="2"/>
    </font>
    <font>
      <b val="true"/>
      <sz val="12"/>
      <color rgb="FFFFFFFF"/>
      <name val="DejaVu Sans"/>
      <family val="2"/>
      <charset val="1"/>
    </font>
    <font>
      <b val="true"/>
      <sz val="10"/>
      <color rgb="FF1F1F1F"/>
      <name val="DejaVu Sans"/>
      <family val="2"/>
    </font>
    <font>
      <b val="true"/>
      <sz val="10"/>
      <color rgb="FF1F1F1F"/>
      <name val="DejaVu Sans"/>
      <family val="2"/>
      <charset val="1"/>
    </font>
    <font>
      <b val="true"/>
      <sz val="9"/>
      <color rgb="FF1F1F1F"/>
      <name val="DejaVu Sans"/>
      <family val="2"/>
    </font>
    <font>
      <b val="true"/>
      <sz val="9"/>
      <color rgb="FF1F1F1F"/>
      <name val="DejaVu Sans"/>
      <family val="2"/>
      <charset val="1"/>
    </font>
    <font>
      <b val="true"/>
      <sz val="9"/>
      <name val="DejaVu Sans"/>
      <family val="2"/>
    </font>
    <font>
      <b val="true"/>
      <sz val="11"/>
      <color rgb="FF0000FF"/>
      <name val="Arial"/>
      <family val="2"/>
      <charset val="1"/>
    </font>
    <font>
      <b val="true"/>
      <sz val="11"/>
      <color rgb="FF006400"/>
      <name val="Arial"/>
      <family val="2"/>
      <charset val="1"/>
    </font>
    <font>
      <b val="true"/>
      <sz val="9"/>
      <color rgb="FF1F1F1F"/>
      <name val="Arial"/>
      <family val="2"/>
      <charset val="1"/>
    </font>
    <font>
      <b val="true"/>
      <sz val="8"/>
      <color rgb="FFC00000"/>
      <name val="Arial"/>
      <family val="2"/>
      <charset val="1"/>
    </font>
    <font>
      <b val="true"/>
      <sz val="8"/>
      <color rgb="FFC00000"/>
      <name val="DejaVu Sans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1B3A5C"/>
      </patternFill>
    </fill>
    <fill>
      <patternFill patternType="solid">
        <fgColor rgb="FFF5F5F5"/>
        <bgColor rgb="FFF4F4F4"/>
      </patternFill>
    </fill>
    <fill>
      <patternFill patternType="solid">
        <fgColor rgb="FF2E5FA3"/>
        <bgColor rgb="FF3B5998"/>
      </patternFill>
    </fill>
    <fill>
      <patternFill patternType="solid">
        <fgColor rgb="FFFFFFFF"/>
        <bgColor rgb="FFFAFAFA"/>
      </patternFill>
    </fill>
    <fill>
      <patternFill patternType="solid">
        <fgColor rgb="FFF7FBFF"/>
        <bgColor rgb="FFFAFAFA"/>
      </patternFill>
    </fill>
    <fill>
      <patternFill patternType="solid">
        <fgColor rgb="FFF2F2F2"/>
        <bgColor rgb="FFF4F4F4"/>
      </patternFill>
    </fill>
    <fill>
      <patternFill patternType="solid">
        <fgColor rgb="FFFFF2CC"/>
        <bgColor rgb="FFFFF3CD"/>
      </patternFill>
    </fill>
    <fill>
      <patternFill patternType="solid">
        <fgColor rgb="FFFAFAFA"/>
        <bgColor rgb="FFF7FBFF"/>
      </patternFill>
    </fill>
    <fill>
      <patternFill patternType="solid">
        <fgColor rgb="FFFFF9F0"/>
        <bgColor rgb="FFFAFAFA"/>
      </patternFill>
    </fill>
    <fill>
      <patternFill patternType="solid">
        <fgColor rgb="FFFCE4D6"/>
        <bgColor rgb="FFFFF2CC"/>
      </patternFill>
    </fill>
    <fill>
      <patternFill patternType="solid">
        <fgColor rgb="FF2E4057"/>
        <bgColor rgb="FF1F3864"/>
      </patternFill>
    </fill>
    <fill>
      <patternFill patternType="solid">
        <fgColor rgb="FF3B5998"/>
        <bgColor rgb="FF2E5FA3"/>
      </patternFill>
    </fill>
    <fill>
      <patternFill patternType="solid">
        <fgColor rgb="FF4A6FA5"/>
        <bgColor rgb="FF5C7A9A"/>
      </patternFill>
    </fill>
    <fill>
      <patternFill patternType="solid">
        <fgColor rgb="FF1B3A5C"/>
        <bgColor rgb="FF1F3864"/>
      </patternFill>
    </fill>
    <fill>
      <patternFill patternType="solid">
        <fgColor rgb="FFD4EDDA"/>
        <bgColor rgb="FFE2EFDA"/>
      </patternFill>
    </fill>
    <fill>
      <patternFill patternType="solid">
        <fgColor rgb="FFFFF3CD"/>
        <bgColor rgb="FFFFF2CC"/>
      </patternFill>
    </fill>
    <fill>
      <patternFill patternType="solid">
        <fgColor rgb="FFD0D8E8"/>
        <bgColor rgb="FFD9E1F2"/>
      </patternFill>
    </fill>
    <fill>
      <patternFill patternType="solid">
        <fgColor rgb="FFF4F4F4"/>
        <bgColor rgb="FFF5F5F5"/>
      </patternFill>
    </fill>
    <fill>
      <patternFill patternType="solid">
        <fgColor rgb="FF5C7A9A"/>
        <bgColor rgb="FF4A6FA5"/>
      </patternFill>
    </fill>
    <fill>
      <patternFill patternType="solid">
        <fgColor rgb="FFE8EDF5"/>
        <bgColor rgb="FFF2F2F2"/>
      </patternFill>
    </fill>
    <fill>
      <patternFill patternType="solid">
        <fgColor rgb="FFE2EFDA"/>
        <bgColor rgb="FFD4EDDA"/>
      </patternFill>
    </fill>
    <fill>
      <patternFill patternType="solid">
        <fgColor rgb="FFD9E1F2"/>
        <bgColor rgb="FFDBEAFE"/>
      </patternFill>
    </fill>
    <fill>
      <patternFill patternType="solid">
        <fgColor rgb="FFDBEAFE"/>
        <bgColor rgb="FFD9E1F2"/>
      </patternFill>
    </fill>
    <fill>
      <patternFill patternType="solid">
        <fgColor rgb="FFF0F4FA"/>
        <bgColor rgb="FFF4F4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9F0"/>
      <rgbColor rgb="FFFF00FF"/>
      <rgbColor rgb="FF00FFFF"/>
      <rgbColor rgb="FF800000"/>
      <rgbColor rgb="FF006400"/>
      <rgbColor rgb="FF000080"/>
      <rgbColor rgb="FF808000"/>
      <rgbColor rgb="FF800080"/>
      <rgbColor rgb="FF3B5998"/>
      <rgbColor rgb="FFBFBFBF"/>
      <rgbColor rgb="FF808080"/>
      <rgbColor rgb="FFF0F4FA"/>
      <rgbColor rgb="FF595959"/>
      <rgbColor rgb="FFFFF3CD"/>
      <rgbColor rgb="FFDBEAFE"/>
      <rgbColor rgb="FF660066"/>
      <rgbColor rgb="FFFAFAFA"/>
      <rgbColor rgb="FF2E5FA3"/>
      <rgbColor rgb="FFD0D8E8"/>
      <rgbColor rgb="FF000080"/>
      <rgbColor rgb="FFFF00FF"/>
      <rgbColor rgb="FFF4F4F4"/>
      <rgbColor rgb="FF00FFFF"/>
      <rgbColor rgb="FF800080"/>
      <rgbColor rgb="FF800000"/>
      <rgbColor rgb="FF008080"/>
      <rgbColor rgb="FF0000FF"/>
      <rgbColor rgb="FF00CCFF"/>
      <rgbColor rgb="FFE8EDF5"/>
      <rgbColor rgb="FFD4EDDA"/>
      <rgbColor rgb="FFFFF2CC"/>
      <rgbColor rgb="FFD9E1F2"/>
      <rgbColor rgb="FFE2EFDA"/>
      <rgbColor rgb="FFF2F2F2"/>
      <rgbColor rgb="FFFCE4D6"/>
      <rgbColor rgb="FF4A6FA5"/>
      <rgbColor rgb="FF33CCCC"/>
      <rgbColor rgb="FFF7FBFF"/>
      <rgbColor rgb="FFF5F5F5"/>
      <rgbColor rgb="FFFF9900"/>
      <rgbColor rgb="FFFF6600"/>
      <rgbColor rgb="FF5C7A9A"/>
      <rgbColor rgb="FF909090"/>
      <rgbColor rgb="FF1B3A5C"/>
      <rgbColor rgb="FF339966"/>
      <rgbColor rgb="FF1A1A2E"/>
      <rgbColor rgb="FF1F1F1F"/>
      <rgbColor rgb="FF993300"/>
      <rgbColor rgb="FF993366"/>
      <rgbColor rgb="FF1F3864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20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true" outlineLevel="0" collapsed="false">
      <c r="B3" s="2" t="s">
        <v>1</v>
      </c>
      <c r="C3" s="2"/>
      <c r="D3" s="2"/>
      <c r="E3" s="2"/>
    </row>
    <row r="5" customFormat="false" ht="1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15" hidden="false" customHeight="true" outlineLevel="0" collapsed="false">
      <c r="B6" s="4" t="s">
        <v>6</v>
      </c>
      <c r="C6" s="5" t="s">
        <v>7</v>
      </c>
      <c r="D6" s="6" t="s">
        <v>8</v>
      </c>
      <c r="E6" s="6" t="s">
        <v>9</v>
      </c>
    </row>
    <row r="7" customFormat="false" ht="15" hidden="false" customHeight="true" outlineLevel="0" collapsed="false">
      <c r="B7" s="7" t="s">
        <v>10</v>
      </c>
      <c r="C7" s="8" t="s">
        <v>11</v>
      </c>
      <c r="D7" s="9" t="s">
        <v>12</v>
      </c>
      <c r="E7" s="9" t="s">
        <v>9</v>
      </c>
    </row>
    <row r="8" customFormat="false" ht="15" hidden="false" customHeight="true" outlineLevel="0" collapsed="false">
      <c r="B8" s="4" t="s">
        <v>13</v>
      </c>
      <c r="C8" s="5" t="s">
        <v>14</v>
      </c>
      <c r="D8" s="6" t="s">
        <v>15</v>
      </c>
      <c r="E8" s="6" t="s">
        <v>16</v>
      </c>
    </row>
    <row r="9" customFormat="false" ht="15" hidden="false" customHeight="true" outlineLevel="0" collapsed="false">
      <c r="B9" s="10" t="s">
        <v>17</v>
      </c>
      <c r="C9" s="9" t="s">
        <v>18</v>
      </c>
      <c r="D9" s="8" t="s">
        <v>19</v>
      </c>
      <c r="E9" s="9" t="s">
        <v>20</v>
      </c>
    </row>
    <row r="12" customFormat="false" ht="15" hidden="false" customHeight="true" outlineLevel="0" collapsed="false">
      <c r="B12" s="11" t="s">
        <v>21</v>
      </c>
      <c r="C12" s="11"/>
      <c r="D12" s="11"/>
      <c r="E12" s="11"/>
    </row>
    <row r="13" customFormat="false" ht="15" hidden="false" customHeight="true" outlineLevel="0" collapsed="false">
      <c r="B13" s="12" t="s">
        <v>22</v>
      </c>
      <c r="C13" s="13" t="s">
        <v>23</v>
      </c>
      <c r="D13" s="13" t="s">
        <v>24</v>
      </c>
      <c r="E13" s="14"/>
    </row>
    <row r="14" customFormat="false" ht="15" hidden="false" customHeight="true" outlineLevel="0" collapsed="false">
      <c r="B14" s="12" t="s">
        <v>25</v>
      </c>
      <c r="C14" s="13" t="s">
        <v>26</v>
      </c>
      <c r="D14" s="13" t="s">
        <v>27</v>
      </c>
      <c r="E14" s="14"/>
    </row>
    <row r="15" customFormat="false" ht="15" hidden="false" customHeight="true" outlineLevel="0" collapsed="false">
      <c r="B15" s="12" t="s">
        <v>28</v>
      </c>
      <c r="C15" s="13" t="s">
        <v>29</v>
      </c>
      <c r="D15" s="13" t="s">
        <v>30</v>
      </c>
      <c r="E15" s="14"/>
    </row>
    <row r="16" customFormat="false" ht="15" hidden="false" customHeight="true" outlineLevel="0" collapsed="false">
      <c r="B16" s="12" t="s">
        <v>31</v>
      </c>
      <c r="C16" s="13" t="s">
        <v>32</v>
      </c>
      <c r="D16" s="13" t="s">
        <v>33</v>
      </c>
      <c r="E16" s="14"/>
    </row>
  </sheetData>
  <mergeCells count="3">
    <mergeCell ref="B2:E2"/>
    <mergeCell ref="B3:E3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10" min="8" style="0" width="12"/>
    <col collapsed="false" customWidth="true" hidden="false" outlineLevel="0" max="11" min="11" style="0" width="18"/>
    <col collapsed="false" customWidth="true" hidden="false" outlineLevel="0" max="13" min="12" style="0" width="14"/>
  </cols>
  <sheetData>
    <row r="2" customFormat="false" ht="24" hidden="false" customHeight="true" outlineLevel="0" collapsed="false">
      <c r="B2" s="15" t="s">
        <v>34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15.75" hidden="false" customHeight="true" outlineLevel="0" collapsed="false">
      <c r="B3" s="16" t="s">
        <v>35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5" customFormat="false" ht="36" hidden="false" customHeight="true" outlineLevel="0" collapsed="false">
      <c r="B5" s="17" t="s">
        <v>36</v>
      </c>
      <c r="C5" s="17" t="s">
        <v>37</v>
      </c>
      <c r="D5" s="17" t="s">
        <v>38</v>
      </c>
      <c r="E5" s="17" t="s">
        <v>39</v>
      </c>
      <c r="F5" s="17" t="s">
        <v>40</v>
      </c>
      <c r="G5" s="17" t="s">
        <v>41</v>
      </c>
      <c r="H5" s="17" t="s">
        <v>42</v>
      </c>
      <c r="I5" s="17" t="s">
        <v>43</v>
      </c>
      <c r="J5" s="17" t="s">
        <v>44</v>
      </c>
      <c r="K5" s="17" t="s">
        <v>45</v>
      </c>
      <c r="L5" s="17" t="s">
        <v>46</v>
      </c>
      <c r="M5" s="17" t="s">
        <v>47</v>
      </c>
      <c r="N5" s="17" t="s">
        <v>48</v>
      </c>
    </row>
    <row r="6" customFormat="false" ht="18" hidden="false" customHeight="true" outlineLevel="0" collapsed="false">
      <c r="B6" s="18" t="s">
        <v>49</v>
      </c>
      <c r="C6" s="19" t="n">
        <v>10</v>
      </c>
      <c r="D6" s="19" t="n">
        <v>4</v>
      </c>
      <c r="E6" s="19" t="n">
        <v>200</v>
      </c>
      <c r="F6" s="20" t="n">
        <f aca="false">ROUND(1000*E6/(PI()*C6),0)</f>
        <v>6366</v>
      </c>
      <c r="G6" s="20" t="n">
        <f aca="false">F6*H6*D6</f>
        <v>5092.8</v>
      </c>
      <c r="H6" s="19" t="n">
        <v>0.2</v>
      </c>
      <c r="I6" s="19" t="n">
        <v>3</v>
      </c>
      <c r="J6" s="19" t="n">
        <v>2</v>
      </c>
      <c r="K6" s="18" t="s">
        <v>50</v>
      </c>
      <c r="L6" s="18" t="s">
        <v>51</v>
      </c>
      <c r="M6" s="18" t="s">
        <v>29</v>
      </c>
      <c r="N6" s="21" t="s">
        <v>52</v>
      </c>
    </row>
    <row r="7" customFormat="false" ht="18" hidden="false" customHeight="true" outlineLevel="0" collapsed="false">
      <c r="B7" s="18" t="s">
        <v>53</v>
      </c>
      <c r="C7" s="19" t="n">
        <v>10</v>
      </c>
      <c r="D7" s="19" t="n">
        <v>4</v>
      </c>
      <c r="E7" s="19" t="n">
        <v>250</v>
      </c>
      <c r="F7" s="20" t="n">
        <f aca="false">ROUND(1000*E7/(PI()*C7),0)</f>
        <v>7958</v>
      </c>
      <c r="G7" s="20" t="n">
        <f aca="false">F7*H7*D7</f>
        <v>4774.8</v>
      </c>
      <c r="H7" s="19" t="n">
        <v>0.15</v>
      </c>
      <c r="I7" s="19" t="n">
        <v>1.5</v>
      </c>
      <c r="J7" s="19" t="n">
        <v>0.8</v>
      </c>
      <c r="K7" s="18" t="s">
        <v>50</v>
      </c>
      <c r="L7" s="18" t="s">
        <v>51</v>
      </c>
      <c r="M7" s="18" t="s">
        <v>29</v>
      </c>
      <c r="N7" s="18" t="s">
        <v>54</v>
      </c>
    </row>
    <row r="8" customFormat="false" ht="18" hidden="false" customHeight="true" outlineLevel="0" collapsed="false">
      <c r="B8" s="18" t="s">
        <v>55</v>
      </c>
      <c r="C8" s="19" t="n">
        <v>10</v>
      </c>
      <c r="D8" s="19" t="n">
        <v>4</v>
      </c>
      <c r="E8" s="19" t="n">
        <v>320</v>
      </c>
      <c r="F8" s="20" t="n">
        <f aca="false">ROUND(1000*E8/(PI()*C8),0)</f>
        <v>10186</v>
      </c>
      <c r="G8" s="20" t="n">
        <f aca="false">F8*H8*D8</f>
        <v>3259.52</v>
      </c>
      <c r="H8" s="19" t="n">
        <v>0.08</v>
      </c>
      <c r="I8" s="19" t="n">
        <v>0.3</v>
      </c>
      <c r="J8" s="19" t="n">
        <v>0.3</v>
      </c>
      <c r="K8" s="18" t="s">
        <v>56</v>
      </c>
      <c r="L8" s="18" t="s">
        <v>57</v>
      </c>
      <c r="M8" s="18" t="s">
        <v>29</v>
      </c>
      <c r="N8" s="21" t="s">
        <v>58</v>
      </c>
    </row>
    <row r="9" customFormat="false" ht="18" hidden="false" customHeight="true" outlineLevel="0" collapsed="false">
      <c r="B9" s="18" t="s">
        <v>49</v>
      </c>
      <c r="C9" s="19" t="n">
        <v>16</v>
      </c>
      <c r="D9" s="19" t="n">
        <v>4</v>
      </c>
      <c r="E9" s="19" t="n">
        <v>200</v>
      </c>
      <c r="F9" s="20" t="n">
        <f aca="false">ROUND(1000*E9/(PI()*C9),0)</f>
        <v>3979</v>
      </c>
      <c r="G9" s="20" t="n">
        <f aca="false">F9*H9*D9</f>
        <v>3183.2</v>
      </c>
      <c r="H9" s="19" t="n">
        <v>0.2</v>
      </c>
      <c r="I9" s="19" t="n">
        <v>3</v>
      </c>
      <c r="J9" s="19" t="n">
        <v>3.2</v>
      </c>
      <c r="K9" s="18" t="s">
        <v>50</v>
      </c>
      <c r="L9" s="18" t="s">
        <v>51</v>
      </c>
      <c r="M9" s="18" t="s">
        <v>29</v>
      </c>
      <c r="N9" s="21"/>
    </row>
    <row r="10" customFormat="false" ht="18" hidden="false" customHeight="true" outlineLevel="0" collapsed="false">
      <c r="B10" s="18" t="s">
        <v>55</v>
      </c>
      <c r="C10" s="19" t="n">
        <v>16</v>
      </c>
      <c r="D10" s="19" t="n">
        <v>4</v>
      </c>
      <c r="E10" s="19" t="n">
        <v>320</v>
      </c>
      <c r="F10" s="20" t="n">
        <f aca="false">ROUND(1000*E10/(PI()*C10),0)</f>
        <v>6366</v>
      </c>
      <c r="G10" s="20" t="n">
        <f aca="false">F10*H10*D10</f>
        <v>2037.12</v>
      </c>
      <c r="H10" s="19" t="n">
        <v>0.08</v>
      </c>
      <c r="I10" s="19" t="n">
        <v>0.3</v>
      </c>
      <c r="J10" s="19" t="n">
        <v>0.5</v>
      </c>
      <c r="K10" s="18" t="s">
        <v>56</v>
      </c>
      <c r="L10" s="18" t="s">
        <v>57</v>
      </c>
      <c r="M10" s="18" t="s">
        <v>29</v>
      </c>
      <c r="N10" s="21" t="s">
        <v>59</v>
      </c>
    </row>
    <row r="11" customFormat="false" ht="18" hidden="false" customHeight="true" outlineLevel="0" collapsed="false">
      <c r="B11" s="18" t="s">
        <v>49</v>
      </c>
      <c r="C11" s="19" t="n">
        <v>6</v>
      </c>
      <c r="D11" s="19" t="n">
        <v>4</v>
      </c>
      <c r="E11" s="19" t="n">
        <v>150</v>
      </c>
      <c r="F11" s="20" t="n">
        <f aca="false">ROUND(1000*E11/(PI()*C11),0)</f>
        <v>7958</v>
      </c>
      <c r="G11" s="20" t="n">
        <f aca="false">F11*H11*D11</f>
        <v>4774.8</v>
      </c>
      <c r="H11" s="19" t="n">
        <v>0.15</v>
      </c>
      <c r="I11" s="19" t="n">
        <v>2</v>
      </c>
      <c r="J11" s="19" t="n">
        <v>1.2</v>
      </c>
      <c r="K11" s="18" t="s">
        <v>50</v>
      </c>
      <c r="L11" s="18" t="s">
        <v>57</v>
      </c>
      <c r="M11" s="18" t="s">
        <v>29</v>
      </c>
      <c r="N11" s="18" t="s">
        <v>60</v>
      </c>
    </row>
    <row r="12" customFormat="false" ht="18" hidden="false" customHeight="true" outlineLevel="0" collapsed="false">
      <c r="B12" s="18" t="s">
        <v>55</v>
      </c>
      <c r="C12" s="19" t="n">
        <v>6</v>
      </c>
      <c r="D12" s="19" t="n">
        <v>4</v>
      </c>
      <c r="E12" s="19" t="n">
        <v>300</v>
      </c>
      <c r="F12" s="20" t="n">
        <f aca="false">ROUND(1000*E12/(PI()*C12),0)</f>
        <v>15915</v>
      </c>
      <c r="G12" s="20" t="n">
        <f aca="false">F12*H12*D12</f>
        <v>3819.6</v>
      </c>
      <c r="H12" s="19" t="n">
        <v>0.06</v>
      </c>
      <c r="I12" s="19" t="n">
        <v>0.2</v>
      </c>
      <c r="J12" s="19" t="n">
        <v>0.2</v>
      </c>
      <c r="K12" s="18" t="s">
        <v>56</v>
      </c>
      <c r="L12" s="18" t="s">
        <v>57</v>
      </c>
      <c r="M12" s="18" t="s">
        <v>29</v>
      </c>
      <c r="N12" s="21"/>
    </row>
    <row r="13" customFormat="false" ht="18" hidden="false" customHeight="true" outlineLevel="0" collapsed="false">
      <c r="B13" s="22"/>
      <c r="C13" s="23"/>
      <c r="D13" s="23"/>
      <c r="E13" s="23"/>
      <c r="F13" s="24"/>
      <c r="G13" s="24"/>
      <c r="H13" s="23"/>
      <c r="I13" s="23"/>
      <c r="J13" s="23"/>
      <c r="K13" s="22"/>
      <c r="L13" s="22"/>
      <c r="M13" s="22"/>
      <c r="N13" s="25" t="s">
        <v>61</v>
      </c>
    </row>
    <row r="14" customFormat="false" ht="18" hidden="false" customHeight="true" outlineLevel="0" collapsed="false">
      <c r="B14" s="22"/>
      <c r="C14" s="23"/>
      <c r="D14" s="23"/>
      <c r="E14" s="23"/>
      <c r="F14" s="24"/>
      <c r="G14" s="24"/>
      <c r="H14" s="23"/>
      <c r="I14" s="23"/>
      <c r="J14" s="23"/>
      <c r="K14" s="22"/>
      <c r="L14" s="22"/>
      <c r="M14" s="22"/>
      <c r="N14" s="25" t="s">
        <v>61</v>
      </c>
    </row>
    <row r="16" customFormat="false" ht="27.75" hidden="false" customHeight="true" outlineLevel="0" collapsed="false">
      <c r="B16" s="26" t="s">
        <v>62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</sheetData>
  <mergeCells count="3">
    <mergeCell ref="B2:M2"/>
    <mergeCell ref="B3:M3"/>
    <mergeCell ref="B16: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10" min="8" style="0" width="12"/>
    <col collapsed="false" customWidth="true" hidden="false" outlineLevel="0" max="11" min="11" style="0" width="20"/>
    <col collapsed="false" customWidth="true" hidden="false" outlineLevel="0" max="13" min="12" style="0" width="14"/>
  </cols>
  <sheetData>
    <row r="2" customFormat="false" ht="24" hidden="false" customHeight="true" outlineLevel="0" collapsed="false">
      <c r="B2" s="15" t="s">
        <v>63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15.75" hidden="false" customHeight="true" outlineLevel="0" collapsed="false">
      <c r="B3" s="27" t="s">
        <v>64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customFormat="false" ht="36" hidden="false" customHeight="true" outlineLevel="0" collapsed="false">
      <c r="B5" s="17" t="s">
        <v>65</v>
      </c>
      <c r="C5" s="17" t="s">
        <v>37</v>
      </c>
      <c r="D5" s="17" t="s">
        <v>38</v>
      </c>
      <c r="E5" s="17" t="s">
        <v>39</v>
      </c>
      <c r="F5" s="17" t="s">
        <v>40</v>
      </c>
      <c r="G5" s="17" t="s">
        <v>41</v>
      </c>
      <c r="H5" s="17" t="s">
        <v>42</v>
      </c>
      <c r="I5" s="17" t="s">
        <v>43</v>
      </c>
      <c r="J5" s="17" t="s">
        <v>44</v>
      </c>
      <c r="K5" s="17" t="s">
        <v>45</v>
      </c>
      <c r="L5" s="17" t="s">
        <v>46</v>
      </c>
      <c r="M5" s="17" t="s">
        <v>47</v>
      </c>
      <c r="N5" s="17" t="s">
        <v>48</v>
      </c>
    </row>
    <row r="6" customFormat="false" ht="18" hidden="false" customHeight="true" outlineLevel="0" collapsed="false">
      <c r="B6" s="21" t="s">
        <v>66</v>
      </c>
      <c r="C6" s="19" t="n">
        <v>10</v>
      </c>
      <c r="D6" s="19" t="n">
        <v>4</v>
      </c>
      <c r="E6" s="19" t="n">
        <v>400</v>
      </c>
      <c r="F6" s="20" t="n">
        <f aca="false">ROUND(1000*E6/(PI()*C6),0)</f>
        <v>12732</v>
      </c>
      <c r="G6" s="20" t="n">
        <f aca="false">F6*H6*D6</f>
        <v>10185.6</v>
      </c>
      <c r="H6" s="19" t="n">
        <v>0.2</v>
      </c>
      <c r="I6" s="19" t="n">
        <v>5</v>
      </c>
      <c r="J6" s="19" t="n">
        <v>2</v>
      </c>
      <c r="K6" s="18" t="s">
        <v>67</v>
      </c>
      <c r="L6" s="18" t="s">
        <v>68</v>
      </c>
      <c r="M6" s="18" t="s">
        <v>29</v>
      </c>
      <c r="N6" s="21" t="s">
        <v>69</v>
      </c>
    </row>
    <row r="7" customFormat="false" ht="18" hidden="false" customHeight="true" outlineLevel="0" collapsed="false">
      <c r="B7" s="21" t="s">
        <v>70</v>
      </c>
      <c r="C7" s="19" t="n">
        <v>10</v>
      </c>
      <c r="D7" s="19" t="n">
        <v>4</v>
      </c>
      <c r="E7" s="19" t="n">
        <v>800</v>
      </c>
      <c r="F7" s="20" t="n">
        <f aca="false">ROUND(1000*E7/(PI()*C7),0)</f>
        <v>25465</v>
      </c>
      <c r="G7" s="20" t="n">
        <f aca="false">F7*H7*D7</f>
        <v>10186</v>
      </c>
      <c r="H7" s="19" t="n">
        <v>0.1</v>
      </c>
      <c r="I7" s="19" t="n">
        <v>0.5</v>
      </c>
      <c r="J7" s="19" t="n">
        <v>0.3</v>
      </c>
      <c r="K7" s="18" t="s">
        <v>71</v>
      </c>
      <c r="L7" s="18" t="s">
        <v>72</v>
      </c>
      <c r="M7" s="18" t="s">
        <v>29</v>
      </c>
      <c r="N7" s="21" t="s">
        <v>73</v>
      </c>
    </row>
    <row r="8" customFormat="false" ht="18" hidden="false" customHeight="true" outlineLevel="0" collapsed="false">
      <c r="B8" s="28" t="s">
        <v>74</v>
      </c>
      <c r="C8" s="29" t="n">
        <v>10</v>
      </c>
      <c r="D8" s="29" t="n">
        <v>4</v>
      </c>
      <c r="E8" s="29" t="n">
        <v>1500</v>
      </c>
      <c r="F8" s="30" t="n">
        <f aca="false">ROUND(1000*E8/(PI()*C8),0)</f>
        <v>47746</v>
      </c>
      <c r="G8" s="30" t="n">
        <f aca="false">F8*H8*D8</f>
        <v>15278.72</v>
      </c>
      <c r="H8" s="29" t="n">
        <v>0.08</v>
      </c>
      <c r="I8" s="29" t="n">
        <v>0.2</v>
      </c>
      <c r="J8" s="29" t="n">
        <v>0.1</v>
      </c>
      <c r="K8" s="28" t="s">
        <v>75</v>
      </c>
      <c r="L8" s="31" t="s">
        <v>76</v>
      </c>
      <c r="M8" s="31" t="s">
        <v>32</v>
      </c>
      <c r="N8" s="31" t="s">
        <v>77</v>
      </c>
    </row>
    <row r="9" customFormat="false" ht="18" hidden="false" customHeight="true" outlineLevel="0" collapsed="false">
      <c r="B9" s="21" t="s">
        <v>78</v>
      </c>
      <c r="C9" s="19" t="n">
        <v>10</v>
      </c>
      <c r="D9" s="19" t="n">
        <v>4</v>
      </c>
      <c r="E9" s="19" t="n">
        <v>300</v>
      </c>
      <c r="F9" s="20" t="n">
        <f aca="false">ROUND(1000*E9/(PI()*C9),0)</f>
        <v>9549</v>
      </c>
      <c r="G9" s="20" t="n">
        <f aca="false">F9*H9*D9</f>
        <v>5729.4</v>
      </c>
      <c r="H9" s="19" t="n">
        <v>0.15</v>
      </c>
      <c r="I9" s="19" t="n">
        <v>3</v>
      </c>
      <c r="J9" s="19" t="n">
        <v>1.5</v>
      </c>
      <c r="K9" s="18" t="s">
        <v>79</v>
      </c>
      <c r="L9" s="18" t="s">
        <v>68</v>
      </c>
      <c r="M9" s="18" t="s">
        <v>29</v>
      </c>
      <c r="N9" s="18" t="s">
        <v>80</v>
      </c>
    </row>
    <row r="10" customFormat="false" ht="18" hidden="false" customHeight="true" outlineLevel="0" collapsed="false">
      <c r="B10" s="28" t="s">
        <v>81</v>
      </c>
      <c r="C10" s="29" t="n">
        <v>10</v>
      </c>
      <c r="D10" s="29" t="n">
        <v>4</v>
      </c>
      <c r="E10" s="29" t="n">
        <v>500</v>
      </c>
      <c r="F10" s="30" t="n">
        <f aca="false">ROUND(1000*E10/(PI()*C10),0)</f>
        <v>15915</v>
      </c>
      <c r="G10" s="30" t="n">
        <f aca="false">F10*H10*D10</f>
        <v>5092.8</v>
      </c>
      <c r="H10" s="29" t="n">
        <v>0.08</v>
      </c>
      <c r="I10" s="29" t="n">
        <v>0.3</v>
      </c>
      <c r="J10" s="29" t="n">
        <v>0.2</v>
      </c>
      <c r="K10" s="28" t="s">
        <v>82</v>
      </c>
      <c r="L10" s="31" t="s">
        <v>72</v>
      </c>
      <c r="M10" s="31" t="s">
        <v>32</v>
      </c>
      <c r="N10" s="28" t="s">
        <v>83</v>
      </c>
    </row>
    <row r="11" customFormat="false" ht="18" hidden="false" customHeight="true" outlineLevel="0" collapsed="false">
      <c r="B11" s="28" t="s">
        <v>84</v>
      </c>
      <c r="C11" s="29" t="n">
        <v>10</v>
      </c>
      <c r="D11" s="29" t="n">
        <v>4</v>
      </c>
      <c r="E11" s="29" t="n">
        <v>250</v>
      </c>
      <c r="F11" s="30" t="n">
        <f aca="false">ROUND(1000*E11/(PI()*C11),0)</f>
        <v>7958</v>
      </c>
      <c r="G11" s="30" t="n">
        <f aca="false">F11*H11*D11</f>
        <v>5729.76</v>
      </c>
      <c r="H11" s="29" t="n">
        <v>0.18</v>
      </c>
      <c r="I11" s="29" t="n">
        <v>2</v>
      </c>
      <c r="J11" s="29" t="n">
        <v>1.5</v>
      </c>
      <c r="K11" s="31" t="s">
        <v>85</v>
      </c>
      <c r="L11" s="31" t="s">
        <v>68</v>
      </c>
      <c r="M11" s="31" t="s">
        <v>32</v>
      </c>
      <c r="N11" s="31" t="s">
        <v>86</v>
      </c>
    </row>
    <row r="12" customFormat="false" ht="18" hidden="false" customHeight="true" outlineLevel="0" collapsed="false">
      <c r="B12" s="28" t="s">
        <v>87</v>
      </c>
      <c r="C12" s="29" t="n">
        <v>10</v>
      </c>
      <c r="D12" s="29" t="n">
        <v>4</v>
      </c>
      <c r="E12" s="29" t="n">
        <v>400</v>
      </c>
      <c r="F12" s="30" t="n">
        <f aca="false">ROUND(1000*E12/(PI()*C12),0)</f>
        <v>12732</v>
      </c>
      <c r="G12" s="30" t="n">
        <f aca="false">F12*H12*D12</f>
        <v>4074.24</v>
      </c>
      <c r="H12" s="29" t="n">
        <v>0.08</v>
      </c>
      <c r="I12" s="29" t="n">
        <v>0.2</v>
      </c>
      <c r="J12" s="29" t="n">
        <v>0.2</v>
      </c>
      <c r="K12" s="31" t="s">
        <v>88</v>
      </c>
      <c r="L12" s="31" t="s">
        <v>68</v>
      </c>
      <c r="M12" s="31" t="s">
        <v>32</v>
      </c>
      <c r="N12" s="28"/>
    </row>
    <row r="13" customFormat="false" ht="18" hidden="false" customHeight="true" outlineLevel="0" collapsed="false">
      <c r="B13" s="28" t="s">
        <v>66</v>
      </c>
      <c r="C13" s="29" t="n">
        <v>16</v>
      </c>
      <c r="D13" s="29" t="n">
        <v>4</v>
      </c>
      <c r="E13" s="29" t="n">
        <v>400</v>
      </c>
      <c r="F13" s="30" t="n">
        <f aca="false">ROUND(1000*E13/(PI()*C13),0)</f>
        <v>7958</v>
      </c>
      <c r="G13" s="30" t="n">
        <f aca="false">F13*H13*D13</f>
        <v>6366.4</v>
      </c>
      <c r="H13" s="29" t="n">
        <v>0.2</v>
      </c>
      <c r="I13" s="29" t="n">
        <v>6</v>
      </c>
      <c r="J13" s="29" t="n">
        <v>3.2</v>
      </c>
      <c r="K13" s="31" t="s">
        <v>67</v>
      </c>
      <c r="L13" s="31" t="s">
        <v>68</v>
      </c>
      <c r="M13" s="31" t="s">
        <v>32</v>
      </c>
      <c r="N13" s="28"/>
    </row>
    <row r="14" customFormat="false" ht="18" hidden="false" customHeight="true" outlineLevel="0" collapsed="false">
      <c r="B14" s="22"/>
      <c r="C14" s="23"/>
      <c r="D14" s="23"/>
      <c r="E14" s="23"/>
      <c r="F14" s="24"/>
      <c r="G14" s="24"/>
      <c r="H14" s="23"/>
      <c r="I14" s="23"/>
      <c r="J14" s="23"/>
      <c r="K14" s="22"/>
      <c r="L14" s="22"/>
      <c r="M14" s="22"/>
      <c r="N14" s="25" t="s">
        <v>61</v>
      </c>
    </row>
    <row r="15" customFormat="false" ht="18" hidden="false" customHeight="true" outlineLevel="0" collapsed="false">
      <c r="B15" s="22"/>
      <c r="C15" s="23"/>
      <c r="D15" s="23"/>
      <c r="E15" s="23"/>
      <c r="F15" s="24"/>
      <c r="G15" s="24"/>
      <c r="H15" s="23"/>
      <c r="I15" s="23"/>
      <c r="J15" s="23"/>
      <c r="K15" s="22"/>
      <c r="L15" s="22"/>
      <c r="M15" s="22"/>
      <c r="N15" s="25" t="s">
        <v>61</v>
      </c>
    </row>
    <row r="17" customFormat="false" ht="27.75" hidden="false" customHeight="true" outlineLevel="0" collapsed="false">
      <c r="B17" s="32" t="s">
        <v>89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</sheetData>
  <mergeCells count="3">
    <mergeCell ref="B2:M2"/>
    <mergeCell ref="B3:M3"/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3" min="13" style="0" width="13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44"/>
  </cols>
  <sheetData>
    <row r="1" customFormat="false" ht="18" hidden="false" customHeight="true" outlineLevel="0" collapsed="false">
      <c r="B1" s="33" t="s">
        <v>90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18" hidden="false" customHeight="true" outlineLevel="0" collapsed="false">
      <c r="B2" s="34" t="s">
        <v>91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customFormat="false" ht="18" hidden="false" customHeight="true" outlineLevel="0" collapsed="false">
      <c r="B3" s="35" t="s">
        <v>92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customFormat="false" ht="31.5" hidden="false" customHeight="true" outlineLevel="0" collapsed="false">
      <c r="B4" s="36" t="s">
        <v>93</v>
      </c>
      <c r="C4" s="36" t="s">
        <v>94</v>
      </c>
      <c r="D4" s="36" t="s">
        <v>95</v>
      </c>
      <c r="E4" s="36" t="s">
        <v>96</v>
      </c>
      <c r="F4" s="36" t="s">
        <v>38</v>
      </c>
      <c r="G4" s="36" t="s">
        <v>97</v>
      </c>
      <c r="H4" s="36" t="s">
        <v>98</v>
      </c>
      <c r="I4" s="37" t="s">
        <v>99</v>
      </c>
      <c r="J4" s="36" t="s">
        <v>100</v>
      </c>
      <c r="K4" s="37" t="s">
        <v>101</v>
      </c>
      <c r="L4" s="37" t="s">
        <v>102</v>
      </c>
      <c r="M4" s="37" t="s">
        <v>103</v>
      </c>
      <c r="N4" s="37" t="s">
        <v>104</v>
      </c>
      <c r="O4" s="36" t="s">
        <v>47</v>
      </c>
      <c r="P4" s="36" t="s">
        <v>48</v>
      </c>
    </row>
    <row r="5" customFormat="false" ht="15.75" hidden="false" customHeight="true" outlineLevel="0" collapsed="false">
      <c r="B5" s="38" t="s">
        <v>105</v>
      </c>
      <c r="C5" s="38" t="s">
        <v>106</v>
      </c>
      <c r="D5" s="39" t="s">
        <v>107</v>
      </c>
      <c r="E5" s="38" t="s">
        <v>108</v>
      </c>
      <c r="F5" s="38" t="n">
        <v>4</v>
      </c>
      <c r="G5" s="39" t="s">
        <v>109</v>
      </c>
      <c r="H5" s="38" t="s">
        <v>110</v>
      </c>
      <c r="I5" s="38" t="n">
        <v>3850</v>
      </c>
      <c r="J5" s="38" t="n">
        <f aca="false">ROUND(PI()*125*I5/60000,2)</f>
        <v>25.2</v>
      </c>
      <c r="K5" s="38" t="n">
        <v>25</v>
      </c>
      <c r="L5" s="38" t="n">
        <v>28</v>
      </c>
      <c r="M5" s="38" t="n">
        <v>18</v>
      </c>
      <c r="N5" s="38" t="n">
        <v>0.3</v>
      </c>
      <c r="O5" s="39" t="s">
        <v>26</v>
      </c>
      <c r="P5" s="40" t="s">
        <v>111</v>
      </c>
    </row>
    <row r="6" customFormat="false" ht="15.75" hidden="false" customHeight="true" outlineLevel="0" collapsed="false">
      <c r="B6" s="38" t="s">
        <v>112</v>
      </c>
      <c r="C6" s="38" t="s">
        <v>113</v>
      </c>
      <c r="D6" s="39" t="s">
        <v>114</v>
      </c>
      <c r="E6" s="38" t="s">
        <v>115</v>
      </c>
      <c r="F6" s="38" t="n">
        <v>2</v>
      </c>
      <c r="G6" s="39" t="s">
        <v>116</v>
      </c>
      <c r="H6" s="38" t="s">
        <v>117</v>
      </c>
      <c r="I6" s="38" t="n">
        <v>3200</v>
      </c>
      <c r="J6" s="38" t="n">
        <f aca="false">ROUND(PI()*125*I6/60000,2)</f>
        <v>20.94</v>
      </c>
      <c r="K6" s="38" t="n">
        <v>100</v>
      </c>
      <c r="L6" s="38" t="n">
        <v>180</v>
      </c>
      <c r="M6" s="38" t="s">
        <v>118</v>
      </c>
      <c r="N6" s="38" t="n">
        <v>0.38</v>
      </c>
      <c r="O6" s="39" t="s">
        <v>26</v>
      </c>
      <c r="P6" s="40" t="s">
        <v>119</v>
      </c>
    </row>
    <row r="8" customFormat="false" ht="18" hidden="false" customHeight="true" outlineLevel="0" collapsed="false">
      <c r="B8" s="35" t="s">
        <v>120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31.5" hidden="false" customHeight="true" outlineLevel="0" collapsed="false">
      <c r="B9" s="36" t="s">
        <v>93</v>
      </c>
      <c r="C9" s="36" t="s">
        <v>94</v>
      </c>
      <c r="D9" s="36" t="s">
        <v>95</v>
      </c>
      <c r="E9" s="36" t="s">
        <v>96</v>
      </c>
      <c r="F9" s="36" t="s">
        <v>38</v>
      </c>
      <c r="G9" s="36" t="s">
        <v>97</v>
      </c>
      <c r="H9" s="36" t="s">
        <v>98</v>
      </c>
      <c r="I9" s="37" t="s">
        <v>99</v>
      </c>
      <c r="J9" s="36" t="s">
        <v>100</v>
      </c>
      <c r="K9" s="37" t="s">
        <v>101</v>
      </c>
      <c r="L9" s="37" t="s">
        <v>102</v>
      </c>
      <c r="M9" s="37" t="s">
        <v>103</v>
      </c>
      <c r="N9" s="37" t="s">
        <v>104</v>
      </c>
      <c r="O9" s="36" t="s">
        <v>47</v>
      </c>
      <c r="P9" s="36" t="s">
        <v>48</v>
      </c>
    </row>
    <row r="10" customFormat="false" ht="15.75" hidden="false" customHeight="true" outlineLevel="0" collapsed="false">
      <c r="B10" s="41" t="s">
        <v>121</v>
      </c>
      <c r="C10" s="41" t="s">
        <v>113</v>
      </c>
      <c r="D10" s="42" t="s">
        <v>107</v>
      </c>
      <c r="E10" s="41" t="s">
        <v>108</v>
      </c>
      <c r="F10" s="41" t="n">
        <v>4</v>
      </c>
      <c r="G10" s="42" t="s">
        <v>109</v>
      </c>
      <c r="H10" s="41" t="s">
        <v>110</v>
      </c>
      <c r="I10" s="41" t="n">
        <v>3200</v>
      </c>
      <c r="J10" s="41" t="n">
        <f aca="false">ROUND(PI()*125*I10/60000,2)</f>
        <v>20.94</v>
      </c>
      <c r="K10" s="41" t="n">
        <v>25</v>
      </c>
      <c r="L10" s="41" t="n">
        <v>22</v>
      </c>
      <c r="M10" s="41" t="n">
        <v>18</v>
      </c>
      <c r="N10" s="41" t="n">
        <v>0.32</v>
      </c>
      <c r="O10" s="42" t="s">
        <v>29</v>
      </c>
      <c r="P10" s="43" t="s">
        <v>122</v>
      </c>
    </row>
    <row r="12" customFormat="false" ht="18" hidden="false" customHeight="true" outlineLevel="0" collapsed="false">
      <c r="B12" s="35" t="s">
        <v>123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18" hidden="false" customHeight="true" outlineLevel="0" collapsed="false">
      <c r="B13" s="44" t="s">
        <v>124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customFormat="false" ht="31.5" hidden="false" customHeight="true" outlineLevel="0" collapsed="false">
      <c r="B14" s="36" t="s">
        <v>93</v>
      </c>
      <c r="C14" s="36" t="s">
        <v>94</v>
      </c>
      <c r="D14" s="36" t="s">
        <v>95</v>
      </c>
      <c r="E14" s="36" t="s">
        <v>96</v>
      </c>
      <c r="F14" s="36" t="s">
        <v>38</v>
      </c>
      <c r="G14" s="36" t="s">
        <v>97</v>
      </c>
      <c r="H14" s="36" t="s">
        <v>98</v>
      </c>
      <c r="I14" s="37" t="s">
        <v>99</v>
      </c>
      <c r="J14" s="36" t="s">
        <v>100</v>
      </c>
      <c r="K14" s="37" t="s">
        <v>101</v>
      </c>
      <c r="L14" s="37" t="s">
        <v>102</v>
      </c>
      <c r="M14" s="37" t="s">
        <v>103</v>
      </c>
      <c r="N14" s="37" t="s">
        <v>104</v>
      </c>
      <c r="O14" s="36" t="s">
        <v>47</v>
      </c>
      <c r="P14" s="36" t="s">
        <v>48</v>
      </c>
    </row>
    <row r="15" customFormat="false" ht="15.75" hidden="false" customHeight="true" outlineLevel="0" collapsed="false">
      <c r="B15" s="45" t="s">
        <v>125</v>
      </c>
      <c r="C15" s="45" t="s">
        <v>126</v>
      </c>
      <c r="D15" s="46" t="s">
        <v>127</v>
      </c>
      <c r="E15" s="45" t="s">
        <v>115</v>
      </c>
      <c r="F15" s="45" t="n">
        <v>2</v>
      </c>
      <c r="G15" s="46" t="s">
        <v>128</v>
      </c>
      <c r="H15" s="45" t="s">
        <v>117</v>
      </c>
      <c r="I15" s="45" t="n">
        <v>3200</v>
      </c>
      <c r="J15" s="45" t="n">
        <f aca="false">ROUND(PI()*125*I15/60000,2)</f>
        <v>20.94</v>
      </c>
      <c r="K15" s="45" t="n">
        <v>25</v>
      </c>
      <c r="L15" s="45" t="n">
        <v>60</v>
      </c>
      <c r="M15" s="45" t="n">
        <v>20</v>
      </c>
      <c r="N15" s="45" t="n">
        <v>0.28</v>
      </c>
      <c r="O15" s="46" t="s">
        <v>32</v>
      </c>
      <c r="P15" s="47" t="s">
        <v>129</v>
      </c>
    </row>
    <row r="16" customFormat="false" ht="15.75" hidden="false" customHeight="true" outlineLevel="0" collapsed="false">
      <c r="B16" s="45" t="s">
        <v>130</v>
      </c>
      <c r="C16" s="45" t="s">
        <v>131</v>
      </c>
      <c r="D16" s="46" t="s">
        <v>127</v>
      </c>
      <c r="E16" s="45" t="s">
        <v>115</v>
      </c>
      <c r="F16" s="45" t="n">
        <v>2</v>
      </c>
      <c r="G16" s="46" t="s">
        <v>128</v>
      </c>
      <c r="H16" s="45" t="s">
        <v>117</v>
      </c>
      <c r="I16" s="45" t="n">
        <v>3200</v>
      </c>
      <c r="J16" s="45" t="n">
        <f aca="false">ROUND(PI()*125*I16/60000,2)</f>
        <v>20.94</v>
      </c>
      <c r="K16" s="45" t="n">
        <v>25</v>
      </c>
      <c r="L16" s="45" t="n">
        <v>60</v>
      </c>
      <c r="M16" s="45" t="n">
        <v>20</v>
      </c>
      <c r="N16" s="45" t="n">
        <v>0.28</v>
      </c>
      <c r="O16" s="46" t="s">
        <v>32</v>
      </c>
      <c r="P16" s="47" t="s">
        <v>129</v>
      </c>
    </row>
    <row r="17" customFormat="false" ht="15.75" hidden="false" customHeight="true" outlineLevel="0" collapsed="false">
      <c r="B17" s="45" t="s">
        <v>132</v>
      </c>
      <c r="C17" s="45" t="s">
        <v>133</v>
      </c>
      <c r="D17" s="46" t="s">
        <v>127</v>
      </c>
      <c r="E17" s="45" t="s">
        <v>115</v>
      </c>
      <c r="F17" s="45" t="n">
        <v>2</v>
      </c>
      <c r="G17" s="46" t="s">
        <v>128</v>
      </c>
      <c r="H17" s="45" t="s">
        <v>117</v>
      </c>
      <c r="I17" s="45" t="n">
        <v>3200</v>
      </c>
      <c r="J17" s="45" t="n">
        <f aca="false">ROUND(PI()*125*I17/60000,2)</f>
        <v>20.94</v>
      </c>
      <c r="K17" s="45" t="n">
        <v>40</v>
      </c>
      <c r="L17" s="45" t="n">
        <v>90</v>
      </c>
      <c r="M17" s="45" t="n">
        <v>30</v>
      </c>
      <c r="N17" s="45" t="n">
        <v>0.28</v>
      </c>
      <c r="O17" s="46" t="s">
        <v>32</v>
      </c>
      <c r="P17" s="47" t="s">
        <v>129</v>
      </c>
    </row>
    <row r="18" customFormat="false" ht="15.75" hidden="false" customHeight="true" outlineLevel="0" collapsed="false">
      <c r="B18" s="45" t="s">
        <v>134</v>
      </c>
      <c r="C18" s="45" t="s">
        <v>106</v>
      </c>
      <c r="D18" s="46" t="s">
        <v>127</v>
      </c>
      <c r="E18" s="45" t="s">
        <v>115</v>
      </c>
      <c r="F18" s="45" t="n">
        <v>2</v>
      </c>
      <c r="G18" s="46" t="s">
        <v>128</v>
      </c>
      <c r="H18" s="45" t="s">
        <v>117</v>
      </c>
      <c r="I18" s="45" t="n">
        <v>3200</v>
      </c>
      <c r="J18" s="45" t="n">
        <f aca="false">ROUND(PI()*125*I18/60000,2)</f>
        <v>20.94</v>
      </c>
      <c r="K18" s="45" t="n">
        <v>70</v>
      </c>
      <c r="L18" s="45" t="n">
        <v>140</v>
      </c>
      <c r="M18" s="45" t="n">
        <v>45</v>
      </c>
      <c r="N18" s="45" t="n">
        <v>0.35</v>
      </c>
      <c r="O18" s="46" t="s">
        <v>32</v>
      </c>
      <c r="P18" s="47" t="s">
        <v>129</v>
      </c>
    </row>
    <row r="19" customFormat="false" ht="15.75" hidden="false" customHeight="true" outlineLevel="0" collapsed="false">
      <c r="B19" s="45" t="s">
        <v>135</v>
      </c>
      <c r="C19" s="45" t="s">
        <v>136</v>
      </c>
      <c r="D19" s="46" t="s">
        <v>127</v>
      </c>
      <c r="E19" s="45" t="s">
        <v>115</v>
      </c>
      <c r="F19" s="45" t="n">
        <v>2</v>
      </c>
      <c r="G19" s="46" t="s">
        <v>128</v>
      </c>
      <c r="H19" s="45" t="s">
        <v>117</v>
      </c>
      <c r="I19" s="45" t="n">
        <v>3200</v>
      </c>
      <c r="J19" s="45" t="n">
        <f aca="false">ROUND(PI()*125*I19/60000,2)</f>
        <v>20.94</v>
      </c>
      <c r="K19" s="45" t="n">
        <v>85</v>
      </c>
      <c r="L19" s="45" t="n">
        <v>160</v>
      </c>
      <c r="M19" s="45" t="n">
        <v>55</v>
      </c>
      <c r="N19" s="45" t="n">
        <v>0.35</v>
      </c>
      <c r="O19" s="46" t="s">
        <v>32</v>
      </c>
      <c r="P19" s="47" t="s">
        <v>129</v>
      </c>
    </row>
    <row r="20" customFormat="false" ht="15.75" hidden="false" customHeight="true" outlineLevel="0" collapsed="false">
      <c r="B20" s="45" t="s">
        <v>137</v>
      </c>
      <c r="C20" s="45" t="s">
        <v>138</v>
      </c>
      <c r="D20" s="46" t="s">
        <v>127</v>
      </c>
      <c r="E20" s="45" t="s">
        <v>115</v>
      </c>
      <c r="F20" s="45" t="n">
        <v>2</v>
      </c>
      <c r="G20" s="46" t="s">
        <v>128</v>
      </c>
      <c r="H20" s="45" t="s">
        <v>117</v>
      </c>
      <c r="I20" s="45" t="n">
        <v>3200</v>
      </c>
      <c r="J20" s="45" t="n">
        <f aca="false">ROUND(PI()*125*I20/60000,2)</f>
        <v>20.94</v>
      </c>
      <c r="K20" s="45" t="n">
        <v>85</v>
      </c>
      <c r="L20" s="45" t="n">
        <v>160</v>
      </c>
      <c r="M20" s="45" t="n">
        <v>55</v>
      </c>
      <c r="N20" s="45" t="n">
        <v>0.35</v>
      </c>
      <c r="O20" s="46" t="s">
        <v>32</v>
      </c>
      <c r="P20" s="47" t="s">
        <v>129</v>
      </c>
    </row>
    <row r="21" customFormat="false" ht="15.75" hidden="false" customHeight="true" outlineLevel="0" collapsed="false">
      <c r="B21" s="45" t="s">
        <v>139</v>
      </c>
      <c r="C21" s="45" t="s">
        <v>140</v>
      </c>
      <c r="D21" s="46" t="s">
        <v>127</v>
      </c>
      <c r="E21" s="45" t="s">
        <v>115</v>
      </c>
      <c r="F21" s="45" t="n">
        <v>2</v>
      </c>
      <c r="G21" s="46" t="s">
        <v>128</v>
      </c>
      <c r="H21" s="45" t="s">
        <v>117</v>
      </c>
      <c r="I21" s="45" t="n">
        <v>3200</v>
      </c>
      <c r="J21" s="45" t="n">
        <f aca="false">ROUND(PI()*125*I21/60000,2)</f>
        <v>20.94</v>
      </c>
      <c r="K21" s="45" t="n">
        <v>100</v>
      </c>
      <c r="L21" s="45" t="n">
        <v>180</v>
      </c>
      <c r="M21" s="45" t="n">
        <v>60</v>
      </c>
      <c r="N21" s="45" t="n">
        <v>0.4</v>
      </c>
      <c r="O21" s="46" t="s">
        <v>32</v>
      </c>
      <c r="P21" s="47" t="s">
        <v>129</v>
      </c>
    </row>
    <row r="22" customFormat="false" ht="15.75" hidden="false" customHeight="true" outlineLevel="0" collapsed="false">
      <c r="B22" s="45" t="s">
        <v>141</v>
      </c>
      <c r="C22" s="45" t="s">
        <v>142</v>
      </c>
      <c r="D22" s="46" t="s">
        <v>127</v>
      </c>
      <c r="E22" s="45" t="s">
        <v>115</v>
      </c>
      <c r="F22" s="45" t="n">
        <v>2</v>
      </c>
      <c r="G22" s="46" t="s">
        <v>128</v>
      </c>
      <c r="H22" s="45" t="s">
        <v>117</v>
      </c>
      <c r="I22" s="45" t="n">
        <v>3200</v>
      </c>
      <c r="J22" s="45" t="n">
        <f aca="false">ROUND(PI()*125*I22/60000,2)</f>
        <v>20.94</v>
      </c>
      <c r="K22" s="45" t="n">
        <v>100</v>
      </c>
      <c r="L22" s="45" t="n">
        <v>180</v>
      </c>
      <c r="M22" s="45" t="n">
        <v>60</v>
      </c>
      <c r="N22" s="45" t="n">
        <v>0.4</v>
      </c>
      <c r="O22" s="46" t="s">
        <v>32</v>
      </c>
      <c r="P22" s="47" t="s">
        <v>129</v>
      </c>
    </row>
    <row r="23" customFormat="false" ht="15.75" hidden="false" customHeight="true" outlineLevel="0" collapsed="false">
      <c r="B23" s="45" t="s">
        <v>143</v>
      </c>
      <c r="C23" s="45" t="s">
        <v>144</v>
      </c>
      <c r="D23" s="46" t="s">
        <v>127</v>
      </c>
      <c r="E23" s="45" t="s">
        <v>115</v>
      </c>
      <c r="F23" s="45" t="n">
        <v>2</v>
      </c>
      <c r="G23" s="46" t="s">
        <v>128</v>
      </c>
      <c r="H23" s="45" t="s">
        <v>117</v>
      </c>
      <c r="I23" s="45" t="n">
        <v>3200</v>
      </c>
      <c r="J23" s="45" t="n">
        <f aca="false">ROUND(PI()*125*I23/60000,2)</f>
        <v>20.94</v>
      </c>
      <c r="K23" s="45" t="n">
        <v>100</v>
      </c>
      <c r="L23" s="45" t="n">
        <v>180</v>
      </c>
      <c r="M23" s="45" t="n">
        <v>60</v>
      </c>
      <c r="N23" s="45" t="n">
        <v>0.4</v>
      </c>
      <c r="O23" s="46" t="s">
        <v>32</v>
      </c>
      <c r="P23" s="47" t="s">
        <v>129</v>
      </c>
    </row>
    <row r="25" customFormat="false" ht="18" hidden="false" customHeight="true" outlineLevel="0" collapsed="false">
      <c r="B25" s="44" t="s">
        <v>145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customFormat="false" ht="31.5" hidden="false" customHeight="true" outlineLevel="0" collapsed="false">
      <c r="B26" s="36" t="s">
        <v>93</v>
      </c>
      <c r="C26" s="36" t="s">
        <v>94</v>
      </c>
      <c r="D26" s="36" t="s">
        <v>95</v>
      </c>
      <c r="E26" s="36" t="s">
        <v>96</v>
      </c>
      <c r="F26" s="36" t="s">
        <v>38</v>
      </c>
      <c r="G26" s="36" t="s">
        <v>97</v>
      </c>
      <c r="H26" s="36" t="s">
        <v>98</v>
      </c>
      <c r="I26" s="37" t="s">
        <v>99</v>
      </c>
      <c r="J26" s="36" t="s">
        <v>100</v>
      </c>
      <c r="K26" s="37" t="s">
        <v>101</v>
      </c>
      <c r="L26" s="37" t="s">
        <v>102</v>
      </c>
      <c r="M26" s="37" t="s">
        <v>103</v>
      </c>
      <c r="N26" s="37" t="s">
        <v>104</v>
      </c>
      <c r="O26" s="36" t="s">
        <v>47</v>
      </c>
      <c r="P26" s="36" t="s">
        <v>48</v>
      </c>
    </row>
    <row r="27" customFormat="false" ht="15.75" hidden="false" customHeight="true" outlineLevel="0" collapsed="false">
      <c r="B27" s="45" t="s">
        <v>125</v>
      </c>
      <c r="C27" s="45" t="s">
        <v>126</v>
      </c>
      <c r="D27" s="46" t="s">
        <v>127</v>
      </c>
      <c r="E27" s="45" t="s">
        <v>146</v>
      </c>
      <c r="F27" s="45" t="n">
        <v>2</v>
      </c>
      <c r="G27" s="46" t="s">
        <v>147</v>
      </c>
      <c r="H27" s="46" t="s">
        <v>148</v>
      </c>
      <c r="I27" s="45" t="n">
        <v>3400</v>
      </c>
      <c r="J27" s="45" t="n">
        <f aca="false">ROUND(PI()*100*I27/60000,2)</f>
        <v>17.8</v>
      </c>
      <c r="K27" s="45" t="n">
        <v>250</v>
      </c>
      <c r="L27" s="45" t="n">
        <v>200</v>
      </c>
      <c r="M27" s="45" t="n">
        <v>380</v>
      </c>
      <c r="N27" s="45" t="s">
        <v>118</v>
      </c>
      <c r="O27" s="46" t="s">
        <v>32</v>
      </c>
      <c r="P27" s="47" t="s">
        <v>149</v>
      </c>
    </row>
    <row r="28" customFormat="false" ht="15.75" hidden="false" customHeight="true" outlineLevel="0" collapsed="false">
      <c r="B28" s="45" t="s">
        <v>130</v>
      </c>
      <c r="C28" s="45" t="s">
        <v>131</v>
      </c>
      <c r="D28" s="46" t="s">
        <v>127</v>
      </c>
      <c r="E28" s="45" t="s">
        <v>146</v>
      </c>
      <c r="F28" s="45" t="n">
        <v>2</v>
      </c>
      <c r="G28" s="46" t="s">
        <v>147</v>
      </c>
      <c r="H28" s="46" t="s">
        <v>148</v>
      </c>
      <c r="I28" s="45" t="n">
        <v>3400</v>
      </c>
      <c r="J28" s="45" t="n">
        <f aca="false">ROUND(PI()*100*I28/60000,2)</f>
        <v>17.8</v>
      </c>
      <c r="K28" s="45" t="n">
        <v>250</v>
      </c>
      <c r="L28" s="45" t="n">
        <v>200</v>
      </c>
      <c r="M28" s="45" t="n">
        <v>380</v>
      </c>
      <c r="N28" s="45" t="s">
        <v>118</v>
      </c>
      <c r="O28" s="46" t="s">
        <v>32</v>
      </c>
      <c r="P28" s="47" t="s">
        <v>149</v>
      </c>
    </row>
    <row r="29" customFormat="false" ht="15.75" hidden="false" customHeight="true" outlineLevel="0" collapsed="false">
      <c r="B29" s="45" t="s">
        <v>132</v>
      </c>
      <c r="C29" s="45" t="s">
        <v>133</v>
      </c>
      <c r="D29" s="46" t="s">
        <v>127</v>
      </c>
      <c r="E29" s="45" t="s">
        <v>146</v>
      </c>
      <c r="F29" s="45" t="n">
        <v>2</v>
      </c>
      <c r="G29" s="46" t="s">
        <v>147</v>
      </c>
      <c r="H29" s="46" t="s">
        <v>148</v>
      </c>
      <c r="I29" s="45" t="n">
        <v>3400</v>
      </c>
      <c r="J29" s="45" t="n">
        <f aca="false">ROUND(PI()*100*I29/60000,2)</f>
        <v>17.8</v>
      </c>
      <c r="K29" s="45" t="n">
        <v>250</v>
      </c>
      <c r="L29" s="45" t="n">
        <v>200</v>
      </c>
      <c r="M29" s="45" t="n">
        <v>380</v>
      </c>
      <c r="N29" s="45" t="s">
        <v>118</v>
      </c>
      <c r="O29" s="46" t="s">
        <v>32</v>
      </c>
      <c r="P29" s="47" t="s">
        <v>149</v>
      </c>
    </row>
    <row r="30" customFormat="false" ht="15.75" hidden="false" customHeight="true" outlineLevel="0" collapsed="false">
      <c r="B30" s="45" t="s">
        <v>134</v>
      </c>
      <c r="C30" s="45" t="s">
        <v>106</v>
      </c>
      <c r="D30" s="46" t="s">
        <v>127</v>
      </c>
      <c r="E30" s="45" t="s">
        <v>146</v>
      </c>
      <c r="F30" s="45" t="n">
        <v>2</v>
      </c>
      <c r="G30" s="46" t="s">
        <v>147</v>
      </c>
      <c r="H30" s="46" t="s">
        <v>148</v>
      </c>
      <c r="I30" s="45" t="n">
        <v>3400</v>
      </c>
      <c r="J30" s="45" t="n">
        <f aca="false">ROUND(PI()*100*I30/60000,2)</f>
        <v>17.8</v>
      </c>
      <c r="K30" s="45" t="n">
        <v>300</v>
      </c>
      <c r="L30" s="45" t="n">
        <v>250</v>
      </c>
      <c r="M30" s="45" t="n">
        <v>450</v>
      </c>
      <c r="N30" s="45" t="s">
        <v>118</v>
      </c>
      <c r="O30" s="46" t="s">
        <v>32</v>
      </c>
      <c r="P30" s="47" t="s">
        <v>149</v>
      </c>
    </row>
    <row r="31" customFormat="false" ht="15.75" hidden="false" customHeight="true" outlineLevel="0" collapsed="false">
      <c r="B31" s="45" t="s">
        <v>135</v>
      </c>
      <c r="C31" s="45" t="s">
        <v>136</v>
      </c>
      <c r="D31" s="46" t="s">
        <v>127</v>
      </c>
      <c r="E31" s="45" t="s">
        <v>146</v>
      </c>
      <c r="F31" s="45" t="n">
        <v>2</v>
      </c>
      <c r="G31" s="46" t="s">
        <v>147</v>
      </c>
      <c r="H31" s="46" t="s">
        <v>148</v>
      </c>
      <c r="I31" s="45" t="n">
        <v>3400</v>
      </c>
      <c r="J31" s="45" t="n">
        <f aca="false">ROUND(PI()*100*I31/60000,2)</f>
        <v>17.8</v>
      </c>
      <c r="K31" s="45" t="n">
        <v>320</v>
      </c>
      <c r="L31" s="45" t="n">
        <v>270</v>
      </c>
      <c r="M31" s="45" t="n">
        <v>480</v>
      </c>
      <c r="N31" s="45" t="s">
        <v>118</v>
      </c>
      <c r="O31" s="46" t="s">
        <v>32</v>
      </c>
      <c r="P31" s="47" t="s">
        <v>149</v>
      </c>
    </row>
    <row r="32" customFormat="false" ht="15.75" hidden="false" customHeight="true" outlineLevel="0" collapsed="false">
      <c r="B32" s="45" t="s">
        <v>137</v>
      </c>
      <c r="C32" s="45" t="s">
        <v>138</v>
      </c>
      <c r="D32" s="46" t="s">
        <v>127</v>
      </c>
      <c r="E32" s="45" t="s">
        <v>146</v>
      </c>
      <c r="F32" s="45" t="n">
        <v>2</v>
      </c>
      <c r="G32" s="46" t="s">
        <v>147</v>
      </c>
      <c r="H32" s="46" t="s">
        <v>148</v>
      </c>
      <c r="I32" s="45" t="n">
        <v>3400</v>
      </c>
      <c r="J32" s="45" t="n">
        <f aca="false">ROUND(PI()*100*I32/60000,2)</f>
        <v>17.8</v>
      </c>
      <c r="K32" s="45" t="n">
        <v>320</v>
      </c>
      <c r="L32" s="45" t="n">
        <v>270</v>
      </c>
      <c r="M32" s="45" t="n">
        <v>480</v>
      </c>
      <c r="N32" s="45" t="s">
        <v>118</v>
      </c>
      <c r="O32" s="46" t="s">
        <v>32</v>
      </c>
      <c r="P32" s="47" t="s">
        <v>149</v>
      </c>
    </row>
    <row r="33" customFormat="false" ht="15.75" hidden="false" customHeight="true" outlineLevel="0" collapsed="false">
      <c r="B33" s="45" t="s">
        <v>139</v>
      </c>
      <c r="C33" s="45" t="s">
        <v>140</v>
      </c>
      <c r="D33" s="46" t="s">
        <v>127</v>
      </c>
      <c r="E33" s="45" t="s">
        <v>146</v>
      </c>
      <c r="F33" s="45" t="n">
        <v>2</v>
      </c>
      <c r="G33" s="46" t="s">
        <v>147</v>
      </c>
      <c r="H33" s="46" t="s">
        <v>148</v>
      </c>
      <c r="I33" s="45" t="n">
        <v>3400</v>
      </c>
      <c r="J33" s="45" t="n">
        <f aca="false">ROUND(PI()*100*I33/60000,2)</f>
        <v>17.8</v>
      </c>
      <c r="K33" s="45" t="n">
        <v>340</v>
      </c>
      <c r="L33" s="45" t="n">
        <v>290</v>
      </c>
      <c r="M33" s="45" t="n">
        <v>500</v>
      </c>
      <c r="N33" s="45" t="s">
        <v>118</v>
      </c>
      <c r="O33" s="46" t="s">
        <v>32</v>
      </c>
      <c r="P33" s="47" t="s">
        <v>149</v>
      </c>
    </row>
    <row r="34" customFormat="false" ht="15.75" hidden="false" customHeight="true" outlineLevel="0" collapsed="false">
      <c r="B34" s="45" t="s">
        <v>141</v>
      </c>
      <c r="C34" s="45" t="s">
        <v>142</v>
      </c>
      <c r="D34" s="46" t="s">
        <v>127</v>
      </c>
      <c r="E34" s="45" t="s">
        <v>146</v>
      </c>
      <c r="F34" s="45" t="n">
        <v>2</v>
      </c>
      <c r="G34" s="46" t="s">
        <v>147</v>
      </c>
      <c r="H34" s="46" t="s">
        <v>148</v>
      </c>
      <c r="I34" s="45" t="n">
        <v>3400</v>
      </c>
      <c r="J34" s="45" t="n">
        <f aca="false">ROUND(PI()*100*I34/60000,2)</f>
        <v>17.8</v>
      </c>
      <c r="K34" s="45" t="n">
        <v>340</v>
      </c>
      <c r="L34" s="45" t="n">
        <v>290</v>
      </c>
      <c r="M34" s="45" t="n">
        <v>500</v>
      </c>
      <c r="N34" s="45" t="s">
        <v>118</v>
      </c>
      <c r="O34" s="46" t="s">
        <v>32</v>
      </c>
      <c r="P34" s="47" t="s">
        <v>149</v>
      </c>
    </row>
    <row r="35" customFormat="false" ht="15.75" hidden="false" customHeight="true" outlineLevel="0" collapsed="false">
      <c r="B35" s="45" t="s">
        <v>143</v>
      </c>
      <c r="C35" s="45" t="s">
        <v>144</v>
      </c>
      <c r="D35" s="46" t="s">
        <v>127</v>
      </c>
      <c r="E35" s="45" t="s">
        <v>146</v>
      </c>
      <c r="F35" s="45" t="n">
        <v>2</v>
      </c>
      <c r="G35" s="46" t="s">
        <v>147</v>
      </c>
      <c r="H35" s="46" t="s">
        <v>148</v>
      </c>
      <c r="I35" s="45" t="n">
        <v>3400</v>
      </c>
      <c r="J35" s="45" t="n">
        <f aca="false">ROUND(PI()*100*I35/60000,2)</f>
        <v>17.8</v>
      </c>
      <c r="K35" s="45" t="n">
        <v>340</v>
      </c>
      <c r="L35" s="45" t="n">
        <v>290</v>
      </c>
      <c r="M35" s="45" t="n">
        <v>500</v>
      </c>
      <c r="N35" s="45" t="s">
        <v>118</v>
      </c>
      <c r="O35" s="46" t="s">
        <v>32</v>
      </c>
      <c r="P35" s="47" t="s">
        <v>149</v>
      </c>
    </row>
    <row r="37" customFormat="false" ht="18" hidden="false" customHeight="true" outlineLevel="0" collapsed="false">
      <c r="B37" s="44" t="s">
        <v>150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customFormat="false" ht="31.5" hidden="false" customHeight="true" outlineLevel="0" collapsed="false">
      <c r="B38" s="36" t="s">
        <v>93</v>
      </c>
      <c r="C38" s="36" t="s">
        <v>94</v>
      </c>
      <c r="D38" s="36" t="s">
        <v>95</v>
      </c>
      <c r="E38" s="36" t="s">
        <v>96</v>
      </c>
      <c r="F38" s="36" t="s">
        <v>38</v>
      </c>
      <c r="G38" s="36" t="s">
        <v>97</v>
      </c>
      <c r="H38" s="36" t="s">
        <v>98</v>
      </c>
      <c r="I38" s="37" t="s">
        <v>99</v>
      </c>
      <c r="J38" s="36" t="s">
        <v>100</v>
      </c>
      <c r="K38" s="37" t="s">
        <v>101</v>
      </c>
      <c r="L38" s="37" t="s">
        <v>102</v>
      </c>
      <c r="M38" s="37" t="s">
        <v>103</v>
      </c>
      <c r="N38" s="37" t="s">
        <v>104</v>
      </c>
      <c r="O38" s="36" t="s">
        <v>47</v>
      </c>
      <c r="P38" s="36" t="s">
        <v>48</v>
      </c>
    </row>
    <row r="39" customFormat="false" ht="15.75" hidden="false" customHeight="true" outlineLevel="0" collapsed="false">
      <c r="B39" s="45" t="s">
        <v>151</v>
      </c>
      <c r="C39" s="45" t="s">
        <v>126</v>
      </c>
      <c r="D39" s="46" t="s">
        <v>152</v>
      </c>
      <c r="E39" s="45" t="s">
        <v>108</v>
      </c>
      <c r="F39" s="45" t="n">
        <v>2</v>
      </c>
      <c r="G39" s="46" t="s">
        <v>153</v>
      </c>
      <c r="H39" s="45" t="s">
        <v>154</v>
      </c>
      <c r="I39" s="45" t="n">
        <v>4000</v>
      </c>
      <c r="J39" s="45" t="n">
        <f aca="false">ROUND(PI()*125*I39/60000,2)</f>
        <v>26.18</v>
      </c>
      <c r="K39" s="45" t="n">
        <v>25</v>
      </c>
      <c r="L39" s="45" t="n">
        <v>35</v>
      </c>
      <c r="M39" s="45" t="n">
        <v>20</v>
      </c>
      <c r="N39" s="45" t="n">
        <v>0.28</v>
      </c>
      <c r="O39" s="46" t="s">
        <v>32</v>
      </c>
      <c r="P39" s="47" t="s">
        <v>129</v>
      </c>
    </row>
    <row r="40" customFormat="false" ht="15.75" hidden="false" customHeight="true" outlineLevel="0" collapsed="false">
      <c r="B40" s="45" t="s">
        <v>155</v>
      </c>
      <c r="C40" s="45" t="s">
        <v>131</v>
      </c>
      <c r="D40" s="46" t="s">
        <v>152</v>
      </c>
      <c r="E40" s="45" t="s">
        <v>108</v>
      </c>
      <c r="F40" s="45" t="n">
        <v>2</v>
      </c>
      <c r="G40" s="46" t="s">
        <v>153</v>
      </c>
      <c r="H40" s="45" t="s">
        <v>154</v>
      </c>
      <c r="I40" s="45" t="n">
        <v>4000</v>
      </c>
      <c r="J40" s="45" t="n">
        <f aca="false">ROUND(PI()*125*I40/60000,2)</f>
        <v>26.18</v>
      </c>
      <c r="K40" s="45" t="n">
        <v>25</v>
      </c>
      <c r="L40" s="45" t="n">
        <v>35</v>
      </c>
      <c r="M40" s="45" t="n">
        <v>20</v>
      </c>
      <c r="N40" s="45" t="n">
        <v>0.28</v>
      </c>
      <c r="O40" s="46" t="s">
        <v>32</v>
      </c>
      <c r="P40" s="47" t="s">
        <v>129</v>
      </c>
    </row>
    <row r="41" customFormat="false" ht="15.75" hidden="false" customHeight="true" outlineLevel="0" collapsed="false">
      <c r="B41" s="45" t="s">
        <v>156</v>
      </c>
      <c r="C41" s="45" t="s">
        <v>133</v>
      </c>
      <c r="D41" s="46" t="s">
        <v>152</v>
      </c>
      <c r="E41" s="45" t="s">
        <v>108</v>
      </c>
      <c r="F41" s="45" t="n">
        <v>2</v>
      </c>
      <c r="G41" s="46" t="s">
        <v>153</v>
      </c>
      <c r="H41" s="45" t="s">
        <v>154</v>
      </c>
      <c r="I41" s="45" t="n">
        <v>4000</v>
      </c>
      <c r="J41" s="45" t="n">
        <f aca="false">ROUND(PI()*125*I41/60000,2)</f>
        <v>26.18</v>
      </c>
      <c r="K41" s="45" t="n">
        <v>35</v>
      </c>
      <c r="L41" s="45" t="n">
        <v>50</v>
      </c>
      <c r="M41" s="45" t="n">
        <v>25</v>
      </c>
      <c r="N41" s="45" t="n">
        <v>0.28</v>
      </c>
      <c r="O41" s="46" t="s">
        <v>32</v>
      </c>
      <c r="P41" s="47" t="s">
        <v>129</v>
      </c>
    </row>
    <row r="42" customFormat="false" ht="15.75" hidden="false" customHeight="true" outlineLevel="0" collapsed="false">
      <c r="B42" s="45" t="s">
        <v>157</v>
      </c>
      <c r="C42" s="45" t="s">
        <v>106</v>
      </c>
      <c r="D42" s="46" t="s">
        <v>152</v>
      </c>
      <c r="E42" s="45" t="s">
        <v>108</v>
      </c>
      <c r="F42" s="45" t="n">
        <v>2</v>
      </c>
      <c r="G42" s="46" t="s">
        <v>153</v>
      </c>
      <c r="H42" s="45" t="s">
        <v>154</v>
      </c>
      <c r="I42" s="45" t="n">
        <v>4000</v>
      </c>
      <c r="J42" s="45" t="n">
        <f aca="false">ROUND(PI()*125*I42/60000,2)</f>
        <v>26.18</v>
      </c>
      <c r="K42" s="45" t="n">
        <v>35</v>
      </c>
      <c r="L42" s="45" t="n">
        <v>50</v>
      </c>
      <c r="M42" s="45" t="n">
        <v>25</v>
      </c>
      <c r="N42" s="45" t="n">
        <v>0.35</v>
      </c>
      <c r="O42" s="46" t="s">
        <v>32</v>
      </c>
      <c r="P42" s="47" t="s">
        <v>129</v>
      </c>
    </row>
    <row r="43" customFormat="false" ht="15.75" hidden="false" customHeight="true" outlineLevel="0" collapsed="false">
      <c r="B43" s="45" t="s">
        <v>158</v>
      </c>
      <c r="C43" s="45" t="s">
        <v>136</v>
      </c>
      <c r="D43" s="46" t="s">
        <v>152</v>
      </c>
      <c r="E43" s="45" t="s">
        <v>108</v>
      </c>
      <c r="F43" s="45" t="n">
        <v>2</v>
      </c>
      <c r="G43" s="46" t="s">
        <v>153</v>
      </c>
      <c r="H43" s="45" t="s">
        <v>154</v>
      </c>
      <c r="I43" s="45" t="n">
        <v>4000</v>
      </c>
      <c r="J43" s="45" t="n">
        <f aca="false">ROUND(PI()*125*I43/60000,2)</f>
        <v>26.18</v>
      </c>
      <c r="K43" s="45" t="n">
        <v>55</v>
      </c>
      <c r="L43" s="45" t="n">
        <v>80</v>
      </c>
      <c r="M43" s="45" t="n">
        <v>38</v>
      </c>
      <c r="N43" s="45" t="n">
        <v>0.35</v>
      </c>
      <c r="O43" s="46" t="s">
        <v>32</v>
      </c>
      <c r="P43" s="47" t="s">
        <v>129</v>
      </c>
    </row>
    <row r="44" customFormat="false" ht="15.75" hidden="false" customHeight="true" outlineLevel="0" collapsed="false">
      <c r="B44" s="45" t="s">
        <v>159</v>
      </c>
      <c r="C44" s="45" t="s">
        <v>138</v>
      </c>
      <c r="D44" s="46" t="s">
        <v>152</v>
      </c>
      <c r="E44" s="45" t="s">
        <v>108</v>
      </c>
      <c r="F44" s="45" t="n">
        <v>2</v>
      </c>
      <c r="G44" s="46" t="s">
        <v>153</v>
      </c>
      <c r="H44" s="45" t="s">
        <v>154</v>
      </c>
      <c r="I44" s="45" t="n">
        <v>4000</v>
      </c>
      <c r="J44" s="45" t="n">
        <f aca="false">ROUND(PI()*125*I44/60000,2)</f>
        <v>26.18</v>
      </c>
      <c r="K44" s="45" t="n">
        <v>55</v>
      </c>
      <c r="L44" s="45" t="n">
        <v>80</v>
      </c>
      <c r="M44" s="45" t="n">
        <v>38</v>
      </c>
      <c r="N44" s="45" t="n">
        <v>0.35</v>
      </c>
      <c r="O44" s="46" t="s">
        <v>32</v>
      </c>
      <c r="P44" s="47" t="s">
        <v>129</v>
      </c>
    </row>
    <row r="45" customFormat="false" ht="15.75" hidden="false" customHeight="true" outlineLevel="0" collapsed="false">
      <c r="B45" s="45" t="s">
        <v>160</v>
      </c>
      <c r="C45" s="45" t="s">
        <v>140</v>
      </c>
      <c r="D45" s="46" t="s">
        <v>152</v>
      </c>
      <c r="E45" s="45" t="s">
        <v>108</v>
      </c>
      <c r="F45" s="45" t="n">
        <v>2</v>
      </c>
      <c r="G45" s="46" t="s">
        <v>153</v>
      </c>
      <c r="H45" s="45" t="s">
        <v>154</v>
      </c>
      <c r="I45" s="45" t="n">
        <v>4000</v>
      </c>
      <c r="J45" s="45" t="n">
        <f aca="false">ROUND(PI()*125*I45/60000,2)</f>
        <v>26.18</v>
      </c>
      <c r="K45" s="45" t="n">
        <v>65</v>
      </c>
      <c r="L45" s="45" t="n">
        <v>95</v>
      </c>
      <c r="M45" s="45" t="n">
        <v>45</v>
      </c>
      <c r="N45" s="45" t="n">
        <v>0.42</v>
      </c>
      <c r="O45" s="46" t="s">
        <v>32</v>
      </c>
      <c r="P45" s="47" t="s">
        <v>129</v>
      </c>
    </row>
    <row r="46" customFormat="false" ht="15.75" hidden="false" customHeight="true" outlineLevel="0" collapsed="false">
      <c r="B46" s="45" t="s">
        <v>161</v>
      </c>
      <c r="C46" s="45" t="s">
        <v>142</v>
      </c>
      <c r="D46" s="46" t="s">
        <v>152</v>
      </c>
      <c r="E46" s="45" t="s">
        <v>108</v>
      </c>
      <c r="F46" s="45" t="n">
        <v>2</v>
      </c>
      <c r="G46" s="46" t="s">
        <v>153</v>
      </c>
      <c r="H46" s="45" t="s">
        <v>154</v>
      </c>
      <c r="I46" s="45" t="n">
        <v>4000</v>
      </c>
      <c r="J46" s="45" t="n">
        <f aca="false">ROUND(PI()*125*I46/60000,2)</f>
        <v>26.18</v>
      </c>
      <c r="K46" s="45" t="n">
        <v>65</v>
      </c>
      <c r="L46" s="45" t="n">
        <v>95</v>
      </c>
      <c r="M46" s="45" t="n">
        <v>45</v>
      </c>
      <c r="N46" s="45" t="n">
        <v>0.42</v>
      </c>
      <c r="O46" s="46" t="s">
        <v>32</v>
      </c>
      <c r="P46" s="47" t="s">
        <v>129</v>
      </c>
    </row>
    <row r="47" customFormat="false" ht="15.75" hidden="false" customHeight="true" outlineLevel="0" collapsed="false">
      <c r="B47" s="45" t="s">
        <v>162</v>
      </c>
      <c r="C47" s="45" t="s">
        <v>144</v>
      </c>
      <c r="D47" s="46" t="s">
        <v>152</v>
      </c>
      <c r="E47" s="45" t="s">
        <v>108</v>
      </c>
      <c r="F47" s="45" t="n">
        <v>2</v>
      </c>
      <c r="G47" s="46" t="s">
        <v>153</v>
      </c>
      <c r="H47" s="45" t="s">
        <v>154</v>
      </c>
      <c r="I47" s="45" t="n">
        <v>4000</v>
      </c>
      <c r="J47" s="45" t="n">
        <f aca="false">ROUND(PI()*125*I47/60000,2)</f>
        <v>26.18</v>
      </c>
      <c r="K47" s="45" t="n">
        <v>65</v>
      </c>
      <c r="L47" s="45" t="n">
        <v>95</v>
      </c>
      <c r="M47" s="45" t="n">
        <v>45</v>
      </c>
      <c r="N47" s="45" t="n">
        <v>0.42</v>
      </c>
      <c r="O47" s="46" t="s">
        <v>32</v>
      </c>
      <c r="P47" s="47" t="s">
        <v>129</v>
      </c>
    </row>
    <row r="49" customFormat="false" ht="18" hidden="false" customHeight="true" outlineLevel="0" collapsed="false">
      <c r="B49" s="44" t="s">
        <v>163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</row>
    <row r="50" customFormat="false" ht="31.5" hidden="false" customHeight="true" outlineLevel="0" collapsed="false">
      <c r="B50" s="36" t="s">
        <v>93</v>
      </c>
      <c r="C50" s="36" t="s">
        <v>94</v>
      </c>
      <c r="D50" s="36" t="s">
        <v>95</v>
      </c>
      <c r="E50" s="36" t="s">
        <v>96</v>
      </c>
      <c r="F50" s="36" t="s">
        <v>38</v>
      </c>
      <c r="G50" s="36" t="s">
        <v>97</v>
      </c>
      <c r="H50" s="36" t="s">
        <v>98</v>
      </c>
      <c r="I50" s="37" t="s">
        <v>99</v>
      </c>
      <c r="J50" s="36" t="s">
        <v>100</v>
      </c>
      <c r="K50" s="37" t="s">
        <v>101</v>
      </c>
      <c r="L50" s="37" t="s">
        <v>102</v>
      </c>
      <c r="M50" s="37" t="s">
        <v>103</v>
      </c>
      <c r="N50" s="37" t="s">
        <v>104</v>
      </c>
      <c r="O50" s="36" t="s">
        <v>47</v>
      </c>
      <c r="P50" s="36" t="s">
        <v>48</v>
      </c>
    </row>
    <row r="51" customFormat="false" ht="15.75" hidden="false" customHeight="true" outlineLevel="0" collapsed="false">
      <c r="B51" s="45" t="s">
        <v>164</v>
      </c>
      <c r="C51" s="45" t="s">
        <v>126</v>
      </c>
      <c r="D51" s="46" t="s">
        <v>165</v>
      </c>
      <c r="E51" s="45" t="s">
        <v>108</v>
      </c>
      <c r="F51" s="45" t="n">
        <v>2</v>
      </c>
      <c r="G51" s="46" t="s">
        <v>153</v>
      </c>
      <c r="H51" s="45" t="s">
        <v>154</v>
      </c>
      <c r="I51" s="45" t="n">
        <v>4000</v>
      </c>
      <c r="J51" s="45" t="n">
        <f aca="false">ROUND(PI()*125*I51/60000,2)</f>
        <v>26.18</v>
      </c>
      <c r="K51" s="45" t="n">
        <v>18</v>
      </c>
      <c r="L51" s="45" t="n">
        <v>20</v>
      </c>
      <c r="M51" s="45" t="n">
        <v>14</v>
      </c>
      <c r="N51" s="45" t="n">
        <v>0.25</v>
      </c>
      <c r="O51" s="46" t="s">
        <v>32</v>
      </c>
      <c r="P51" s="47" t="s">
        <v>129</v>
      </c>
    </row>
    <row r="52" customFormat="false" ht="15.75" hidden="false" customHeight="true" outlineLevel="0" collapsed="false">
      <c r="B52" s="45" t="s">
        <v>166</v>
      </c>
      <c r="C52" s="45" t="s">
        <v>131</v>
      </c>
      <c r="D52" s="46" t="s">
        <v>165</v>
      </c>
      <c r="E52" s="45" t="s">
        <v>108</v>
      </c>
      <c r="F52" s="45" t="n">
        <v>2</v>
      </c>
      <c r="G52" s="46" t="s">
        <v>153</v>
      </c>
      <c r="H52" s="45" t="s">
        <v>154</v>
      </c>
      <c r="I52" s="45" t="n">
        <v>4000</v>
      </c>
      <c r="J52" s="45" t="n">
        <f aca="false">ROUND(PI()*125*I52/60000,2)</f>
        <v>26.18</v>
      </c>
      <c r="K52" s="45" t="n">
        <v>18</v>
      </c>
      <c r="L52" s="45" t="n">
        <v>20</v>
      </c>
      <c r="M52" s="45" t="n">
        <v>14</v>
      </c>
      <c r="N52" s="45" t="n">
        <v>0.25</v>
      </c>
      <c r="O52" s="46" t="s">
        <v>32</v>
      </c>
      <c r="P52" s="47" t="s">
        <v>129</v>
      </c>
    </row>
    <row r="53" customFormat="false" ht="15.75" hidden="false" customHeight="true" outlineLevel="0" collapsed="false">
      <c r="B53" s="45" t="s">
        <v>167</v>
      </c>
      <c r="C53" s="45" t="s">
        <v>133</v>
      </c>
      <c r="D53" s="46" t="s">
        <v>165</v>
      </c>
      <c r="E53" s="45" t="s">
        <v>108</v>
      </c>
      <c r="F53" s="45" t="n">
        <v>2</v>
      </c>
      <c r="G53" s="46" t="s">
        <v>153</v>
      </c>
      <c r="H53" s="45" t="s">
        <v>154</v>
      </c>
      <c r="I53" s="45" t="n">
        <v>4000</v>
      </c>
      <c r="J53" s="45" t="n">
        <f aca="false">ROUND(PI()*125*I53/60000,2)</f>
        <v>26.18</v>
      </c>
      <c r="K53" s="45" t="n">
        <v>20</v>
      </c>
      <c r="L53" s="45" t="n">
        <v>24</v>
      </c>
      <c r="M53" s="45" t="n">
        <v>16</v>
      </c>
      <c r="N53" s="45" t="n">
        <v>0.25</v>
      </c>
      <c r="O53" s="46" t="s">
        <v>32</v>
      </c>
      <c r="P53" s="47" t="s">
        <v>129</v>
      </c>
    </row>
    <row r="54" customFormat="false" ht="15.75" hidden="false" customHeight="true" outlineLevel="0" collapsed="false">
      <c r="B54" s="45" t="s">
        <v>168</v>
      </c>
      <c r="C54" s="45" t="s">
        <v>106</v>
      </c>
      <c r="D54" s="46" t="s">
        <v>165</v>
      </c>
      <c r="E54" s="45" t="s">
        <v>108</v>
      </c>
      <c r="F54" s="45" t="n">
        <v>2</v>
      </c>
      <c r="G54" s="46" t="s">
        <v>153</v>
      </c>
      <c r="H54" s="45" t="s">
        <v>154</v>
      </c>
      <c r="I54" s="45" t="n">
        <v>4000</v>
      </c>
      <c r="J54" s="45" t="n">
        <f aca="false">ROUND(PI()*125*I54/60000,2)</f>
        <v>26.18</v>
      </c>
      <c r="K54" s="45" t="n">
        <v>20</v>
      </c>
      <c r="L54" s="45" t="n">
        <v>24</v>
      </c>
      <c r="M54" s="45" t="n">
        <v>16</v>
      </c>
      <c r="N54" s="45" t="n">
        <v>0.32</v>
      </c>
      <c r="O54" s="46" t="s">
        <v>32</v>
      </c>
      <c r="P54" s="47" t="s">
        <v>129</v>
      </c>
    </row>
    <row r="55" customFormat="false" ht="15.75" hidden="false" customHeight="true" outlineLevel="0" collapsed="false">
      <c r="B55" s="45" t="s">
        <v>169</v>
      </c>
      <c r="C55" s="45" t="s">
        <v>136</v>
      </c>
      <c r="D55" s="46" t="s">
        <v>165</v>
      </c>
      <c r="E55" s="45" t="s">
        <v>108</v>
      </c>
      <c r="F55" s="45" t="n">
        <v>2</v>
      </c>
      <c r="G55" s="46" t="s">
        <v>153</v>
      </c>
      <c r="H55" s="45" t="s">
        <v>154</v>
      </c>
      <c r="I55" s="45" t="n">
        <v>4000</v>
      </c>
      <c r="J55" s="45" t="n">
        <f aca="false">ROUND(PI()*125*I55/60000,2)</f>
        <v>26.18</v>
      </c>
      <c r="K55" s="45" t="n">
        <v>28</v>
      </c>
      <c r="L55" s="45" t="n">
        <v>30</v>
      </c>
      <c r="M55" s="45" t="n">
        <v>20</v>
      </c>
      <c r="N55" s="45" t="n">
        <v>0.32</v>
      </c>
      <c r="O55" s="46" t="s">
        <v>32</v>
      </c>
      <c r="P55" s="47" t="s">
        <v>129</v>
      </c>
    </row>
    <row r="56" customFormat="false" ht="15.75" hidden="false" customHeight="true" outlineLevel="0" collapsed="false">
      <c r="B56" s="45" t="s">
        <v>170</v>
      </c>
      <c r="C56" s="45" t="s">
        <v>138</v>
      </c>
      <c r="D56" s="46" t="s">
        <v>165</v>
      </c>
      <c r="E56" s="45" t="s">
        <v>108</v>
      </c>
      <c r="F56" s="45" t="n">
        <v>2</v>
      </c>
      <c r="G56" s="46" t="s">
        <v>153</v>
      </c>
      <c r="H56" s="45" t="s">
        <v>154</v>
      </c>
      <c r="I56" s="45" t="n">
        <v>4000</v>
      </c>
      <c r="J56" s="45" t="n">
        <f aca="false">ROUND(PI()*125*I56/60000,2)</f>
        <v>26.18</v>
      </c>
      <c r="K56" s="45" t="n">
        <v>28</v>
      </c>
      <c r="L56" s="45" t="n">
        <v>30</v>
      </c>
      <c r="M56" s="45" t="n">
        <v>20</v>
      </c>
      <c r="N56" s="45" t="n">
        <v>0.32</v>
      </c>
      <c r="O56" s="46" t="s">
        <v>32</v>
      </c>
      <c r="P56" s="47" t="s">
        <v>129</v>
      </c>
    </row>
    <row r="57" customFormat="false" ht="15.75" hidden="false" customHeight="true" outlineLevel="0" collapsed="false">
      <c r="B57" s="45" t="s">
        <v>171</v>
      </c>
      <c r="C57" s="45" t="s">
        <v>140</v>
      </c>
      <c r="D57" s="46" t="s">
        <v>165</v>
      </c>
      <c r="E57" s="45" t="s">
        <v>108</v>
      </c>
      <c r="F57" s="45" t="n">
        <v>2</v>
      </c>
      <c r="G57" s="46" t="s">
        <v>153</v>
      </c>
      <c r="H57" s="45" t="s">
        <v>154</v>
      </c>
      <c r="I57" s="45" t="n">
        <v>4000</v>
      </c>
      <c r="J57" s="45" t="n">
        <f aca="false">ROUND(PI()*125*I57/60000,2)</f>
        <v>26.18</v>
      </c>
      <c r="K57" s="45" t="n">
        <v>30</v>
      </c>
      <c r="L57" s="45" t="n">
        <v>32</v>
      </c>
      <c r="M57" s="45" t="n">
        <v>22</v>
      </c>
      <c r="N57" s="45" t="n">
        <v>0.4</v>
      </c>
      <c r="O57" s="46" t="s">
        <v>32</v>
      </c>
      <c r="P57" s="47" t="s">
        <v>129</v>
      </c>
    </row>
    <row r="58" customFormat="false" ht="15.75" hidden="false" customHeight="true" outlineLevel="0" collapsed="false">
      <c r="B58" s="45" t="s">
        <v>172</v>
      </c>
      <c r="C58" s="45" t="s">
        <v>142</v>
      </c>
      <c r="D58" s="46" t="s">
        <v>165</v>
      </c>
      <c r="E58" s="45" t="s">
        <v>108</v>
      </c>
      <c r="F58" s="45" t="n">
        <v>2</v>
      </c>
      <c r="G58" s="46" t="s">
        <v>153</v>
      </c>
      <c r="H58" s="45" t="s">
        <v>154</v>
      </c>
      <c r="I58" s="45" t="n">
        <v>4000</v>
      </c>
      <c r="J58" s="45" t="n">
        <f aca="false">ROUND(PI()*125*I58/60000,2)</f>
        <v>26.18</v>
      </c>
      <c r="K58" s="45" t="n">
        <v>30</v>
      </c>
      <c r="L58" s="45" t="n">
        <v>32</v>
      </c>
      <c r="M58" s="45" t="n">
        <v>22</v>
      </c>
      <c r="N58" s="45" t="n">
        <v>0.4</v>
      </c>
      <c r="O58" s="46" t="s">
        <v>32</v>
      </c>
      <c r="P58" s="47" t="s">
        <v>129</v>
      </c>
    </row>
    <row r="59" customFormat="false" ht="15.75" hidden="false" customHeight="true" outlineLevel="0" collapsed="false">
      <c r="B59" s="45" t="s">
        <v>173</v>
      </c>
      <c r="C59" s="45" t="s">
        <v>144</v>
      </c>
      <c r="D59" s="46" t="s">
        <v>165</v>
      </c>
      <c r="E59" s="45" t="s">
        <v>108</v>
      </c>
      <c r="F59" s="45" t="n">
        <v>2</v>
      </c>
      <c r="G59" s="46" t="s">
        <v>153</v>
      </c>
      <c r="H59" s="45" t="s">
        <v>154</v>
      </c>
      <c r="I59" s="45" t="n">
        <v>4000</v>
      </c>
      <c r="J59" s="45" t="n">
        <f aca="false">ROUND(PI()*125*I59/60000,2)</f>
        <v>26.18</v>
      </c>
      <c r="K59" s="45" t="n">
        <v>30</v>
      </c>
      <c r="L59" s="45" t="n">
        <v>32</v>
      </c>
      <c r="M59" s="45" t="n">
        <v>22</v>
      </c>
      <c r="N59" s="45" t="n">
        <v>0.4</v>
      </c>
      <c r="O59" s="46" t="s">
        <v>32</v>
      </c>
      <c r="P59" s="47" t="s">
        <v>129</v>
      </c>
    </row>
    <row r="61" customFormat="false" ht="18" hidden="false" customHeight="true" outlineLevel="0" collapsed="false">
      <c r="B61" s="44" t="s">
        <v>174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</row>
    <row r="62" customFormat="false" ht="31.5" hidden="false" customHeight="true" outlineLevel="0" collapsed="false">
      <c r="B62" s="36" t="s">
        <v>93</v>
      </c>
      <c r="C62" s="36" t="s">
        <v>94</v>
      </c>
      <c r="D62" s="36" t="s">
        <v>95</v>
      </c>
      <c r="E62" s="36" t="s">
        <v>96</v>
      </c>
      <c r="F62" s="36" t="s">
        <v>38</v>
      </c>
      <c r="G62" s="36" t="s">
        <v>97</v>
      </c>
      <c r="H62" s="36" t="s">
        <v>98</v>
      </c>
      <c r="I62" s="37" t="s">
        <v>99</v>
      </c>
      <c r="J62" s="36" t="s">
        <v>100</v>
      </c>
      <c r="K62" s="37" t="s">
        <v>101</v>
      </c>
      <c r="L62" s="37" t="s">
        <v>102</v>
      </c>
      <c r="M62" s="37" t="s">
        <v>103</v>
      </c>
      <c r="N62" s="37" t="s">
        <v>104</v>
      </c>
      <c r="O62" s="36" t="s">
        <v>47</v>
      </c>
      <c r="P62" s="36" t="s">
        <v>48</v>
      </c>
    </row>
    <row r="63" customFormat="false" ht="15.75" hidden="false" customHeight="true" outlineLevel="0" collapsed="false">
      <c r="B63" s="45" t="s">
        <v>175</v>
      </c>
      <c r="C63" s="45" t="s">
        <v>126</v>
      </c>
      <c r="D63" s="46" t="s">
        <v>152</v>
      </c>
      <c r="E63" s="45" t="s">
        <v>108</v>
      </c>
      <c r="F63" s="45" t="n">
        <v>4</v>
      </c>
      <c r="G63" s="46" t="s">
        <v>176</v>
      </c>
      <c r="H63" s="45" t="s">
        <v>110</v>
      </c>
      <c r="I63" s="45" t="n">
        <v>4000</v>
      </c>
      <c r="J63" s="45" t="n">
        <f aca="false">ROUND(PI()*125*I63/60000,2)</f>
        <v>26.18</v>
      </c>
      <c r="K63" s="45" t="n">
        <v>20</v>
      </c>
      <c r="L63" s="45" t="n">
        <v>28</v>
      </c>
      <c r="M63" s="45" t="n">
        <v>16</v>
      </c>
      <c r="N63" s="45" t="n">
        <v>0.28</v>
      </c>
      <c r="O63" s="46" t="s">
        <v>32</v>
      </c>
      <c r="P63" s="47" t="s">
        <v>129</v>
      </c>
    </row>
    <row r="64" customFormat="false" ht="15.75" hidden="false" customHeight="true" outlineLevel="0" collapsed="false">
      <c r="B64" s="45" t="s">
        <v>177</v>
      </c>
      <c r="C64" s="45" t="s">
        <v>131</v>
      </c>
      <c r="D64" s="46" t="s">
        <v>152</v>
      </c>
      <c r="E64" s="45" t="s">
        <v>108</v>
      </c>
      <c r="F64" s="45" t="n">
        <v>4</v>
      </c>
      <c r="G64" s="46" t="s">
        <v>176</v>
      </c>
      <c r="H64" s="45" t="s">
        <v>110</v>
      </c>
      <c r="I64" s="45" t="n">
        <v>4000</v>
      </c>
      <c r="J64" s="45" t="n">
        <f aca="false">ROUND(PI()*125*I64/60000,2)</f>
        <v>26.18</v>
      </c>
      <c r="K64" s="45" t="n">
        <v>20</v>
      </c>
      <c r="L64" s="45" t="n">
        <v>28</v>
      </c>
      <c r="M64" s="45" t="n">
        <v>16</v>
      </c>
      <c r="N64" s="45" t="n">
        <v>0.28</v>
      </c>
      <c r="O64" s="46" t="s">
        <v>32</v>
      </c>
      <c r="P64" s="47" t="s">
        <v>129</v>
      </c>
    </row>
    <row r="65" customFormat="false" ht="15.75" hidden="false" customHeight="true" outlineLevel="0" collapsed="false">
      <c r="B65" s="45" t="s">
        <v>178</v>
      </c>
      <c r="C65" s="45" t="s">
        <v>133</v>
      </c>
      <c r="D65" s="46" t="s">
        <v>152</v>
      </c>
      <c r="E65" s="45" t="s">
        <v>108</v>
      </c>
      <c r="F65" s="45" t="n">
        <v>4</v>
      </c>
      <c r="G65" s="46" t="s">
        <v>176</v>
      </c>
      <c r="H65" s="45" t="s">
        <v>110</v>
      </c>
      <c r="I65" s="45" t="n">
        <v>4000</v>
      </c>
      <c r="J65" s="45" t="n">
        <f aca="false">ROUND(PI()*125*I65/60000,2)</f>
        <v>26.18</v>
      </c>
      <c r="K65" s="45" t="n">
        <v>28</v>
      </c>
      <c r="L65" s="45" t="n">
        <v>40</v>
      </c>
      <c r="M65" s="45" t="n">
        <v>22</v>
      </c>
      <c r="N65" s="45" t="n">
        <v>0.28</v>
      </c>
      <c r="O65" s="46" t="s">
        <v>32</v>
      </c>
      <c r="P65" s="47" t="s">
        <v>129</v>
      </c>
    </row>
    <row r="66" customFormat="false" ht="15.75" hidden="false" customHeight="true" outlineLevel="0" collapsed="false">
      <c r="B66" s="45" t="s">
        <v>179</v>
      </c>
      <c r="C66" s="45" t="s">
        <v>106</v>
      </c>
      <c r="D66" s="46" t="s">
        <v>152</v>
      </c>
      <c r="E66" s="45" t="s">
        <v>108</v>
      </c>
      <c r="F66" s="45" t="n">
        <v>4</v>
      </c>
      <c r="G66" s="46" t="s">
        <v>176</v>
      </c>
      <c r="H66" s="45" t="s">
        <v>110</v>
      </c>
      <c r="I66" s="45" t="n">
        <v>4000</v>
      </c>
      <c r="J66" s="45" t="n">
        <f aca="false">ROUND(PI()*125*I66/60000,2)</f>
        <v>26.18</v>
      </c>
      <c r="K66" s="45" t="n">
        <v>28</v>
      </c>
      <c r="L66" s="45" t="n">
        <v>40</v>
      </c>
      <c r="M66" s="45" t="n">
        <v>22</v>
      </c>
      <c r="N66" s="45" t="n">
        <v>0.35</v>
      </c>
      <c r="O66" s="46" t="s">
        <v>32</v>
      </c>
      <c r="P66" s="47" t="s">
        <v>129</v>
      </c>
    </row>
    <row r="67" customFormat="false" ht="15.75" hidden="false" customHeight="true" outlineLevel="0" collapsed="false">
      <c r="B67" s="45" t="s">
        <v>180</v>
      </c>
      <c r="C67" s="45" t="s">
        <v>136</v>
      </c>
      <c r="D67" s="46" t="s">
        <v>152</v>
      </c>
      <c r="E67" s="45" t="s">
        <v>108</v>
      </c>
      <c r="F67" s="45" t="n">
        <v>4</v>
      </c>
      <c r="G67" s="46" t="s">
        <v>176</v>
      </c>
      <c r="H67" s="45" t="s">
        <v>110</v>
      </c>
      <c r="I67" s="45" t="n">
        <v>4000</v>
      </c>
      <c r="J67" s="45" t="n">
        <f aca="false">ROUND(PI()*125*I67/60000,2)</f>
        <v>26.18</v>
      </c>
      <c r="K67" s="45" t="n">
        <v>45</v>
      </c>
      <c r="L67" s="45" t="n">
        <v>65</v>
      </c>
      <c r="M67" s="45" t="n">
        <v>32</v>
      </c>
      <c r="N67" s="45" t="n">
        <v>0.35</v>
      </c>
      <c r="O67" s="46" t="s">
        <v>32</v>
      </c>
      <c r="P67" s="47" t="s">
        <v>129</v>
      </c>
    </row>
    <row r="68" customFormat="false" ht="15.75" hidden="false" customHeight="true" outlineLevel="0" collapsed="false">
      <c r="B68" s="45" t="s">
        <v>181</v>
      </c>
      <c r="C68" s="45" t="s">
        <v>138</v>
      </c>
      <c r="D68" s="46" t="s">
        <v>152</v>
      </c>
      <c r="E68" s="45" t="s">
        <v>108</v>
      </c>
      <c r="F68" s="45" t="n">
        <v>4</v>
      </c>
      <c r="G68" s="46" t="s">
        <v>176</v>
      </c>
      <c r="H68" s="45" t="s">
        <v>110</v>
      </c>
      <c r="I68" s="45" t="n">
        <v>4000</v>
      </c>
      <c r="J68" s="45" t="n">
        <f aca="false">ROUND(PI()*125*I68/60000,2)</f>
        <v>26.18</v>
      </c>
      <c r="K68" s="45" t="n">
        <v>45</v>
      </c>
      <c r="L68" s="45" t="n">
        <v>65</v>
      </c>
      <c r="M68" s="45" t="n">
        <v>32</v>
      </c>
      <c r="N68" s="45" t="n">
        <v>0.35</v>
      </c>
      <c r="O68" s="46" t="s">
        <v>32</v>
      </c>
      <c r="P68" s="47" t="s">
        <v>129</v>
      </c>
    </row>
    <row r="69" customFormat="false" ht="15.75" hidden="false" customHeight="true" outlineLevel="0" collapsed="false">
      <c r="B69" s="45" t="s">
        <v>182</v>
      </c>
      <c r="C69" s="45" t="s">
        <v>140</v>
      </c>
      <c r="D69" s="46" t="s">
        <v>152</v>
      </c>
      <c r="E69" s="45" t="s">
        <v>108</v>
      </c>
      <c r="F69" s="45" t="n">
        <v>4</v>
      </c>
      <c r="G69" s="46" t="s">
        <v>176</v>
      </c>
      <c r="H69" s="45" t="s">
        <v>110</v>
      </c>
      <c r="I69" s="45" t="n">
        <v>4000</v>
      </c>
      <c r="J69" s="45" t="n">
        <f aca="false">ROUND(PI()*125*I69/60000,2)</f>
        <v>26.18</v>
      </c>
      <c r="K69" s="45" t="n">
        <v>55</v>
      </c>
      <c r="L69" s="45" t="n">
        <v>78</v>
      </c>
      <c r="M69" s="45" t="n">
        <v>38</v>
      </c>
      <c r="N69" s="45" t="n">
        <v>0.42</v>
      </c>
      <c r="O69" s="46" t="s">
        <v>32</v>
      </c>
      <c r="P69" s="47" t="s">
        <v>129</v>
      </c>
    </row>
    <row r="70" customFormat="false" ht="15.75" hidden="false" customHeight="true" outlineLevel="0" collapsed="false">
      <c r="B70" s="45" t="s">
        <v>183</v>
      </c>
      <c r="C70" s="45" t="s">
        <v>142</v>
      </c>
      <c r="D70" s="46" t="s">
        <v>152</v>
      </c>
      <c r="E70" s="45" t="s">
        <v>108</v>
      </c>
      <c r="F70" s="45" t="n">
        <v>4</v>
      </c>
      <c r="G70" s="46" t="s">
        <v>176</v>
      </c>
      <c r="H70" s="45" t="s">
        <v>110</v>
      </c>
      <c r="I70" s="45" t="n">
        <v>4000</v>
      </c>
      <c r="J70" s="45" t="n">
        <f aca="false">ROUND(PI()*125*I70/60000,2)</f>
        <v>26.18</v>
      </c>
      <c r="K70" s="45" t="n">
        <v>55</v>
      </c>
      <c r="L70" s="45" t="n">
        <v>78</v>
      </c>
      <c r="M70" s="45" t="n">
        <v>38</v>
      </c>
      <c r="N70" s="45" t="n">
        <v>0.42</v>
      </c>
      <c r="O70" s="46" t="s">
        <v>32</v>
      </c>
      <c r="P70" s="47" t="s">
        <v>129</v>
      </c>
    </row>
    <row r="71" customFormat="false" ht="15.75" hidden="false" customHeight="true" outlineLevel="0" collapsed="false">
      <c r="B71" s="45" t="s">
        <v>184</v>
      </c>
      <c r="C71" s="45" t="s">
        <v>144</v>
      </c>
      <c r="D71" s="46" t="s">
        <v>152</v>
      </c>
      <c r="E71" s="45" t="s">
        <v>108</v>
      </c>
      <c r="F71" s="45" t="n">
        <v>4</v>
      </c>
      <c r="G71" s="46" t="s">
        <v>176</v>
      </c>
      <c r="H71" s="45" t="s">
        <v>110</v>
      </c>
      <c r="I71" s="45" t="n">
        <v>4000</v>
      </c>
      <c r="J71" s="45" t="n">
        <f aca="false">ROUND(PI()*125*I71/60000,2)</f>
        <v>26.18</v>
      </c>
      <c r="K71" s="45" t="n">
        <v>55</v>
      </c>
      <c r="L71" s="45" t="n">
        <v>78</v>
      </c>
      <c r="M71" s="45" t="n">
        <v>38</v>
      </c>
      <c r="N71" s="45" t="n">
        <v>0.42</v>
      </c>
      <c r="O71" s="46" t="s">
        <v>32</v>
      </c>
      <c r="P71" s="47" t="s">
        <v>129</v>
      </c>
    </row>
    <row r="73" customFormat="false" ht="18" hidden="false" customHeight="true" outlineLevel="0" collapsed="false">
      <c r="B73" s="44" t="s">
        <v>185</v>
      </c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</row>
    <row r="74" customFormat="false" ht="31.5" hidden="false" customHeight="true" outlineLevel="0" collapsed="false">
      <c r="B74" s="36" t="s">
        <v>93</v>
      </c>
      <c r="C74" s="36" t="s">
        <v>94</v>
      </c>
      <c r="D74" s="36" t="s">
        <v>95</v>
      </c>
      <c r="E74" s="36" t="s">
        <v>96</v>
      </c>
      <c r="F74" s="36" t="s">
        <v>38</v>
      </c>
      <c r="G74" s="36" t="s">
        <v>97</v>
      </c>
      <c r="H74" s="36" t="s">
        <v>98</v>
      </c>
      <c r="I74" s="37" t="s">
        <v>99</v>
      </c>
      <c r="J74" s="36" t="s">
        <v>100</v>
      </c>
      <c r="K74" s="37" t="s">
        <v>101</v>
      </c>
      <c r="L74" s="37" t="s">
        <v>102</v>
      </c>
      <c r="M74" s="37" t="s">
        <v>103</v>
      </c>
      <c r="N74" s="37" t="s">
        <v>104</v>
      </c>
      <c r="O74" s="36" t="s">
        <v>47</v>
      </c>
      <c r="P74" s="36" t="s">
        <v>48</v>
      </c>
    </row>
    <row r="75" customFormat="false" ht="15.75" hidden="false" customHeight="true" outlineLevel="0" collapsed="false">
      <c r="B75" s="45" t="s">
        <v>186</v>
      </c>
      <c r="C75" s="45" t="s">
        <v>126</v>
      </c>
      <c r="D75" s="46" t="s">
        <v>165</v>
      </c>
      <c r="E75" s="45" t="s">
        <v>108</v>
      </c>
      <c r="F75" s="45" t="n">
        <v>4</v>
      </c>
      <c r="G75" s="46" t="s">
        <v>176</v>
      </c>
      <c r="H75" s="45" t="s">
        <v>110</v>
      </c>
      <c r="I75" s="45" t="n">
        <v>3820</v>
      </c>
      <c r="J75" s="45" t="n">
        <f aca="false">ROUND(PI()*125*I75/60000,2)</f>
        <v>25</v>
      </c>
      <c r="K75" s="45" t="n">
        <v>18</v>
      </c>
      <c r="L75" s="45" t="n">
        <v>20</v>
      </c>
      <c r="M75" s="45" t="n">
        <v>14</v>
      </c>
      <c r="N75" s="45" t="n">
        <v>0.25</v>
      </c>
      <c r="O75" s="46" t="s">
        <v>32</v>
      </c>
      <c r="P75" s="47" t="s">
        <v>129</v>
      </c>
    </row>
    <row r="76" customFormat="false" ht="15.75" hidden="false" customHeight="true" outlineLevel="0" collapsed="false">
      <c r="B76" s="45" t="s">
        <v>187</v>
      </c>
      <c r="C76" s="45" t="s">
        <v>131</v>
      </c>
      <c r="D76" s="46" t="s">
        <v>165</v>
      </c>
      <c r="E76" s="45" t="s">
        <v>108</v>
      </c>
      <c r="F76" s="45" t="n">
        <v>4</v>
      </c>
      <c r="G76" s="46" t="s">
        <v>176</v>
      </c>
      <c r="H76" s="45" t="s">
        <v>110</v>
      </c>
      <c r="I76" s="45" t="n">
        <v>3820</v>
      </c>
      <c r="J76" s="45" t="n">
        <f aca="false">ROUND(PI()*125*I76/60000,2)</f>
        <v>25</v>
      </c>
      <c r="K76" s="45" t="n">
        <v>18</v>
      </c>
      <c r="L76" s="45" t="n">
        <v>20</v>
      </c>
      <c r="M76" s="45" t="n">
        <v>14</v>
      </c>
      <c r="N76" s="45" t="n">
        <v>0.25</v>
      </c>
      <c r="O76" s="46" t="s">
        <v>32</v>
      </c>
      <c r="P76" s="47" t="s">
        <v>129</v>
      </c>
    </row>
    <row r="77" customFormat="false" ht="15.75" hidden="false" customHeight="true" outlineLevel="0" collapsed="false">
      <c r="B77" s="45" t="s">
        <v>188</v>
      </c>
      <c r="C77" s="45" t="s">
        <v>133</v>
      </c>
      <c r="D77" s="46" t="s">
        <v>165</v>
      </c>
      <c r="E77" s="45" t="s">
        <v>108</v>
      </c>
      <c r="F77" s="45" t="n">
        <v>4</v>
      </c>
      <c r="G77" s="46" t="s">
        <v>176</v>
      </c>
      <c r="H77" s="45" t="s">
        <v>110</v>
      </c>
      <c r="I77" s="45" t="n">
        <v>3820</v>
      </c>
      <c r="J77" s="45" t="n">
        <f aca="false">ROUND(PI()*125*I77/60000,2)</f>
        <v>25</v>
      </c>
      <c r="K77" s="45" t="n">
        <v>25</v>
      </c>
      <c r="L77" s="45" t="n">
        <v>28</v>
      </c>
      <c r="M77" s="45" t="n">
        <v>18</v>
      </c>
      <c r="N77" s="45" t="n">
        <v>0.25</v>
      </c>
      <c r="O77" s="46" t="s">
        <v>32</v>
      </c>
      <c r="P77" s="47" t="s">
        <v>129</v>
      </c>
    </row>
    <row r="78" customFormat="false" ht="15.75" hidden="false" customHeight="true" outlineLevel="0" collapsed="false">
      <c r="B78" s="45" t="s">
        <v>105</v>
      </c>
      <c r="C78" s="45" t="s">
        <v>106</v>
      </c>
      <c r="D78" s="46" t="s">
        <v>165</v>
      </c>
      <c r="E78" s="45" t="s">
        <v>108</v>
      </c>
      <c r="F78" s="45" t="n">
        <v>4</v>
      </c>
      <c r="G78" s="46" t="s">
        <v>176</v>
      </c>
      <c r="H78" s="45" t="s">
        <v>110</v>
      </c>
      <c r="I78" s="45" t="n">
        <v>3820</v>
      </c>
      <c r="J78" s="45" t="n">
        <f aca="false">ROUND(PI()*125*I78/60000,2)</f>
        <v>25</v>
      </c>
      <c r="K78" s="45" t="n">
        <v>25</v>
      </c>
      <c r="L78" s="45" t="n">
        <v>28</v>
      </c>
      <c r="M78" s="45" t="n">
        <v>18</v>
      </c>
      <c r="N78" s="45" t="n">
        <v>0.32</v>
      </c>
      <c r="O78" s="46" t="s">
        <v>32</v>
      </c>
      <c r="P78" s="47" t="s">
        <v>129</v>
      </c>
    </row>
    <row r="79" customFormat="false" ht="15.75" hidden="false" customHeight="true" outlineLevel="0" collapsed="false">
      <c r="B79" s="45" t="s">
        <v>189</v>
      </c>
      <c r="C79" s="45" t="s">
        <v>136</v>
      </c>
      <c r="D79" s="46" t="s">
        <v>165</v>
      </c>
      <c r="E79" s="45" t="s">
        <v>108</v>
      </c>
      <c r="F79" s="45" t="n">
        <v>4</v>
      </c>
      <c r="G79" s="46" t="s">
        <v>176</v>
      </c>
      <c r="H79" s="45" t="s">
        <v>110</v>
      </c>
      <c r="I79" s="45" t="n">
        <v>3820</v>
      </c>
      <c r="J79" s="45" t="n">
        <f aca="false">ROUND(PI()*125*I79/60000,2)</f>
        <v>25</v>
      </c>
      <c r="K79" s="45" t="n">
        <v>28</v>
      </c>
      <c r="L79" s="45" t="n">
        <v>30</v>
      </c>
      <c r="M79" s="45" t="n">
        <v>20</v>
      </c>
      <c r="N79" s="45" t="n">
        <v>0.32</v>
      </c>
      <c r="O79" s="46" t="s">
        <v>32</v>
      </c>
      <c r="P79" s="47" t="s">
        <v>129</v>
      </c>
    </row>
    <row r="80" customFormat="false" ht="15.75" hidden="false" customHeight="true" outlineLevel="0" collapsed="false">
      <c r="B80" s="45" t="s">
        <v>190</v>
      </c>
      <c r="C80" s="45" t="s">
        <v>138</v>
      </c>
      <c r="D80" s="46" t="s">
        <v>165</v>
      </c>
      <c r="E80" s="45" t="s">
        <v>108</v>
      </c>
      <c r="F80" s="45" t="n">
        <v>4</v>
      </c>
      <c r="G80" s="46" t="s">
        <v>176</v>
      </c>
      <c r="H80" s="45" t="s">
        <v>110</v>
      </c>
      <c r="I80" s="45" t="n">
        <v>3820</v>
      </c>
      <c r="J80" s="45" t="n">
        <f aca="false">ROUND(PI()*125*I80/60000,2)</f>
        <v>25</v>
      </c>
      <c r="K80" s="45" t="n">
        <v>28</v>
      </c>
      <c r="L80" s="45" t="n">
        <v>30</v>
      </c>
      <c r="M80" s="45" t="n">
        <v>20</v>
      </c>
      <c r="N80" s="45" t="n">
        <v>0.32</v>
      </c>
      <c r="O80" s="46" t="s">
        <v>32</v>
      </c>
      <c r="P80" s="47" t="s">
        <v>129</v>
      </c>
    </row>
    <row r="81" customFormat="false" ht="15.75" hidden="false" customHeight="true" outlineLevel="0" collapsed="false">
      <c r="B81" s="45" t="s">
        <v>191</v>
      </c>
      <c r="C81" s="45" t="s">
        <v>140</v>
      </c>
      <c r="D81" s="46" t="s">
        <v>165</v>
      </c>
      <c r="E81" s="45" t="s">
        <v>108</v>
      </c>
      <c r="F81" s="45" t="n">
        <v>4</v>
      </c>
      <c r="G81" s="46" t="s">
        <v>176</v>
      </c>
      <c r="H81" s="45" t="s">
        <v>110</v>
      </c>
      <c r="I81" s="45" t="n">
        <v>3820</v>
      </c>
      <c r="J81" s="45" t="n">
        <f aca="false">ROUND(PI()*125*I81/60000,2)</f>
        <v>25</v>
      </c>
      <c r="K81" s="45" t="n">
        <v>30</v>
      </c>
      <c r="L81" s="45" t="n">
        <v>32</v>
      </c>
      <c r="M81" s="45" t="n">
        <v>22</v>
      </c>
      <c r="N81" s="45" t="n">
        <v>0.4</v>
      </c>
      <c r="O81" s="46" t="s">
        <v>32</v>
      </c>
      <c r="P81" s="47" t="s">
        <v>129</v>
      </c>
    </row>
    <row r="82" customFormat="false" ht="15.75" hidden="false" customHeight="true" outlineLevel="0" collapsed="false">
      <c r="B82" s="45" t="s">
        <v>192</v>
      </c>
      <c r="C82" s="45" t="s">
        <v>142</v>
      </c>
      <c r="D82" s="46" t="s">
        <v>165</v>
      </c>
      <c r="E82" s="45" t="s">
        <v>108</v>
      </c>
      <c r="F82" s="45" t="n">
        <v>4</v>
      </c>
      <c r="G82" s="46" t="s">
        <v>176</v>
      </c>
      <c r="H82" s="45" t="s">
        <v>110</v>
      </c>
      <c r="I82" s="45" t="n">
        <v>3820</v>
      </c>
      <c r="J82" s="45" t="n">
        <f aca="false">ROUND(PI()*125*I82/60000,2)</f>
        <v>25</v>
      </c>
      <c r="K82" s="45" t="n">
        <v>30</v>
      </c>
      <c r="L82" s="45" t="n">
        <v>32</v>
      </c>
      <c r="M82" s="45" t="n">
        <v>22</v>
      </c>
      <c r="N82" s="45" t="n">
        <v>0.4</v>
      </c>
      <c r="O82" s="46" t="s">
        <v>32</v>
      </c>
      <c r="P82" s="47" t="s">
        <v>129</v>
      </c>
    </row>
    <row r="83" customFormat="false" ht="15.75" hidden="false" customHeight="true" outlineLevel="0" collapsed="false">
      <c r="B83" s="45" t="s">
        <v>193</v>
      </c>
      <c r="C83" s="45" t="s">
        <v>144</v>
      </c>
      <c r="D83" s="46" t="s">
        <v>165</v>
      </c>
      <c r="E83" s="45" t="s">
        <v>108</v>
      </c>
      <c r="F83" s="45" t="n">
        <v>4</v>
      </c>
      <c r="G83" s="46" t="s">
        <v>176</v>
      </c>
      <c r="H83" s="45" t="s">
        <v>110</v>
      </c>
      <c r="I83" s="45" t="n">
        <v>3820</v>
      </c>
      <c r="J83" s="45" t="n">
        <f aca="false">ROUND(PI()*125*I83/60000,2)</f>
        <v>25</v>
      </c>
      <c r="K83" s="45" t="n">
        <v>30</v>
      </c>
      <c r="L83" s="45" t="n">
        <v>32</v>
      </c>
      <c r="M83" s="45" t="n">
        <v>22</v>
      </c>
      <c r="N83" s="45" t="n">
        <v>0.4</v>
      </c>
      <c r="O83" s="46" t="s">
        <v>32</v>
      </c>
      <c r="P83" s="47" t="s">
        <v>129</v>
      </c>
    </row>
    <row r="85" customFormat="false" ht="18" hidden="false" customHeight="true" outlineLevel="0" collapsed="false">
      <c r="B85" s="48" t="s">
        <v>194</v>
      </c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</row>
  </sheetData>
  <mergeCells count="12">
    <mergeCell ref="B1:P1"/>
    <mergeCell ref="B2:P2"/>
    <mergeCell ref="B3:P3"/>
    <mergeCell ref="B8:P8"/>
    <mergeCell ref="B12:P12"/>
    <mergeCell ref="B13:P13"/>
    <mergeCell ref="B25:P25"/>
    <mergeCell ref="B37:P37"/>
    <mergeCell ref="B49:P49"/>
    <mergeCell ref="B61:P61"/>
    <mergeCell ref="B73:P73"/>
    <mergeCell ref="B85:P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4" activePane="bottomLeft" state="frozen"/>
      <selection pane="topLeft" activeCell="A1" activeCellId="0" sqref="A1"/>
      <selection pane="bottomLeft" activeCell="A23" activeCellId="0" sqref="A2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42"/>
  </cols>
  <sheetData>
    <row r="1" customFormat="false" ht="18" hidden="false" customHeight="true" outlineLevel="0" collapsed="false">
      <c r="A1" s="49" t="s">
        <v>195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customFormat="false" ht="30" hidden="false" customHeight="true" outlineLevel="0" collapsed="false">
      <c r="A2" s="36" t="s">
        <v>196</v>
      </c>
      <c r="B2" s="36" t="s">
        <v>197</v>
      </c>
      <c r="C2" s="36" t="s">
        <v>198</v>
      </c>
      <c r="D2" s="36" t="s">
        <v>199</v>
      </c>
      <c r="E2" s="36" t="s">
        <v>200</v>
      </c>
      <c r="F2" s="36" t="s">
        <v>97</v>
      </c>
      <c r="G2" s="36" t="s">
        <v>201</v>
      </c>
      <c r="H2" s="37" t="s">
        <v>99</v>
      </c>
      <c r="I2" s="37" t="s">
        <v>202</v>
      </c>
      <c r="J2" s="37" t="s">
        <v>203</v>
      </c>
      <c r="K2" s="37" t="s">
        <v>204</v>
      </c>
      <c r="L2" s="37" t="s">
        <v>205</v>
      </c>
      <c r="M2" s="37" t="s">
        <v>104</v>
      </c>
      <c r="N2" s="36" t="s">
        <v>47</v>
      </c>
      <c r="O2" s="36" t="s">
        <v>48</v>
      </c>
    </row>
    <row r="3" customFormat="false" ht="18" hidden="false" customHeight="true" outlineLevel="0" collapsed="false">
      <c r="A3" s="35" t="s">
        <v>206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customFormat="false" ht="15.75" hidden="false" customHeight="true" outlineLevel="0" collapsed="false">
      <c r="A4" s="38" t="s">
        <v>105</v>
      </c>
      <c r="B4" s="38" t="s">
        <v>106</v>
      </c>
      <c r="C4" s="39" t="s">
        <v>107</v>
      </c>
      <c r="D4" s="38" t="s">
        <v>108</v>
      </c>
      <c r="E4" s="38" t="n">
        <v>4</v>
      </c>
      <c r="F4" s="39" t="s">
        <v>207</v>
      </c>
      <c r="G4" s="38" t="s">
        <v>208</v>
      </c>
      <c r="H4" s="38" t="n">
        <v>3850</v>
      </c>
      <c r="I4" s="38" t="n">
        <f aca="false">ROUND(PI()*125*H4/60000,2)</f>
        <v>25.2</v>
      </c>
      <c r="J4" s="38" t="n">
        <v>25</v>
      </c>
      <c r="K4" s="38" t="n">
        <v>28</v>
      </c>
      <c r="L4" s="38" t="n">
        <v>18</v>
      </c>
      <c r="M4" s="38" t="n">
        <v>0.3</v>
      </c>
      <c r="N4" s="39" t="s">
        <v>26</v>
      </c>
      <c r="O4" s="50" t="s">
        <v>209</v>
      </c>
    </row>
    <row r="5" customFormat="false" ht="15.75" hidden="false" customHeight="true" outlineLevel="0" collapsed="false">
      <c r="A5" s="38" t="s">
        <v>112</v>
      </c>
      <c r="B5" s="38" t="s">
        <v>113</v>
      </c>
      <c r="C5" s="39" t="s">
        <v>114</v>
      </c>
      <c r="D5" s="38" t="s">
        <v>115</v>
      </c>
      <c r="E5" s="38" t="n">
        <v>2</v>
      </c>
      <c r="F5" s="39" t="s">
        <v>210</v>
      </c>
      <c r="G5" s="38" t="s">
        <v>211</v>
      </c>
      <c r="H5" s="38" t="n">
        <v>3200</v>
      </c>
      <c r="I5" s="38" t="n">
        <f aca="false">ROUND(PI()*125*H5/60000,2)</f>
        <v>20.94</v>
      </c>
      <c r="J5" s="38" t="n">
        <v>100</v>
      </c>
      <c r="K5" s="38" t="n">
        <v>180</v>
      </c>
      <c r="L5" s="38" t="s">
        <v>118</v>
      </c>
      <c r="M5" s="38" t="n">
        <v>0.38</v>
      </c>
      <c r="N5" s="39" t="s">
        <v>26</v>
      </c>
      <c r="O5" s="50" t="s">
        <v>212</v>
      </c>
    </row>
    <row r="7" customFormat="false" ht="18" hidden="false" customHeight="true" outlineLevel="0" collapsed="false">
      <c r="A7" s="35" t="s">
        <v>213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customFormat="false" ht="15.75" hidden="false" customHeight="true" outlineLevel="0" collapsed="false">
      <c r="A8" s="41" t="s">
        <v>121</v>
      </c>
      <c r="B8" s="41" t="s">
        <v>113</v>
      </c>
      <c r="C8" s="42" t="s">
        <v>107</v>
      </c>
      <c r="D8" s="41" t="s">
        <v>108</v>
      </c>
      <c r="E8" s="41" t="n">
        <v>4</v>
      </c>
      <c r="F8" s="42" t="s">
        <v>207</v>
      </c>
      <c r="G8" s="41" t="s">
        <v>208</v>
      </c>
      <c r="H8" s="41" t="n">
        <v>3200</v>
      </c>
      <c r="I8" s="41" t="n">
        <f aca="false">ROUND(PI()*125*H8/60000,2)</f>
        <v>20.94</v>
      </c>
      <c r="J8" s="41" t="n">
        <v>25</v>
      </c>
      <c r="K8" s="41" t="n">
        <v>22</v>
      </c>
      <c r="L8" s="41" t="n">
        <v>18</v>
      </c>
      <c r="M8" s="41" t="n">
        <v>0.32</v>
      </c>
      <c r="N8" s="42" t="s">
        <v>29</v>
      </c>
      <c r="O8" s="43" t="s">
        <v>214</v>
      </c>
    </row>
    <row r="10" customFormat="false" ht="18" hidden="false" customHeight="true" outlineLevel="0" collapsed="false">
      <c r="A10" s="35" t="s">
        <v>215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customFormat="false" ht="18" hidden="false" customHeight="true" outlineLevel="0" collapsed="false">
      <c r="A11" s="51" t="s">
        <v>216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customFormat="false" ht="15.75" hidden="false" customHeight="true" outlineLevel="0" collapsed="false">
      <c r="A12" s="45" t="s">
        <v>125</v>
      </c>
      <c r="B12" s="45" t="s">
        <v>126</v>
      </c>
      <c r="C12" s="46" t="s">
        <v>127</v>
      </c>
      <c r="D12" s="45" t="s">
        <v>115</v>
      </c>
      <c r="E12" s="45" t="n">
        <v>2</v>
      </c>
      <c r="F12" s="46" t="s">
        <v>217</v>
      </c>
      <c r="G12" s="45" t="s">
        <v>218</v>
      </c>
      <c r="H12" s="45" t="n">
        <v>3200</v>
      </c>
      <c r="I12" s="45" t="n">
        <f aca="false">ROUND(PI()*125*H12/60000,2)</f>
        <v>20.94</v>
      </c>
      <c r="J12" s="45" t="n">
        <v>25</v>
      </c>
      <c r="K12" s="45" t="n">
        <v>60</v>
      </c>
      <c r="L12" s="45" t="n">
        <v>20</v>
      </c>
      <c r="M12" s="45" t="n">
        <v>0.28</v>
      </c>
      <c r="N12" s="46" t="s">
        <v>32</v>
      </c>
      <c r="O12" s="47" t="s">
        <v>219</v>
      </c>
    </row>
    <row r="13" customFormat="false" ht="15.75" hidden="false" customHeight="true" outlineLevel="0" collapsed="false">
      <c r="A13" s="45" t="s">
        <v>220</v>
      </c>
      <c r="B13" s="45" t="s">
        <v>221</v>
      </c>
      <c r="C13" s="46" t="s">
        <v>127</v>
      </c>
      <c r="D13" s="45" t="s">
        <v>115</v>
      </c>
      <c r="E13" s="45" t="n">
        <v>2</v>
      </c>
      <c r="F13" s="46" t="s">
        <v>217</v>
      </c>
      <c r="G13" s="45" t="s">
        <v>218</v>
      </c>
      <c r="H13" s="45" t="n">
        <v>3200</v>
      </c>
      <c r="I13" s="45" t="n">
        <f aca="false">ROUND(PI()*125*H13/60000,2)</f>
        <v>20.94</v>
      </c>
      <c r="J13" s="45" t="n">
        <v>25</v>
      </c>
      <c r="K13" s="45" t="n">
        <v>60</v>
      </c>
      <c r="L13" s="45" t="n">
        <v>20</v>
      </c>
      <c r="M13" s="45" t="n">
        <v>0.28</v>
      </c>
      <c r="N13" s="46" t="s">
        <v>32</v>
      </c>
      <c r="O13" s="47" t="s">
        <v>219</v>
      </c>
    </row>
    <row r="14" customFormat="false" ht="15.75" hidden="false" customHeight="true" outlineLevel="0" collapsed="false">
      <c r="A14" s="45" t="s">
        <v>130</v>
      </c>
      <c r="B14" s="45" t="s">
        <v>131</v>
      </c>
      <c r="C14" s="46" t="s">
        <v>127</v>
      </c>
      <c r="D14" s="45" t="s">
        <v>115</v>
      </c>
      <c r="E14" s="45" t="n">
        <v>2</v>
      </c>
      <c r="F14" s="46" t="s">
        <v>217</v>
      </c>
      <c r="G14" s="45" t="s">
        <v>218</v>
      </c>
      <c r="H14" s="45" t="n">
        <v>3200</v>
      </c>
      <c r="I14" s="45" t="n">
        <f aca="false">ROUND(PI()*125*H14/60000,2)</f>
        <v>20.94</v>
      </c>
      <c r="J14" s="45" t="n">
        <v>25</v>
      </c>
      <c r="K14" s="45" t="n">
        <v>60</v>
      </c>
      <c r="L14" s="45" t="n">
        <v>20</v>
      </c>
      <c r="M14" s="45" t="n">
        <v>0.28</v>
      </c>
      <c r="N14" s="46" t="s">
        <v>32</v>
      </c>
      <c r="O14" s="47" t="s">
        <v>219</v>
      </c>
    </row>
    <row r="15" customFormat="false" ht="15.75" hidden="false" customHeight="true" outlineLevel="0" collapsed="false">
      <c r="A15" s="45" t="s">
        <v>132</v>
      </c>
      <c r="B15" s="45" t="s">
        <v>133</v>
      </c>
      <c r="C15" s="46" t="s">
        <v>127</v>
      </c>
      <c r="D15" s="45" t="s">
        <v>115</v>
      </c>
      <c r="E15" s="45" t="n">
        <v>2</v>
      </c>
      <c r="F15" s="46" t="s">
        <v>217</v>
      </c>
      <c r="G15" s="45" t="s">
        <v>218</v>
      </c>
      <c r="H15" s="45" t="n">
        <v>3200</v>
      </c>
      <c r="I15" s="45" t="n">
        <f aca="false">ROUND(PI()*125*H15/60000,2)</f>
        <v>20.94</v>
      </c>
      <c r="J15" s="45" t="n">
        <v>40</v>
      </c>
      <c r="K15" s="45" t="n">
        <v>90</v>
      </c>
      <c r="L15" s="45" t="n">
        <v>30</v>
      </c>
      <c r="M15" s="45" t="n">
        <v>0.28</v>
      </c>
      <c r="N15" s="46" t="s">
        <v>32</v>
      </c>
      <c r="O15" s="47" t="s">
        <v>219</v>
      </c>
    </row>
    <row r="16" customFormat="false" ht="15.75" hidden="false" customHeight="true" outlineLevel="0" collapsed="false">
      <c r="A16" s="45" t="s">
        <v>222</v>
      </c>
      <c r="B16" s="45" t="s">
        <v>223</v>
      </c>
      <c r="C16" s="46" t="s">
        <v>127</v>
      </c>
      <c r="D16" s="45" t="s">
        <v>115</v>
      </c>
      <c r="E16" s="45" t="n">
        <v>2</v>
      </c>
      <c r="F16" s="46" t="s">
        <v>217</v>
      </c>
      <c r="G16" s="45" t="s">
        <v>218</v>
      </c>
      <c r="H16" s="45" t="n">
        <v>3200</v>
      </c>
      <c r="I16" s="45" t="n">
        <f aca="false">ROUND(PI()*125*H16/60000,2)</f>
        <v>20.94</v>
      </c>
      <c r="J16" s="45" t="n">
        <v>40</v>
      </c>
      <c r="K16" s="45" t="n">
        <v>90</v>
      </c>
      <c r="L16" s="45" t="n">
        <v>30</v>
      </c>
      <c r="M16" s="45" t="n">
        <v>0.28</v>
      </c>
      <c r="N16" s="46" t="s">
        <v>32</v>
      </c>
      <c r="O16" s="47" t="s">
        <v>219</v>
      </c>
    </row>
    <row r="17" customFormat="false" ht="15.75" hidden="false" customHeight="true" outlineLevel="0" collapsed="false">
      <c r="A17" s="45" t="s">
        <v>134</v>
      </c>
      <c r="B17" s="45" t="s">
        <v>106</v>
      </c>
      <c r="C17" s="46" t="s">
        <v>127</v>
      </c>
      <c r="D17" s="45" t="s">
        <v>115</v>
      </c>
      <c r="E17" s="45" t="n">
        <v>2</v>
      </c>
      <c r="F17" s="46" t="s">
        <v>217</v>
      </c>
      <c r="G17" s="45" t="s">
        <v>218</v>
      </c>
      <c r="H17" s="45" t="n">
        <v>3200</v>
      </c>
      <c r="I17" s="45" t="n">
        <f aca="false">ROUND(PI()*125*H17/60000,2)</f>
        <v>20.94</v>
      </c>
      <c r="J17" s="45" t="n">
        <v>70</v>
      </c>
      <c r="K17" s="45" t="n">
        <v>140</v>
      </c>
      <c r="L17" s="45" t="n">
        <v>45</v>
      </c>
      <c r="M17" s="45" t="n">
        <v>0.35</v>
      </c>
      <c r="N17" s="46" t="s">
        <v>32</v>
      </c>
      <c r="O17" s="47" t="s">
        <v>219</v>
      </c>
    </row>
    <row r="18" customFormat="false" ht="15.75" hidden="false" customHeight="true" outlineLevel="0" collapsed="false">
      <c r="A18" s="45" t="s">
        <v>135</v>
      </c>
      <c r="B18" s="45" t="s">
        <v>136</v>
      </c>
      <c r="C18" s="46" t="s">
        <v>127</v>
      </c>
      <c r="D18" s="45" t="s">
        <v>115</v>
      </c>
      <c r="E18" s="45" t="n">
        <v>2</v>
      </c>
      <c r="F18" s="46" t="s">
        <v>217</v>
      </c>
      <c r="G18" s="45" t="s">
        <v>218</v>
      </c>
      <c r="H18" s="45" t="n">
        <v>3200</v>
      </c>
      <c r="I18" s="45" t="n">
        <f aca="false">ROUND(PI()*125*H18/60000,2)</f>
        <v>20.94</v>
      </c>
      <c r="J18" s="45" t="n">
        <v>85</v>
      </c>
      <c r="K18" s="45" t="n">
        <v>160</v>
      </c>
      <c r="L18" s="45" t="n">
        <v>55</v>
      </c>
      <c r="M18" s="45" t="n">
        <v>0.35</v>
      </c>
      <c r="N18" s="46" t="s">
        <v>32</v>
      </c>
      <c r="O18" s="47" t="s">
        <v>219</v>
      </c>
    </row>
    <row r="19" customFormat="false" ht="15.75" hidden="false" customHeight="true" outlineLevel="0" collapsed="false">
      <c r="A19" s="45" t="s">
        <v>137</v>
      </c>
      <c r="B19" s="45" t="s">
        <v>138</v>
      </c>
      <c r="C19" s="46" t="s">
        <v>127</v>
      </c>
      <c r="D19" s="45" t="s">
        <v>115</v>
      </c>
      <c r="E19" s="45" t="n">
        <v>2</v>
      </c>
      <c r="F19" s="46" t="s">
        <v>217</v>
      </c>
      <c r="G19" s="45" t="s">
        <v>218</v>
      </c>
      <c r="H19" s="45" t="n">
        <v>3200</v>
      </c>
      <c r="I19" s="45" t="n">
        <f aca="false">ROUND(PI()*125*H19/60000,2)</f>
        <v>20.94</v>
      </c>
      <c r="J19" s="45" t="n">
        <v>85</v>
      </c>
      <c r="K19" s="45" t="n">
        <v>160</v>
      </c>
      <c r="L19" s="45" t="n">
        <v>55</v>
      </c>
      <c r="M19" s="45" t="n">
        <v>0.35</v>
      </c>
      <c r="N19" s="46" t="s">
        <v>32</v>
      </c>
      <c r="O19" s="47" t="s">
        <v>219</v>
      </c>
    </row>
    <row r="20" customFormat="false" ht="15.75" hidden="false" customHeight="true" outlineLevel="0" collapsed="false">
      <c r="A20" s="45" t="s">
        <v>141</v>
      </c>
      <c r="B20" s="45" t="s">
        <v>142</v>
      </c>
      <c r="C20" s="46" t="s">
        <v>127</v>
      </c>
      <c r="D20" s="45" t="s">
        <v>115</v>
      </c>
      <c r="E20" s="45" t="n">
        <v>2</v>
      </c>
      <c r="F20" s="46" t="s">
        <v>217</v>
      </c>
      <c r="G20" s="45" t="s">
        <v>218</v>
      </c>
      <c r="H20" s="45" t="n">
        <v>3200</v>
      </c>
      <c r="I20" s="45" t="n">
        <f aca="false">ROUND(PI()*125*H20/60000,2)</f>
        <v>20.94</v>
      </c>
      <c r="J20" s="45" t="n">
        <v>100</v>
      </c>
      <c r="K20" s="45" t="n">
        <v>180</v>
      </c>
      <c r="L20" s="45" t="n">
        <v>60</v>
      </c>
      <c r="M20" s="45" t="n">
        <v>0.4</v>
      </c>
      <c r="N20" s="46" t="s">
        <v>32</v>
      </c>
      <c r="O20" s="47" t="s">
        <v>219</v>
      </c>
    </row>
    <row r="21" customFormat="false" ht="15.75" hidden="false" customHeight="true" outlineLevel="0" collapsed="false">
      <c r="A21" s="45" t="s">
        <v>143</v>
      </c>
      <c r="B21" s="45" t="s">
        <v>144</v>
      </c>
      <c r="C21" s="46" t="s">
        <v>127</v>
      </c>
      <c r="D21" s="45" t="s">
        <v>115</v>
      </c>
      <c r="E21" s="45" t="n">
        <v>2</v>
      </c>
      <c r="F21" s="46" t="s">
        <v>217</v>
      </c>
      <c r="G21" s="45" t="s">
        <v>218</v>
      </c>
      <c r="H21" s="45" t="n">
        <v>3200</v>
      </c>
      <c r="I21" s="45" t="n">
        <f aca="false">ROUND(PI()*125*H21/60000,2)</f>
        <v>20.94</v>
      </c>
      <c r="J21" s="45" t="n">
        <v>100</v>
      </c>
      <c r="K21" s="45" t="n">
        <v>180</v>
      </c>
      <c r="L21" s="45" t="n">
        <v>60</v>
      </c>
      <c r="M21" s="45" t="n">
        <v>0.4</v>
      </c>
      <c r="N21" s="46" t="s">
        <v>32</v>
      </c>
      <c r="O21" s="47" t="s">
        <v>219</v>
      </c>
    </row>
    <row r="23" customFormat="false" ht="18" hidden="false" customHeight="true" outlineLevel="0" collapsed="false">
      <c r="A23" s="51" t="s">
        <v>224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customFormat="false" ht="18" hidden="false" customHeight="true" outlineLevel="0" collapsed="false">
      <c r="A24" s="52" t="s">
        <v>225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 customFormat="false" ht="15.75" hidden="false" customHeight="true" outlineLevel="0" collapsed="false">
      <c r="A25" s="45" t="s">
        <v>164</v>
      </c>
      <c r="B25" s="45" t="s">
        <v>126</v>
      </c>
      <c r="C25" s="46" t="s">
        <v>165</v>
      </c>
      <c r="D25" s="45" t="s">
        <v>108</v>
      </c>
      <c r="E25" s="45" t="n">
        <v>2</v>
      </c>
      <c r="F25" s="46" t="s">
        <v>226</v>
      </c>
      <c r="G25" s="53" t="s">
        <v>227</v>
      </c>
      <c r="H25" s="53" t="n">
        <v>4000</v>
      </c>
      <c r="I25" s="53" t="n">
        <f aca="false">ROUND(PI()*125*H25/60000,2)</f>
        <v>26.18</v>
      </c>
      <c r="J25" s="45" t="n">
        <v>18</v>
      </c>
      <c r="K25" s="45" t="n">
        <v>20</v>
      </c>
      <c r="L25" s="45" t="n">
        <v>14</v>
      </c>
      <c r="M25" s="45" t="n">
        <v>0.25</v>
      </c>
      <c r="N25" s="46" t="s">
        <v>32</v>
      </c>
      <c r="O25" s="47" t="s">
        <v>219</v>
      </c>
    </row>
    <row r="26" customFormat="false" ht="15.75" hidden="false" customHeight="true" outlineLevel="0" collapsed="false">
      <c r="A26" s="45" t="s">
        <v>228</v>
      </c>
      <c r="B26" s="45" t="s">
        <v>221</v>
      </c>
      <c r="C26" s="46" t="s">
        <v>165</v>
      </c>
      <c r="D26" s="45" t="s">
        <v>108</v>
      </c>
      <c r="E26" s="45" t="n">
        <v>2</v>
      </c>
      <c r="F26" s="46" t="s">
        <v>226</v>
      </c>
      <c r="G26" s="53" t="s">
        <v>227</v>
      </c>
      <c r="H26" s="53" t="n">
        <v>4000</v>
      </c>
      <c r="I26" s="53" t="n">
        <f aca="false">ROUND(PI()*125*H26/60000,2)</f>
        <v>26.18</v>
      </c>
      <c r="J26" s="45" t="n">
        <v>18</v>
      </c>
      <c r="K26" s="45" t="n">
        <v>20</v>
      </c>
      <c r="L26" s="45" t="n">
        <v>14</v>
      </c>
      <c r="M26" s="45" t="n">
        <v>0.25</v>
      </c>
      <c r="N26" s="46" t="s">
        <v>32</v>
      </c>
      <c r="O26" s="47" t="s">
        <v>219</v>
      </c>
    </row>
    <row r="27" customFormat="false" ht="15.75" hidden="false" customHeight="true" outlineLevel="0" collapsed="false">
      <c r="A27" s="45" t="s">
        <v>166</v>
      </c>
      <c r="B27" s="45" t="s">
        <v>131</v>
      </c>
      <c r="C27" s="46" t="s">
        <v>165</v>
      </c>
      <c r="D27" s="45" t="s">
        <v>108</v>
      </c>
      <c r="E27" s="45" t="n">
        <v>2</v>
      </c>
      <c r="F27" s="46" t="s">
        <v>226</v>
      </c>
      <c r="G27" s="53" t="s">
        <v>227</v>
      </c>
      <c r="H27" s="53" t="n">
        <v>4000</v>
      </c>
      <c r="I27" s="53" t="n">
        <f aca="false">ROUND(PI()*125*H27/60000,2)</f>
        <v>26.18</v>
      </c>
      <c r="J27" s="45" t="n">
        <v>18</v>
      </c>
      <c r="K27" s="45" t="n">
        <v>20</v>
      </c>
      <c r="L27" s="45" t="n">
        <v>14</v>
      </c>
      <c r="M27" s="45" t="n">
        <v>0.25</v>
      </c>
      <c r="N27" s="46" t="s">
        <v>32</v>
      </c>
      <c r="O27" s="47" t="s">
        <v>219</v>
      </c>
    </row>
    <row r="28" customFormat="false" ht="15.75" hidden="false" customHeight="true" outlineLevel="0" collapsed="false">
      <c r="A28" s="45" t="s">
        <v>167</v>
      </c>
      <c r="B28" s="45" t="s">
        <v>133</v>
      </c>
      <c r="C28" s="46" t="s">
        <v>165</v>
      </c>
      <c r="D28" s="45" t="s">
        <v>108</v>
      </c>
      <c r="E28" s="45" t="n">
        <v>2</v>
      </c>
      <c r="F28" s="46" t="s">
        <v>226</v>
      </c>
      <c r="G28" s="53" t="s">
        <v>227</v>
      </c>
      <c r="H28" s="53" t="n">
        <v>4000</v>
      </c>
      <c r="I28" s="53" t="n">
        <f aca="false">ROUND(PI()*125*H28/60000,2)</f>
        <v>26.18</v>
      </c>
      <c r="J28" s="45" t="n">
        <v>20</v>
      </c>
      <c r="K28" s="45" t="n">
        <v>24</v>
      </c>
      <c r="L28" s="45" t="n">
        <v>16</v>
      </c>
      <c r="M28" s="45" t="n">
        <v>0.25</v>
      </c>
      <c r="N28" s="46" t="s">
        <v>32</v>
      </c>
      <c r="O28" s="47" t="s">
        <v>219</v>
      </c>
    </row>
    <row r="29" customFormat="false" ht="15.75" hidden="false" customHeight="true" outlineLevel="0" collapsed="false">
      <c r="A29" s="45" t="s">
        <v>229</v>
      </c>
      <c r="B29" s="45" t="s">
        <v>223</v>
      </c>
      <c r="C29" s="46" t="s">
        <v>165</v>
      </c>
      <c r="D29" s="45" t="s">
        <v>108</v>
      </c>
      <c r="E29" s="45" t="n">
        <v>2</v>
      </c>
      <c r="F29" s="46" t="s">
        <v>226</v>
      </c>
      <c r="G29" s="53" t="s">
        <v>227</v>
      </c>
      <c r="H29" s="53" t="n">
        <v>4000</v>
      </c>
      <c r="I29" s="53" t="n">
        <f aca="false">ROUND(PI()*125*H29/60000,2)</f>
        <v>26.18</v>
      </c>
      <c r="J29" s="45" t="n">
        <v>20</v>
      </c>
      <c r="K29" s="45" t="n">
        <v>24</v>
      </c>
      <c r="L29" s="45" t="n">
        <v>16</v>
      </c>
      <c r="M29" s="45" t="n">
        <v>0.25</v>
      </c>
      <c r="N29" s="46" t="s">
        <v>32</v>
      </c>
      <c r="O29" s="47" t="s">
        <v>219</v>
      </c>
    </row>
    <row r="30" customFormat="false" ht="15.75" hidden="false" customHeight="true" outlineLevel="0" collapsed="false">
      <c r="A30" s="45" t="s">
        <v>168</v>
      </c>
      <c r="B30" s="45" t="s">
        <v>106</v>
      </c>
      <c r="C30" s="46" t="s">
        <v>165</v>
      </c>
      <c r="D30" s="45" t="s">
        <v>108</v>
      </c>
      <c r="E30" s="45" t="n">
        <v>2</v>
      </c>
      <c r="F30" s="46" t="s">
        <v>226</v>
      </c>
      <c r="G30" s="53" t="s">
        <v>227</v>
      </c>
      <c r="H30" s="53" t="n">
        <v>4000</v>
      </c>
      <c r="I30" s="53" t="n">
        <f aca="false">ROUND(PI()*125*H30/60000,2)</f>
        <v>26.18</v>
      </c>
      <c r="J30" s="45" t="n">
        <v>25</v>
      </c>
      <c r="K30" s="45" t="n">
        <v>28</v>
      </c>
      <c r="L30" s="45" t="n">
        <v>18</v>
      </c>
      <c r="M30" s="45" t="n">
        <v>0.32</v>
      </c>
      <c r="N30" s="46" t="s">
        <v>32</v>
      </c>
      <c r="O30" s="47" t="s">
        <v>219</v>
      </c>
    </row>
    <row r="31" customFormat="false" ht="15.75" hidden="false" customHeight="true" outlineLevel="0" collapsed="false">
      <c r="A31" s="45" t="s">
        <v>230</v>
      </c>
      <c r="B31" s="45" t="s">
        <v>113</v>
      </c>
      <c r="C31" s="46" t="s">
        <v>165</v>
      </c>
      <c r="D31" s="45" t="s">
        <v>108</v>
      </c>
      <c r="E31" s="45" t="n">
        <v>2</v>
      </c>
      <c r="F31" s="46" t="s">
        <v>226</v>
      </c>
      <c r="G31" s="53" t="s">
        <v>227</v>
      </c>
      <c r="H31" s="53" t="n">
        <v>4000</v>
      </c>
      <c r="I31" s="53" t="n">
        <f aca="false">ROUND(PI()*125*H31/60000,2)</f>
        <v>26.18</v>
      </c>
      <c r="J31" s="45" t="n">
        <v>25</v>
      </c>
      <c r="K31" s="45" t="n">
        <v>28</v>
      </c>
      <c r="L31" s="45" t="n">
        <v>18</v>
      </c>
      <c r="M31" s="45" t="n">
        <v>0.32</v>
      </c>
      <c r="N31" s="46" t="s">
        <v>32</v>
      </c>
      <c r="O31" s="47" t="s">
        <v>219</v>
      </c>
    </row>
    <row r="32" customFormat="false" ht="15.75" hidden="false" customHeight="true" outlineLevel="0" collapsed="false">
      <c r="A32" s="45" t="s">
        <v>169</v>
      </c>
      <c r="B32" s="45" t="s">
        <v>136</v>
      </c>
      <c r="C32" s="46" t="s">
        <v>165</v>
      </c>
      <c r="D32" s="45" t="s">
        <v>108</v>
      </c>
      <c r="E32" s="45" t="n">
        <v>2</v>
      </c>
      <c r="F32" s="46" t="s">
        <v>226</v>
      </c>
      <c r="G32" s="53" t="s">
        <v>227</v>
      </c>
      <c r="H32" s="53" t="n">
        <v>4000</v>
      </c>
      <c r="I32" s="53" t="n">
        <f aca="false">ROUND(PI()*125*H32/60000,2)</f>
        <v>26.18</v>
      </c>
      <c r="J32" s="45" t="n">
        <v>28</v>
      </c>
      <c r="K32" s="45" t="n">
        <v>30</v>
      </c>
      <c r="L32" s="45" t="n">
        <v>20</v>
      </c>
      <c r="M32" s="45" t="n">
        <v>0.32</v>
      </c>
      <c r="N32" s="46" t="s">
        <v>32</v>
      </c>
      <c r="O32" s="47" t="s">
        <v>219</v>
      </c>
    </row>
    <row r="33" customFormat="false" ht="15.75" hidden="false" customHeight="true" outlineLevel="0" collapsed="false">
      <c r="A33" s="45" t="s">
        <v>170</v>
      </c>
      <c r="B33" s="45" t="s">
        <v>138</v>
      </c>
      <c r="C33" s="46" t="s">
        <v>165</v>
      </c>
      <c r="D33" s="45" t="s">
        <v>108</v>
      </c>
      <c r="E33" s="45" t="n">
        <v>2</v>
      </c>
      <c r="F33" s="46" t="s">
        <v>226</v>
      </c>
      <c r="G33" s="53" t="s">
        <v>227</v>
      </c>
      <c r="H33" s="53" t="n">
        <v>4000</v>
      </c>
      <c r="I33" s="53" t="n">
        <f aca="false">ROUND(PI()*125*H33/60000,2)</f>
        <v>26.18</v>
      </c>
      <c r="J33" s="45" t="n">
        <v>28</v>
      </c>
      <c r="K33" s="45" t="n">
        <v>30</v>
      </c>
      <c r="L33" s="45" t="n">
        <v>20</v>
      </c>
      <c r="M33" s="45" t="n">
        <v>0.32</v>
      </c>
      <c r="N33" s="46" t="s">
        <v>32</v>
      </c>
      <c r="O33" s="47" t="s">
        <v>219</v>
      </c>
    </row>
    <row r="34" customFormat="false" ht="15.75" hidden="false" customHeight="true" outlineLevel="0" collapsed="false">
      <c r="A34" s="45" t="s">
        <v>172</v>
      </c>
      <c r="B34" s="45" t="s">
        <v>142</v>
      </c>
      <c r="C34" s="46" t="s">
        <v>165</v>
      </c>
      <c r="D34" s="45" t="s">
        <v>108</v>
      </c>
      <c r="E34" s="45" t="n">
        <v>2</v>
      </c>
      <c r="F34" s="46" t="s">
        <v>226</v>
      </c>
      <c r="G34" s="53" t="s">
        <v>227</v>
      </c>
      <c r="H34" s="53" t="n">
        <v>4000</v>
      </c>
      <c r="I34" s="53" t="n">
        <f aca="false">ROUND(PI()*125*H34/60000,2)</f>
        <v>26.18</v>
      </c>
      <c r="J34" s="45" t="n">
        <v>30</v>
      </c>
      <c r="K34" s="45" t="n">
        <v>32</v>
      </c>
      <c r="L34" s="45" t="n">
        <v>22</v>
      </c>
      <c r="M34" s="45" t="n">
        <v>0.4</v>
      </c>
      <c r="N34" s="46" t="s">
        <v>32</v>
      </c>
      <c r="O34" s="47" t="s">
        <v>219</v>
      </c>
    </row>
    <row r="35" customFormat="false" ht="15.75" hidden="false" customHeight="true" outlineLevel="0" collapsed="false">
      <c r="A35" s="45" t="s">
        <v>173</v>
      </c>
      <c r="B35" s="45" t="s">
        <v>144</v>
      </c>
      <c r="C35" s="46" t="s">
        <v>165</v>
      </c>
      <c r="D35" s="45" t="s">
        <v>108</v>
      </c>
      <c r="E35" s="45" t="n">
        <v>2</v>
      </c>
      <c r="F35" s="46" t="s">
        <v>226</v>
      </c>
      <c r="G35" s="53" t="s">
        <v>227</v>
      </c>
      <c r="H35" s="53" t="n">
        <v>4000</v>
      </c>
      <c r="I35" s="53" t="n">
        <f aca="false">ROUND(PI()*125*H35/60000,2)</f>
        <v>26.18</v>
      </c>
      <c r="J35" s="45" t="n">
        <v>30</v>
      </c>
      <c r="K35" s="45" t="n">
        <v>32</v>
      </c>
      <c r="L35" s="45" t="n">
        <v>22</v>
      </c>
      <c r="M35" s="45" t="n">
        <v>0.4</v>
      </c>
      <c r="N35" s="46" t="s">
        <v>32</v>
      </c>
      <c r="O35" s="47" t="s">
        <v>219</v>
      </c>
    </row>
    <row r="37" customFormat="false" ht="18" hidden="false" customHeight="true" outlineLevel="0" collapsed="false">
      <c r="A37" s="52" t="s">
        <v>231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</row>
    <row r="38" customFormat="false" ht="15.75" hidden="false" customHeight="true" outlineLevel="0" collapsed="false">
      <c r="A38" s="45" t="s">
        <v>232</v>
      </c>
      <c r="B38" s="45" t="s">
        <v>126</v>
      </c>
      <c r="C38" s="46" t="s">
        <v>165</v>
      </c>
      <c r="D38" s="45" t="s">
        <v>108</v>
      </c>
      <c r="E38" s="45" t="n">
        <v>3</v>
      </c>
      <c r="F38" s="46" t="s">
        <v>226</v>
      </c>
      <c r="G38" s="45" t="s">
        <v>233</v>
      </c>
      <c r="H38" s="45" t="n">
        <v>3820</v>
      </c>
      <c r="I38" s="45" t="n">
        <f aca="false">ROUND(PI()*125*H38/60000,2)</f>
        <v>25</v>
      </c>
      <c r="J38" s="45" t="n">
        <v>18</v>
      </c>
      <c r="K38" s="45" t="n">
        <v>20</v>
      </c>
      <c r="L38" s="45" t="n">
        <v>14</v>
      </c>
      <c r="M38" s="45" t="n">
        <v>0.25</v>
      </c>
      <c r="N38" s="46" t="s">
        <v>32</v>
      </c>
      <c r="O38" s="47" t="s">
        <v>219</v>
      </c>
    </row>
    <row r="39" customFormat="false" ht="15.75" hidden="false" customHeight="true" outlineLevel="0" collapsed="false">
      <c r="A39" s="45" t="s">
        <v>234</v>
      </c>
      <c r="B39" s="45" t="s">
        <v>221</v>
      </c>
      <c r="C39" s="46" t="s">
        <v>165</v>
      </c>
      <c r="D39" s="45" t="s">
        <v>108</v>
      </c>
      <c r="E39" s="45" t="n">
        <v>3</v>
      </c>
      <c r="F39" s="46" t="s">
        <v>226</v>
      </c>
      <c r="G39" s="45" t="s">
        <v>233</v>
      </c>
      <c r="H39" s="45" t="n">
        <v>3820</v>
      </c>
      <c r="I39" s="45" t="n">
        <f aca="false">ROUND(PI()*125*H39/60000,2)</f>
        <v>25</v>
      </c>
      <c r="J39" s="45" t="n">
        <v>18</v>
      </c>
      <c r="K39" s="45" t="n">
        <v>20</v>
      </c>
      <c r="L39" s="45" t="n">
        <v>14</v>
      </c>
      <c r="M39" s="45" t="n">
        <v>0.25</v>
      </c>
      <c r="N39" s="46" t="s">
        <v>32</v>
      </c>
      <c r="O39" s="47" t="s">
        <v>219</v>
      </c>
    </row>
    <row r="40" customFormat="false" ht="15.75" hidden="false" customHeight="true" outlineLevel="0" collapsed="false">
      <c r="A40" s="45" t="s">
        <v>235</v>
      </c>
      <c r="B40" s="45" t="s">
        <v>131</v>
      </c>
      <c r="C40" s="46" t="s">
        <v>165</v>
      </c>
      <c r="D40" s="45" t="s">
        <v>108</v>
      </c>
      <c r="E40" s="45" t="n">
        <v>3</v>
      </c>
      <c r="F40" s="46" t="s">
        <v>226</v>
      </c>
      <c r="G40" s="45" t="s">
        <v>233</v>
      </c>
      <c r="H40" s="45" t="n">
        <v>3820</v>
      </c>
      <c r="I40" s="45" t="n">
        <f aca="false">ROUND(PI()*125*H40/60000,2)</f>
        <v>25</v>
      </c>
      <c r="J40" s="45" t="n">
        <v>18</v>
      </c>
      <c r="K40" s="45" t="n">
        <v>20</v>
      </c>
      <c r="L40" s="45" t="n">
        <v>14</v>
      </c>
      <c r="M40" s="45" t="n">
        <v>0.25</v>
      </c>
      <c r="N40" s="46" t="s">
        <v>32</v>
      </c>
      <c r="O40" s="47" t="s">
        <v>219</v>
      </c>
    </row>
    <row r="41" customFormat="false" ht="15.75" hidden="false" customHeight="true" outlineLevel="0" collapsed="false">
      <c r="A41" s="45" t="s">
        <v>236</v>
      </c>
      <c r="B41" s="45" t="s">
        <v>133</v>
      </c>
      <c r="C41" s="46" t="s">
        <v>165</v>
      </c>
      <c r="D41" s="45" t="s">
        <v>108</v>
      </c>
      <c r="E41" s="45" t="n">
        <v>3</v>
      </c>
      <c r="F41" s="46" t="s">
        <v>226</v>
      </c>
      <c r="G41" s="45" t="s">
        <v>233</v>
      </c>
      <c r="H41" s="45" t="n">
        <v>3820</v>
      </c>
      <c r="I41" s="45" t="n">
        <f aca="false">ROUND(PI()*125*H41/60000,2)</f>
        <v>25</v>
      </c>
      <c r="J41" s="45" t="n">
        <v>20</v>
      </c>
      <c r="K41" s="45" t="n">
        <v>24</v>
      </c>
      <c r="L41" s="45" t="n">
        <v>16</v>
      </c>
      <c r="M41" s="45" t="n">
        <v>0.25</v>
      </c>
      <c r="N41" s="46" t="s">
        <v>32</v>
      </c>
      <c r="O41" s="47" t="s">
        <v>219</v>
      </c>
    </row>
    <row r="42" customFormat="false" ht="15.75" hidden="false" customHeight="true" outlineLevel="0" collapsed="false">
      <c r="A42" s="45" t="s">
        <v>237</v>
      </c>
      <c r="B42" s="45" t="s">
        <v>223</v>
      </c>
      <c r="C42" s="46" t="s">
        <v>165</v>
      </c>
      <c r="D42" s="45" t="s">
        <v>108</v>
      </c>
      <c r="E42" s="45" t="n">
        <v>3</v>
      </c>
      <c r="F42" s="46" t="s">
        <v>226</v>
      </c>
      <c r="G42" s="45" t="s">
        <v>233</v>
      </c>
      <c r="H42" s="45" t="n">
        <v>3820</v>
      </c>
      <c r="I42" s="45" t="n">
        <f aca="false">ROUND(PI()*125*H42/60000,2)</f>
        <v>25</v>
      </c>
      <c r="J42" s="45" t="n">
        <v>20</v>
      </c>
      <c r="K42" s="45" t="n">
        <v>24</v>
      </c>
      <c r="L42" s="45" t="n">
        <v>16</v>
      </c>
      <c r="M42" s="45" t="n">
        <v>0.25</v>
      </c>
      <c r="N42" s="46" t="s">
        <v>32</v>
      </c>
      <c r="O42" s="47" t="s">
        <v>219</v>
      </c>
    </row>
    <row r="43" customFormat="false" ht="15.75" hidden="false" customHeight="true" outlineLevel="0" collapsed="false">
      <c r="A43" s="45" t="s">
        <v>238</v>
      </c>
      <c r="B43" s="45" t="s">
        <v>106</v>
      </c>
      <c r="C43" s="46" t="s">
        <v>165</v>
      </c>
      <c r="D43" s="45" t="s">
        <v>108</v>
      </c>
      <c r="E43" s="45" t="n">
        <v>3</v>
      </c>
      <c r="F43" s="46" t="s">
        <v>226</v>
      </c>
      <c r="G43" s="45" t="s">
        <v>233</v>
      </c>
      <c r="H43" s="45" t="n">
        <v>3820</v>
      </c>
      <c r="I43" s="45" t="n">
        <f aca="false">ROUND(PI()*125*H43/60000,2)</f>
        <v>25</v>
      </c>
      <c r="J43" s="45" t="n">
        <v>25</v>
      </c>
      <c r="K43" s="45" t="n">
        <v>28</v>
      </c>
      <c r="L43" s="45" t="n">
        <v>18</v>
      </c>
      <c r="M43" s="45" t="n">
        <v>0.32</v>
      </c>
      <c r="N43" s="46" t="s">
        <v>32</v>
      </c>
      <c r="O43" s="47" t="s">
        <v>219</v>
      </c>
    </row>
    <row r="44" customFormat="false" ht="15.75" hidden="false" customHeight="true" outlineLevel="0" collapsed="false">
      <c r="A44" s="45" t="s">
        <v>239</v>
      </c>
      <c r="B44" s="45" t="s">
        <v>113</v>
      </c>
      <c r="C44" s="46" t="s">
        <v>165</v>
      </c>
      <c r="D44" s="45" t="s">
        <v>108</v>
      </c>
      <c r="E44" s="45" t="n">
        <v>3</v>
      </c>
      <c r="F44" s="46" t="s">
        <v>226</v>
      </c>
      <c r="G44" s="45" t="s">
        <v>233</v>
      </c>
      <c r="H44" s="45" t="n">
        <v>3820</v>
      </c>
      <c r="I44" s="45" t="n">
        <f aca="false">ROUND(PI()*125*H44/60000,2)</f>
        <v>25</v>
      </c>
      <c r="J44" s="45" t="n">
        <v>25</v>
      </c>
      <c r="K44" s="45" t="n">
        <v>28</v>
      </c>
      <c r="L44" s="45" t="n">
        <v>18</v>
      </c>
      <c r="M44" s="45" t="n">
        <v>0.32</v>
      </c>
      <c r="N44" s="46" t="s">
        <v>32</v>
      </c>
      <c r="O44" s="47" t="s">
        <v>219</v>
      </c>
    </row>
    <row r="45" customFormat="false" ht="15.75" hidden="false" customHeight="true" outlineLevel="0" collapsed="false">
      <c r="A45" s="45" t="s">
        <v>240</v>
      </c>
      <c r="B45" s="45" t="s">
        <v>136</v>
      </c>
      <c r="C45" s="46" t="s">
        <v>165</v>
      </c>
      <c r="D45" s="45" t="s">
        <v>108</v>
      </c>
      <c r="E45" s="45" t="n">
        <v>3</v>
      </c>
      <c r="F45" s="46" t="s">
        <v>226</v>
      </c>
      <c r="G45" s="45" t="s">
        <v>233</v>
      </c>
      <c r="H45" s="45" t="n">
        <v>3820</v>
      </c>
      <c r="I45" s="45" t="n">
        <f aca="false">ROUND(PI()*125*H45/60000,2)</f>
        <v>25</v>
      </c>
      <c r="J45" s="45" t="n">
        <v>28</v>
      </c>
      <c r="K45" s="45" t="n">
        <v>30</v>
      </c>
      <c r="L45" s="45" t="n">
        <v>20</v>
      </c>
      <c r="M45" s="45" t="n">
        <v>0.32</v>
      </c>
      <c r="N45" s="46" t="s">
        <v>32</v>
      </c>
      <c r="O45" s="47" t="s">
        <v>219</v>
      </c>
    </row>
    <row r="46" customFormat="false" ht="15.75" hidden="false" customHeight="true" outlineLevel="0" collapsed="false">
      <c r="A46" s="45" t="s">
        <v>241</v>
      </c>
      <c r="B46" s="45" t="s">
        <v>138</v>
      </c>
      <c r="C46" s="46" t="s">
        <v>165</v>
      </c>
      <c r="D46" s="45" t="s">
        <v>108</v>
      </c>
      <c r="E46" s="45" t="n">
        <v>3</v>
      </c>
      <c r="F46" s="46" t="s">
        <v>226</v>
      </c>
      <c r="G46" s="45" t="s">
        <v>233</v>
      </c>
      <c r="H46" s="45" t="n">
        <v>3820</v>
      </c>
      <c r="I46" s="45" t="n">
        <f aca="false">ROUND(PI()*125*H46/60000,2)</f>
        <v>25</v>
      </c>
      <c r="J46" s="45" t="n">
        <v>28</v>
      </c>
      <c r="K46" s="45" t="n">
        <v>30</v>
      </c>
      <c r="L46" s="45" t="n">
        <v>20</v>
      </c>
      <c r="M46" s="45" t="n">
        <v>0.32</v>
      </c>
      <c r="N46" s="46" t="s">
        <v>32</v>
      </c>
      <c r="O46" s="47" t="s">
        <v>219</v>
      </c>
    </row>
    <row r="47" customFormat="false" ht="15.75" hidden="false" customHeight="true" outlineLevel="0" collapsed="false">
      <c r="A47" s="45" t="s">
        <v>242</v>
      </c>
      <c r="B47" s="45" t="s">
        <v>142</v>
      </c>
      <c r="C47" s="46" t="s">
        <v>165</v>
      </c>
      <c r="D47" s="45" t="s">
        <v>108</v>
      </c>
      <c r="E47" s="45" t="n">
        <v>3</v>
      </c>
      <c r="F47" s="46" t="s">
        <v>226</v>
      </c>
      <c r="G47" s="45" t="s">
        <v>233</v>
      </c>
      <c r="H47" s="45" t="n">
        <v>3820</v>
      </c>
      <c r="I47" s="45" t="n">
        <f aca="false">ROUND(PI()*125*H47/60000,2)</f>
        <v>25</v>
      </c>
      <c r="J47" s="45" t="n">
        <v>30</v>
      </c>
      <c r="K47" s="45" t="n">
        <v>32</v>
      </c>
      <c r="L47" s="45" t="n">
        <v>22</v>
      </c>
      <c r="M47" s="45" t="n">
        <v>0.4</v>
      </c>
      <c r="N47" s="46" t="s">
        <v>32</v>
      </c>
      <c r="O47" s="47" t="s">
        <v>219</v>
      </c>
    </row>
    <row r="48" customFormat="false" ht="15.75" hidden="false" customHeight="true" outlineLevel="0" collapsed="false">
      <c r="A48" s="45" t="s">
        <v>243</v>
      </c>
      <c r="B48" s="45" t="s">
        <v>144</v>
      </c>
      <c r="C48" s="46" t="s">
        <v>165</v>
      </c>
      <c r="D48" s="45" t="s">
        <v>108</v>
      </c>
      <c r="E48" s="45" t="n">
        <v>3</v>
      </c>
      <c r="F48" s="46" t="s">
        <v>226</v>
      </c>
      <c r="G48" s="45" t="s">
        <v>233</v>
      </c>
      <c r="H48" s="45" t="n">
        <v>3820</v>
      </c>
      <c r="I48" s="45" t="n">
        <f aca="false">ROUND(PI()*125*H48/60000,2)</f>
        <v>25</v>
      </c>
      <c r="J48" s="45" t="n">
        <v>30</v>
      </c>
      <c r="K48" s="45" t="n">
        <v>32</v>
      </c>
      <c r="L48" s="45" t="n">
        <v>22</v>
      </c>
      <c r="M48" s="45" t="n">
        <v>0.4</v>
      </c>
      <c r="N48" s="46" t="s">
        <v>32</v>
      </c>
      <c r="O48" s="47" t="s">
        <v>219</v>
      </c>
    </row>
    <row r="50" customFormat="false" ht="18" hidden="false" customHeight="true" outlineLevel="0" collapsed="false">
      <c r="A50" s="52" t="s">
        <v>244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</row>
    <row r="51" customFormat="false" ht="15.75" hidden="false" customHeight="true" outlineLevel="0" collapsed="false">
      <c r="A51" s="45" t="s">
        <v>186</v>
      </c>
      <c r="B51" s="45" t="s">
        <v>126</v>
      </c>
      <c r="C51" s="46" t="s">
        <v>165</v>
      </c>
      <c r="D51" s="45" t="s">
        <v>108</v>
      </c>
      <c r="E51" s="45" t="n">
        <v>4</v>
      </c>
      <c r="F51" s="46" t="s">
        <v>226</v>
      </c>
      <c r="G51" s="45" t="s">
        <v>233</v>
      </c>
      <c r="H51" s="45" t="n">
        <v>3820</v>
      </c>
      <c r="I51" s="45" t="n">
        <f aca="false">ROUND(PI()*125*H51/60000,2)</f>
        <v>25</v>
      </c>
      <c r="J51" s="45" t="n">
        <v>18</v>
      </c>
      <c r="K51" s="45" t="n">
        <v>20</v>
      </c>
      <c r="L51" s="45" t="n">
        <v>14</v>
      </c>
      <c r="M51" s="45" t="n">
        <v>0.25</v>
      </c>
      <c r="N51" s="46" t="s">
        <v>32</v>
      </c>
      <c r="O51" s="47" t="s">
        <v>219</v>
      </c>
    </row>
    <row r="52" customFormat="false" ht="15.75" hidden="false" customHeight="true" outlineLevel="0" collapsed="false">
      <c r="A52" s="45" t="s">
        <v>245</v>
      </c>
      <c r="B52" s="45" t="s">
        <v>221</v>
      </c>
      <c r="C52" s="46" t="s">
        <v>165</v>
      </c>
      <c r="D52" s="45" t="s">
        <v>108</v>
      </c>
      <c r="E52" s="45" t="n">
        <v>4</v>
      </c>
      <c r="F52" s="46" t="s">
        <v>226</v>
      </c>
      <c r="G52" s="45" t="s">
        <v>233</v>
      </c>
      <c r="H52" s="45" t="n">
        <v>3820</v>
      </c>
      <c r="I52" s="45" t="n">
        <f aca="false">ROUND(PI()*125*H52/60000,2)</f>
        <v>25</v>
      </c>
      <c r="J52" s="45" t="n">
        <v>18</v>
      </c>
      <c r="K52" s="45" t="n">
        <v>20</v>
      </c>
      <c r="L52" s="45" t="n">
        <v>14</v>
      </c>
      <c r="M52" s="45" t="n">
        <v>0.25</v>
      </c>
      <c r="N52" s="46" t="s">
        <v>32</v>
      </c>
      <c r="O52" s="47" t="s">
        <v>219</v>
      </c>
    </row>
    <row r="53" customFormat="false" ht="15.75" hidden="false" customHeight="true" outlineLevel="0" collapsed="false">
      <c r="A53" s="45" t="s">
        <v>187</v>
      </c>
      <c r="B53" s="45" t="s">
        <v>131</v>
      </c>
      <c r="C53" s="46" t="s">
        <v>165</v>
      </c>
      <c r="D53" s="45" t="s">
        <v>108</v>
      </c>
      <c r="E53" s="45" t="n">
        <v>4</v>
      </c>
      <c r="F53" s="46" t="s">
        <v>226</v>
      </c>
      <c r="G53" s="45" t="s">
        <v>233</v>
      </c>
      <c r="H53" s="45" t="n">
        <v>3820</v>
      </c>
      <c r="I53" s="45" t="n">
        <f aca="false">ROUND(PI()*125*H53/60000,2)</f>
        <v>25</v>
      </c>
      <c r="J53" s="45" t="n">
        <v>18</v>
      </c>
      <c r="K53" s="45" t="n">
        <v>20</v>
      </c>
      <c r="L53" s="45" t="n">
        <v>14</v>
      </c>
      <c r="M53" s="45" t="n">
        <v>0.25</v>
      </c>
      <c r="N53" s="46" t="s">
        <v>32</v>
      </c>
      <c r="O53" s="47" t="s">
        <v>219</v>
      </c>
    </row>
    <row r="54" customFormat="false" ht="15.75" hidden="false" customHeight="true" outlineLevel="0" collapsed="false">
      <c r="A54" s="45" t="s">
        <v>188</v>
      </c>
      <c r="B54" s="45" t="s">
        <v>133</v>
      </c>
      <c r="C54" s="46" t="s">
        <v>165</v>
      </c>
      <c r="D54" s="45" t="s">
        <v>108</v>
      </c>
      <c r="E54" s="45" t="n">
        <v>4</v>
      </c>
      <c r="F54" s="46" t="s">
        <v>226</v>
      </c>
      <c r="G54" s="45" t="s">
        <v>233</v>
      </c>
      <c r="H54" s="45" t="n">
        <v>3820</v>
      </c>
      <c r="I54" s="45" t="n">
        <f aca="false">ROUND(PI()*125*H54/60000,2)</f>
        <v>25</v>
      </c>
      <c r="J54" s="45" t="n">
        <v>20</v>
      </c>
      <c r="K54" s="45" t="n">
        <v>24</v>
      </c>
      <c r="L54" s="45" t="n">
        <v>16</v>
      </c>
      <c r="M54" s="45" t="n">
        <v>0.25</v>
      </c>
      <c r="N54" s="46" t="s">
        <v>32</v>
      </c>
      <c r="O54" s="47" t="s">
        <v>219</v>
      </c>
    </row>
    <row r="55" customFormat="false" ht="15.75" hidden="false" customHeight="true" outlineLevel="0" collapsed="false">
      <c r="A55" s="45" t="s">
        <v>246</v>
      </c>
      <c r="B55" s="45" t="s">
        <v>223</v>
      </c>
      <c r="C55" s="46" t="s">
        <v>165</v>
      </c>
      <c r="D55" s="45" t="s">
        <v>108</v>
      </c>
      <c r="E55" s="45" t="n">
        <v>4</v>
      </c>
      <c r="F55" s="46" t="s">
        <v>226</v>
      </c>
      <c r="G55" s="45" t="s">
        <v>233</v>
      </c>
      <c r="H55" s="45" t="n">
        <v>3820</v>
      </c>
      <c r="I55" s="45" t="n">
        <f aca="false">ROUND(PI()*125*H55/60000,2)</f>
        <v>25</v>
      </c>
      <c r="J55" s="45" t="n">
        <v>20</v>
      </c>
      <c r="K55" s="45" t="n">
        <v>24</v>
      </c>
      <c r="L55" s="45" t="n">
        <v>16</v>
      </c>
      <c r="M55" s="45" t="n">
        <v>0.25</v>
      </c>
      <c r="N55" s="46" t="s">
        <v>32</v>
      </c>
      <c r="O55" s="47" t="s">
        <v>219</v>
      </c>
    </row>
    <row r="56" customFormat="false" ht="15.75" hidden="false" customHeight="true" outlineLevel="0" collapsed="false">
      <c r="A56" s="45" t="s">
        <v>189</v>
      </c>
      <c r="B56" s="45" t="s">
        <v>136</v>
      </c>
      <c r="C56" s="46" t="s">
        <v>165</v>
      </c>
      <c r="D56" s="45" t="s">
        <v>108</v>
      </c>
      <c r="E56" s="45" t="n">
        <v>4</v>
      </c>
      <c r="F56" s="46" t="s">
        <v>226</v>
      </c>
      <c r="G56" s="45" t="s">
        <v>233</v>
      </c>
      <c r="H56" s="45" t="n">
        <v>3820</v>
      </c>
      <c r="I56" s="45" t="n">
        <f aca="false">ROUND(PI()*125*H56/60000,2)</f>
        <v>25</v>
      </c>
      <c r="J56" s="45" t="n">
        <v>28</v>
      </c>
      <c r="K56" s="45" t="n">
        <v>30</v>
      </c>
      <c r="L56" s="45" t="n">
        <v>20</v>
      </c>
      <c r="M56" s="45" t="n">
        <v>0.32</v>
      </c>
      <c r="N56" s="46" t="s">
        <v>32</v>
      </c>
      <c r="O56" s="47" t="s">
        <v>219</v>
      </c>
    </row>
    <row r="57" customFormat="false" ht="15.75" hidden="false" customHeight="true" outlineLevel="0" collapsed="false">
      <c r="A57" s="45" t="s">
        <v>190</v>
      </c>
      <c r="B57" s="45" t="s">
        <v>138</v>
      </c>
      <c r="C57" s="46" t="s">
        <v>165</v>
      </c>
      <c r="D57" s="45" t="s">
        <v>108</v>
      </c>
      <c r="E57" s="45" t="n">
        <v>4</v>
      </c>
      <c r="F57" s="46" t="s">
        <v>226</v>
      </c>
      <c r="G57" s="45" t="s">
        <v>233</v>
      </c>
      <c r="H57" s="45" t="n">
        <v>3820</v>
      </c>
      <c r="I57" s="45" t="n">
        <f aca="false">ROUND(PI()*125*H57/60000,2)</f>
        <v>25</v>
      </c>
      <c r="J57" s="45" t="n">
        <v>28</v>
      </c>
      <c r="K57" s="45" t="n">
        <v>30</v>
      </c>
      <c r="L57" s="45" t="n">
        <v>20</v>
      </c>
      <c r="M57" s="45" t="n">
        <v>0.32</v>
      </c>
      <c r="N57" s="46" t="s">
        <v>32</v>
      </c>
      <c r="O57" s="47" t="s">
        <v>219</v>
      </c>
    </row>
    <row r="58" customFormat="false" ht="15.75" hidden="false" customHeight="true" outlineLevel="0" collapsed="false">
      <c r="A58" s="45" t="s">
        <v>192</v>
      </c>
      <c r="B58" s="45" t="s">
        <v>142</v>
      </c>
      <c r="C58" s="46" t="s">
        <v>165</v>
      </c>
      <c r="D58" s="45" t="s">
        <v>108</v>
      </c>
      <c r="E58" s="45" t="n">
        <v>4</v>
      </c>
      <c r="F58" s="46" t="s">
        <v>226</v>
      </c>
      <c r="G58" s="45" t="s">
        <v>233</v>
      </c>
      <c r="H58" s="45" t="n">
        <v>3820</v>
      </c>
      <c r="I58" s="45" t="n">
        <f aca="false">ROUND(PI()*125*H58/60000,2)</f>
        <v>25</v>
      </c>
      <c r="J58" s="45" t="n">
        <v>30</v>
      </c>
      <c r="K58" s="45" t="n">
        <v>32</v>
      </c>
      <c r="L58" s="45" t="n">
        <v>22</v>
      </c>
      <c r="M58" s="45" t="n">
        <v>0.4</v>
      </c>
      <c r="N58" s="46" t="s">
        <v>32</v>
      </c>
      <c r="O58" s="47" t="s">
        <v>219</v>
      </c>
    </row>
    <row r="59" customFormat="false" ht="15.75" hidden="false" customHeight="true" outlineLevel="0" collapsed="false">
      <c r="A59" s="45" t="s">
        <v>193</v>
      </c>
      <c r="B59" s="45" t="s">
        <v>144</v>
      </c>
      <c r="C59" s="46" t="s">
        <v>165</v>
      </c>
      <c r="D59" s="45" t="s">
        <v>108</v>
      </c>
      <c r="E59" s="45" t="n">
        <v>4</v>
      </c>
      <c r="F59" s="46" t="s">
        <v>226</v>
      </c>
      <c r="G59" s="45" t="s">
        <v>233</v>
      </c>
      <c r="H59" s="45" t="n">
        <v>3820</v>
      </c>
      <c r="I59" s="45" t="n">
        <f aca="false">ROUND(PI()*125*H59/60000,2)</f>
        <v>25</v>
      </c>
      <c r="J59" s="45" t="n">
        <v>30</v>
      </c>
      <c r="K59" s="45" t="n">
        <v>32</v>
      </c>
      <c r="L59" s="45" t="n">
        <v>22</v>
      </c>
      <c r="M59" s="45" t="n">
        <v>0.4</v>
      </c>
      <c r="N59" s="46" t="s">
        <v>32</v>
      </c>
      <c r="O59" s="47" t="s">
        <v>219</v>
      </c>
    </row>
    <row r="61" customFormat="false" ht="18" hidden="false" customHeight="true" outlineLevel="0" collapsed="false">
      <c r="A61" s="51" t="s">
        <v>247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</row>
    <row r="62" customFormat="false" ht="18" hidden="false" customHeight="true" outlineLevel="0" collapsed="false">
      <c r="A62" s="52" t="s">
        <v>248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</row>
    <row r="63" customFormat="false" ht="15.75" hidden="false" customHeight="true" outlineLevel="0" collapsed="false">
      <c r="A63" s="45" t="s">
        <v>151</v>
      </c>
      <c r="B63" s="45" t="s">
        <v>126</v>
      </c>
      <c r="C63" s="46" t="s">
        <v>152</v>
      </c>
      <c r="D63" s="45" t="s">
        <v>108</v>
      </c>
      <c r="E63" s="45" t="n">
        <v>2</v>
      </c>
      <c r="F63" s="46" t="s">
        <v>226</v>
      </c>
      <c r="G63" s="45" t="s">
        <v>249</v>
      </c>
      <c r="H63" s="45" t="n">
        <v>4000</v>
      </c>
      <c r="I63" s="45" t="n">
        <f aca="false">ROUND(PI()*125*H63/60000,2)</f>
        <v>26.18</v>
      </c>
      <c r="J63" s="45" t="n">
        <v>25</v>
      </c>
      <c r="K63" s="45" t="n">
        <v>35</v>
      </c>
      <c r="L63" s="45" t="n">
        <v>20</v>
      </c>
      <c r="M63" s="45" t="n">
        <v>0.28</v>
      </c>
      <c r="N63" s="46" t="s">
        <v>32</v>
      </c>
      <c r="O63" s="47" t="s">
        <v>219</v>
      </c>
    </row>
    <row r="64" customFormat="false" ht="15.75" hidden="false" customHeight="true" outlineLevel="0" collapsed="false">
      <c r="A64" s="45" t="s">
        <v>250</v>
      </c>
      <c r="B64" s="45" t="s">
        <v>221</v>
      </c>
      <c r="C64" s="46" t="s">
        <v>152</v>
      </c>
      <c r="D64" s="45" t="s">
        <v>108</v>
      </c>
      <c r="E64" s="45" t="n">
        <v>2</v>
      </c>
      <c r="F64" s="46" t="s">
        <v>226</v>
      </c>
      <c r="G64" s="45" t="s">
        <v>249</v>
      </c>
      <c r="H64" s="45" t="n">
        <v>4000</v>
      </c>
      <c r="I64" s="45" t="n">
        <f aca="false">ROUND(PI()*125*H64/60000,2)</f>
        <v>26.18</v>
      </c>
      <c r="J64" s="45" t="n">
        <v>25</v>
      </c>
      <c r="K64" s="45" t="n">
        <v>35</v>
      </c>
      <c r="L64" s="45" t="n">
        <v>20</v>
      </c>
      <c r="M64" s="45" t="n">
        <v>0.28</v>
      </c>
      <c r="N64" s="46" t="s">
        <v>32</v>
      </c>
      <c r="O64" s="47" t="s">
        <v>219</v>
      </c>
    </row>
    <row r="65" customFormat="false" ht="15.75" hidden="false" customHeight="true" outlineLevel="0" collapsed="false">
      <c r="A65" s="45" t="s">
        <v>155</v>
      </c>
      <c r="B65" s="45" t="s">
        <v>131</v>
      </c>
      <c r="C65" s="46" t="s">
        <v>152</v>
      </c>
      <c r="D65" s="45" t="s">
        <v>108</v>
      </c>
      <c r="E65" s="45" t="n">
        <v>2</v>
      </c>
      <c r="F65" s="46" t="s">
        <v>226</v>
      </c>
      <c r="G65" s="45" t="s">
        <v>249</v>
      </c>
      <c r="H65" s="45" t="n">
        <v>4000</v>
      </c>
      <c r="I65" s="45" t="n">
        <f aca="false">ROUND(PI()*125*H65/60000,2)</f>
        <v>26.18</v>
      </c>
      <c r="J65" s="45" t="n">
        <v>25</v>
      </c>
      <c r="K65" s="45" t="n">
        <v>35</v>
      </c>
      <c r="L65" s="45" t="n">
        <v>20</v>
      </c>
      <c r="M65" s="45" t="n">
        <v>0.28</v>
      </c>
      <c r="N65" s="46" t="s">
        <v>32</v>
      </c>
      <c r="O65" s="47" t="s">
        <v>219</v>
      </c>
    </row>
    <row r="66" customFormat="false" ht="15.75" hidden="false" customHeight="true" outlineLevel="0" collapsed="false">
      <c r="A66" s="45" t="s">
        <v>156</v>
      </c>
      <c r="B66" s="45" t="s">
        <v>133</v>
      </c>
      <c r="C66" s="46" t="s">
        <v>152</v>
      </c>
      <c r="D66" s="45" t="s">
        <v>108</v>
      </c>
      <c r="E66" s="45" t="n">
        <v>2</v>
      </c>
      <c r="F66" s="46" t="s">
        <v>226</v>
      </c>
      <c r="G66" s="45" t="s">
        <v>249</v>
      </c>
      <c r="H66" s="45" t="n">
        <v>4000</v>
      </c>
      <c r="I66" s="45" t="n">
        <f aca="false">ROUND(PI()*125*H66/60000,2)</f>
        <v>26.18</v>
      </c>
      <c r="J66" s="45" t="n">
        <v>35</v>
      </c>
      <c r="K66" s="45" t="n">
        <v>50</v>
      </c>
      <c r="L66" s="45" t="n">
        <v>25</v>
      </c>
      <c r="M66" s="45" t="n">
        <v>0.28</v>
      </c>
      <c r="N66" s="46" t="s">
        <v>32</v>
      </c>
      <c r="O66" s="47" t="s">
        <v>219</v>
      </c>
    </row>
    <row r="67" customFormat="false" ht="15.75" hidden="false" customHeight="true" outlineLevel="0" collapsed="false">
      <c r="A67" s="45" t="s">
        <v>251</v>
      </c>
      <c r="B67" s="45" t="s">
        <v>223</v>
      </c>
      <c r="C67" s="46" t="s">
        <v>152</v>
      </c>
      <c r="D67" s="45" t="s">
        <v>108</v>
      </c>
      <c r="E67" s="45" t="n">
        <v>2</v>
      </c>
      <c r="F67" s="46" t="s">
        <v>226</v>
      </c>
      <c r="G67" s="45" t="s">
        <v>249</v>
      </c>
      <c r="H67" s="45" t="n">
        <v>4000</v>
      </c>
      <c r="I67" s="45" t="n">
        <f aca="false">ROUND(PI()*125*H67/60000,2)</f>
        <v>26.18</v>
      </c>
      <c r="J67" s="45" t="n">
        <v>35</v>
      </c>
      <c r="K67" s="45" t="n">
        <v>50</v>
      </c>
      <c r="L67" s="45" t="n">
        <v>25</v>
      </c>
      <c r="M67" s="45" t="n">
        <v>0.28</v>
      </c>
      <c r="N67" s="46" t="s">
        <v>32</v>
      </c>
      <c r="O67" s="47" t="s">
        <v>219</v>
      </c>
    </row>
    <row r="68" customFormat="false" ht="15.75" hidden="false" customHeight="true" outlineLevel="0" collapsed="false">
      <c r="A68" s="45" t="s">
        <v>157</v>
      </c>
      <c r="B68" s="45" t="s">
        <v>106</v>
      </c>
      <c r="C68" s="46" t="s">
        <v>152</v>
      </c>
      <c r="D68" s="45" t="s">
        <v>108</v>
      </c>
      <c r="E68" s="45" t="n">
        <v>2</v>
      </c>
      <c r="F68" s="46" t="s">
        <v>226</v>
      </c>
      <c r="G68" s="45" t="s">
        <v>249</v>
      </c>
      <c r="H68" s="45" t="n">
        <v>4000</v>
      </c>
      <c r="I68" s="45" t="n">
        <f aca="false">ROUND(PI()*125*H68/60000,2)</f>
        <v>26.18</v>
      </c>
      <c r="J68" s="45" t="n">
        <v>45</v>
      </c>
      <c r="K68" s="45" t="n">
        <v>65</v>
      </c>
      <c r="L68" s="45" t="n">
        <v>30</v>
      </c>
      <c r="M68" s="45" t="n">
        <v>0.35</v>
      </c>
      <c r="N68" s="46" t="s">
        <v>32</v>
      </c>
      <c r="O68" s="47" t="s">
        <v>219</v>
      </c>
    </row>
    <row r="69" customFormat="false" ht="15.75" hidden="false" customHeight="true" outlineLevel="0" collapsed="false">
      <c r="A69" s="45" t="s">
        <v>252</v>
      </c>
      <c r="B69" s="45" t="s">
        <v>113</v>
      </c>
      <c r="C69" s="46" t="s">
        <v>152</v>
      </c>
      <c r="D69" s="45" t="s">
        <v>108</v>
      </c>
      <c r="E69" s="45" t="n">
        <v>2</v>
      </c>
      <c r="F69" s="46" t="s">
        <v>226</v>
      </c>
      <c r="G69" s="45" t="s">
        <v>249</v>
      </c>
      <c r="H69" s="45" t="n">
        <v>4000</v>
      </c>
      <c r="I69" s="45" t="n">
        <f aca="false">ROUND(PI()*125*H69/60000,2)</f>
        <v>26.18</v>
      </c>
      <c r="J69" s="45" t="n">
        <v>45</v>
      </c>
      <c r="K69" s="45" t="n">
        <v>65</v>
      </c>
      <c r="L69" s="45" t="n">
        <v>30</v>
      </c>
      <c r="M69" s="45" t="n">
        <v>0.35</v>
      </c>
      <c r="N69" s="46" t="s">
        <v>32</v>
      </c>
      <c r="O69" s="47" t="s">
        <v>219</v>
      </c>
    </row>
    <row r="70" customFormat="false" ht="15.75" hidden="false" customHeight="true" outlineLevel="0" collapsed="false">
      <c r="A70" s="45" t="s">
        <v>158</v>
      </c>
      <c r="B70" s="45" t="s">
        <v>136</v>
      </c>
      <c r="C70" s="46" t="s">
        <v>152</v>
      </c>
      <c r="D70" s="45" t="s">
        <v>108</v>
      </c>
      <c r="E70" s="45" t="n">
        <v>2</v>
      </c>
      <c r="F70" s="46" t="s">
        <v>226</v>
      </c>
      <c r="G70" s="45" t="s">
        <v>249</v>
      </c>
      <c r="H70" s="45" t="n">
        <v>4000</v>
      </c>
      <c r="I70" s="45" t="n">
        <f aca="false">ROUND(PI()*125*H70/60000,2)</f>
        <v>26.18</v>
      </c>
      <c r="J70" s="45" t="n">
        <v>55</v>
      </c>
      <c r="K70" s="45" t="n">
        <v>80</v>
      </c>
      <c r="L70" s="45" t="n">
        <v>38</v>
      </c>
      <c r="M70" s="45" t="n">
        <v>0.35</v>
      </c>
      <c r="N70" s="46" t="s">
        <v>32</v>
      </c>
      <c r="O70" s="47" t="s">
        <v>219</v>
      </c>
    </row>
    <row r="71" customFormat="false" ht="15.75" hidden="false" customHeight="true" outlineLevel="0" collapsed="false">
      <c r="A71" s="45" t="s">
        <v>159</v>
      </c>
      <c r="B71" s="45" t="s">
        <v>138</v>
      </c>
      <c r="C71" s="46" t="s">
        <v>152</v>
      </c>
      <c r="D71" s="45" t="s">
        <v>108</v>
      </c>
      <c r="E71" s="45" t="n">
        <v>2</v>
      </c>
      <c r="F71" s="46" t="s">
        <v>226</v>
      </c>
      <c r="G71" s="45" t="s">
        <v>249</v>
      </c>
      <c r="H71" s="45" t="n">
        <v>4000</v>
      </c>
      <c r="I71" s="45" t="n">
        <f aca="false">ROUND(PI()*125*H71/60000,2)</f>
        <v>26.18</v>
      </c>
      <c r="J71" s="45" t="n">
        <v>55</v>
      </c>
      <c r="K71" s="45" t="n">
        <v>80</v>
      </c>
      <c r="L71" s="45" t="n">
        <v>38</v>
      </c>
      <c r="M71" s="45" t="n">
        <v>0.35</v>
      </c>
      <c r="N71" s="46" t="s">
        <v>32</v>
      </c>
      <c r="O71" s="47" t="s">
        <v>219</v>
      </c>
    </row>
    <row r="72" customFormat="false" ht="15.75" hidden="false" customHeight="true" outlineLevel="0" collapsed="false">
      <c r="A72" s="45" t="s">
        <v>161</v>
      </c>
      <c r="B72" s="45" t="s">
        <v>142</v>
      </c>
      <c r="C72" s="46" t="s">
        <v>152</v>
      </c>
      <c r="D72" s="45" t="s">
        <v>108</v>
      </c>
      <c r="E72" s="45" t="n">
        <v>2</v>
      </c>
      <c r="F72" s="46" t="s">
        <v>226</v>
      </c>
      <c r="G72" s="45" t="s">
        <v>249</v>
      </c>
      <c r="H72" s="45" t="n">
        <v>4000</v>
      </c>
      <c r="I72" s="45" t="n">
        <f aca="false">ROUND(PI()*125*H72/60000,2)</f>
        <v>26.18</v>
      </c>
      <c r="J72" s="45" t="n">
        <v>65</v>
      </c>
      <c r="K72" s="45" t="n">
        <v>95</v>
      </c>
      <c r="L72" s="45" t="n">
        <v>45</v>
      </c>
      <c r="M72" s="45" t="n">
        <v>0.42</v>
      </c>
      <c r="N72" s="46" t="s">
        <v>32</v>
      </c>
      <c r="O72" s="47" t="s">
        <v>219</v>
      </c>
    </row>
    <row r="73" customFormat="false" ht="15.75" hidden="false" customHeight="true" outlineLevel="0" collapsed="false">
      <c r="A73" s="45" t="s">
        <v>162</v>
      </c>
      <c r="B73" s="45" t="s">
        <v>144</v>
      </c>
      <c r="C73" s="46" t="s">
        <v>152</v>
      </c>
      <c r="D73" s="45" t="s">
        <v>108</v>
      </c>
      <c r="E73" s="45" t="n">
        <v>2</v>
      </c>
      <c r="F73" s="46" t="s">
        <v>226</v>
      </c>
      <c r="G73" s="45" t="s">
        <v>249</v>
      </c>
      <c r="H73" s="45" t="n">
        <v>4000</v>
      </c>
      <c r="I73" s="45" t="n">
        <f aca="false">ROUND(PI()*125*H73/60000,2)</f>
        <v>26.18</v>
      </c>
      <c r="J73" s="45" t="n">
        <v>65</v>
      </c>
      <c r="K73" s="45" t="n">
        <v>95</v>
      </c>
      <c r="L73" s="45" t="n">
        <v>45</v>
      </c>
      <c r="M73" s="45" t="n">
        <v>0.42</v>
      </c>
      <c r="N73" s="46" t="s">
        <v>32</v>
      </c>
      <c r="O73" s="47" t="s">
        <v>219</v>
      </c>
    </row>
    <row r="75" customFormat="false" ht="18" hidden="false" customHeight="true" outlineLevel="0" collapsed="false">
      <c r="A75" s="52" t="s">
        <v>253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</row>
    <row r="76" customFormat="false" ht="15.75" hidden="false" customHeight="true" outlineLevel="0" collapsed="false">
      <c r="A76" s="45" t="s">
        <v>254</v>
      </c>
      <c r="B76" s="45" t="s">
        <v>126</v>
      </c>
      <c r="C76" s="46" t="s">
        <v>152</v>
      </c>
      <c r="D76" s="45" t="s">
        <v>108</v>
      </c>
      <c r="E76" s="45" t="n">
        <v>3</v>
      </c>
      <c r="F76" s="46" t="s">
        <v>226</v>
      </c>
      <c r="G76" s="45" t="s">
        <v>233</v>
      </c>
      <c r="H76" s="45" t="n">
        <v>4000</v>
      </c>
      <c r="I76" s="45" t="n">
        <f aca="false">ROUND(PI()*125*H76/60000,2)</f>
        <v>26.18</v>
      </c>
      <c r="J76" s="45" t="n">
        <v>20</v>
      </c>
      <c r="K76" s="45" t="n">
        <v>28</v>
      </c>
      <c r="L76" s="45" t="n">
        <v>16</v>
      </c>
      <c r="M76" s="45" t="n">
        <v>0.28</v>
      </c>
      <c r="N76" s="46" t="s">
        <v>32</v>
      </c>
      <c r="O76" s="47" t="s">
        <v>219</v>
      </c>
    </row>
    <row r="77" customFormat="false" ht="15.75" hidden="false" customHeight="true" outlineLevel="0" collapsed="false">
      <c r="A77" s="45" t="s">
        <v>255</v>
      </c>
      <c r="B77" s="45" t="s">
        <v>221</v>
      </c>
      <c r="C77" s="46" t="s">
        <v>152</v>
      </c>
      <c r="D77" s="45" t="s">
        <v>108</v>
      </c>
      <c r="E77" s="45" t="n">
        <v>3</v>
      </c>
      <c r="F77" s="46" t="s">
        <v>226</v>
      </c>
      <c r="G77" s="45" t="s">
        <v>233</v>
      </c>
      <c r="H77" s="45" t="n">
        <v>4000</v>
      </c>
      <c r="I77" s="45" t="n">
        <f aca="false">ROUND(PI()*125*H77/60000,2)</f>
        <v>26.18</v>
      </c>
      <c r="J77" s="45" t="n">
        <v>20</v>
      </c>
      <c r="K77" s="45" t="n">
        <v>28</v>
      </c>
      <c r="L77" s="45" t="n">
        <v>16</v>
      </c>
      <c r="M77" s="45" t="n">
        <v>0.28</v>
      </c>
      <c r="N77" s="46" t="s">
        <v>32</v>
      </c>
      <c r="O77" s="47" t="s">
        <v>219</v>
      </c>
    </row>
    <row r="78" customFormat="false" ht="15.75" hidden="false" customHeight="true" outlineLevel="0" collapsed="false">
      <c r="A78" s="45" t="s">
        <v>256</v>
      </c>
      <c r="B78" s="45" t="s">
        <v>131</v>
      </c>
      <c r="C78" s="46" t="s">
        <v>152</v>
      </c>
      <c r="D78" s="45" t="s">
        <v>108</v>
      </c>
      <c r="E78" s="45" t="n">
        <v>3</v>
      </c>
      <c r="F78" s="46" t="s">
        <v>226</v>
      </c>
      <c r="G78" s="45" t="s">
        <v>233</v>
      </c>
      <c r="H78" s="45" t="n">
        <v>4000</v>
      </c>
      <c r="I78" s="45" t="n">
        <f aca="false">ROUND(PI()*125*H78/60000,2)</f>
        <v>26.18</v>
      </c>
      <c r="J78" s="45" t="n">
        <v>20</v>
      </c>
      <c r="K78" s="45" t="n">
        <v>28</v>
      </c>
      <c r="L78" s="45" t="n">
        <v>16</v>
      </c>
      <c r="M78" s="45" t="n">
        <v>0.28</v>
      </c>
      <c r="N78" s="46" t="s">
        <v>32</v>
      </c>
      <c r="O78" s="47" t="s">
        <v>219</v>
      </c>
    </row>
    <row r="79" customFormat="false" ht="15.75" hidden="false" customHeight="true" outlineLevel="0" collapsed="false">
      <c r="A79" s="45" t="s">
        <v>257</v>
      </c>
      <c r="B79" s="45" t="s">
        <v>133</v>
      </c>
      <c r="C79" s="46" t="s">
        <v>152</v>
      </c>
      <c r="D79" s="45" t="s">
        <v>108</v>
      </c>
      <c r="E79" s="45" t="n">
        <v>3</v>
      </c>
      <c r="F79" s="46" t="s">
        <v>226</v>
      </c>
      <c r="G79" s="45" t="s">
        <v>233</v>
      </c>
      <c r="H79" s="45" t="n">
        <v>4000</v>
      </c>
      <c r="I79" s="45" t="n">
        <f aca="false">ROUND(PI()*125*H79/60000,2)</f>
        <v>26.18</v>
      </c>
      <c r="J79" s="45" t="n">
        <v>28</v>
      </c>
      <c r="K79" s="45" t="n">
        <v>40</v>
      </c>
      <c r="L79" s="45" t="n">
        <v>22</v>
      </c>
      <c r="M79" s="45" t="n">
        <v>0.28</v>
      </c>
      <c r="N79" s="46" t="s">
        <v>32</v>
      </c>
      <c r="O79" s="47" t="s">
        <v>219</v>
      </c>
    </row>
    <row r="80" customFormat="false" ht="15.75" hidden="false" customHeight="true" outlineLevel="0" collapsed="false">
      <c r="A80" s="45" t="s">
        <v>258</v>
      </c>
      <c r="B80" s="45" t="s">
        <v>223</v>
      </c>
      <c r="C80" s="46" t="s">
        <v>152</v>
      </c>
      <c r="D80" s="45" t="s">
        <v>108</v>
      </c>
      <c r="E80" s="45" t="n">
        <v>3</v>
      </c>
      <c r="F80" s="46" t="s">
        <v>226</v>
      </c>
      <c r="G80" s="45" t="s">
        <v>233</v>
      </c>
      <c r="H80" s="45" t="n">
        <v>4000</v>
      </c>
      <c r="I80" s="45" t="n">
        <f aca="false">ROUND(PI()*125*H80/60000,2)</f>
        <v>26.18</v>
      </c>
      <c r="J80" s="45" t="n">
        <v>28</v>
      </c>
      <c r="K80" s="45" t="n">
        <v>40</v>
      </c>
      <c r="L80" s="45" t="n">
        <v>22</v>
      </c>
      <c r="M80" s="45" t="n">
        <v>0.28</v>
      </c>
      <c r="N80" s="46" t="s">
        <v>32</v>
      </c>
      <c r="O80" s="47" t="s">
        <v>219</v>
      </c>
    </row>
    <row r="81" customFormat="false" ht="15.75" hidden="false" customHeight="true" outlineLevel="0" collapsed="false">
      <c r="A81" s="45" t="s">
        <v>259</v>
      </c>
      <c r="B81" s="45" t="s">
        <v>106</v>
      </c>
      <c r="C81" s="46" t="s">
        <v>152</v>
      </c>
      <c r="D81" s="45" t="s">
        <v>108</v>
      </c>
      <c r="E81" s="45" t="n">
        <v>3</v>
      </c>
      <c r="F81" s="46" t="s">
        <v>226</v>
      </c>
      <c r="G81" s="45" t="s">
        <v>233</v>
      </c>
      <c r="H81" s="45" t="n">
        <v>4000</v>
      </c>
      <c r="I81" s="45" t="n">
        <f aca="false">ROUND(PI()*125*H81/60000,2)</f>
        <v>26.18</v>
      </c>
      <c r="J81" s="45" t="n">
        <v>38</v>
      </c>
      <c r="K81" s="45" t="n">
        <v>55</v>
      </c>
      <c r="L81" s="45" t="n">
        <v>28</v>
      </c>
      <c r="M81" s="45" t="n">
        <v>0.35</v>
      </c>
      <c r="N81" s="46" t="s">
        <v>32</v>
      </c>
      <c r="O81" s="47" t="s">
        <v>219</v>
      </c>
    </row>
    <row r="82" customFormat="false" ht="15.75" hidden="false" customHeight="true" outlineLevel="0" collapsed="false">
      <c r="A82" s="45" t="s">
        <v>260</v>
      </c>
      <c r="B82" s="45" t="s">
        <v>113</v>
      </c>
      <c r="C82" s="46" t="s">
        <v>152</v>
      </c>
      <c r="D82" s="45" t="s">
        <v>108</v>
      </c>
      <c r="E82" s="45" t="n">
        <v>3</v>
      </c>
      <c r="F82" s="46" t="s">
        <v>226</v>
      </c>
      <c r="G82" s="45" t="s">
        <v>233</v>
      </c>
      <c r="H82" s="45" t="n">
        <v>4000</v>
      </c>
      <c r="I82" s="45" t="n">
        <f aca="false">ROUND(PI()*125*H82/60000,2)</f>
        <v>26.18</v>
      </c>
      <c r="J82" s="45" t="n">
        <v>38</v>
      </c>
      <c r="K82" s="45" t="n">
        <v>55</v>
      </c>
      <c r="L82" s="45" t="n">
        <v>28</v>
      </c>
      <c r="M82" s="45" t="n">
        <v>0.35</v>
      </c>
      <c r="N82" s="46" t="s">
        <v>32</v>
      </c>
      <c r="O82" s="47" t="s">
        <v>219</v>
      </c>
    </row>
    <row r="83" customFormat="false" ht="15.75" hidden="false" customHeight="true" outlineLevel="0" collapsed="false">
      <c r="A83" s="45" t="s">
        <v>261</v>
      </c>
      <c r="B83" s="45" t="s">
        <v>136</v>
      </c>
      <c r="C83" s="46" t="s">
        <v>152</v>
      </c>
      <c r="D83" s="45" t="s">
        <v>108</v>
      </c>
      <c r="E83" s="45" t="n">
        <v>3</v>
      </c>
      <c r="F83" s="46" t="s">
        <v>226</v>
      </c>
      <c r="G83" s="45" t="s">
        <v>233</v>
      </c>
      <c r="H83" s="45" t="n">
        <v>4000</v>
      </c>
      <c r="I83" s="45" t="n">
        <f aca="false">ROUND(PI()*125*H83/60000,2)</f>
        <v>26.18</v>
      </c>
      <c r="J83" s="45" t="n">
        <v>45</v>
      </c>
      <c r="K83" s="45" t="n">
        <v>65</v>
      </c>
      <c r="L83" s="45" t="n">
        <v>32</v>
      </c>
      <c r="M83" s="45" t="n">
        <v>0.35</v>
      </c>
      <c r="N83" s="46" t="s">
        <v>32</v>
      </c>
      <c r="O83" s="47" t="s">
        <v>219</v>
      </c>
    </row>
    <row r="84" customFormat="false" ht="15.75" hidden="false" customHeight="true" outlineLevel="0" collapsed="false">
      <c r="A84" s="45" t="s">
        <v>262</v>
      </c>
      <c r="B84" s="45" t="s">
        <v>138</v>
      </c>
      <c r="C84" s="46" t="s">
        <v>152</v>
      </c>
      <c r="D84" s="45" t="s">
        <v>108</v>
      </c>
      <c r="E84" s="45" t="n">
        <v>3</v>
      </c>
      <c r="F84" s="46" t="s">
        <v>226</v>
      </c>
      <c r="G84" s="45" t="s">
        <v>233</v>
      </c>
      <c r="H84" s="45" t="n">
        <v>4000</v>
      </c>
      <c r="I84" s="45" t="n">
        <f aca="false">ROUND(PI()*125*H84/60000,2)</f>
        <v>26.18</v>
      </c>
      <c r="J84" s="45" t="n">
        <v>45</v>
      </c>
      <c r="K84" s="45" t="n">
        <v>65</v>
      </c>
      <c r="L84" s="45" t="n">
        <v>32</v>
      </c>
      <c r="M84" s="45" t="n">
        <v>0.35</v>
      </c>
      <c r="N84" s="46" t="s">
        <v>32</v>
      </c>
      <c r="O84" s="47" t="s">
        <v>219</v>
      </c>
    </row>
    <row r="85" customFormat="false" ht="15.75" hidden="false" customHeight="true" outlineLevel="0" collapsed="false">
      <c r="A85" s="45" t="s">
        <v>263</v>
      </c>
      <c r="B85" s="45" t="s">
        <v>142</v>
      </c>
      <c r="C85" s="46" t="s">
        <v>152</v>
      </c>
      <c r="D85" s="45" t="s">
        <v>108</v>
      </c>
      <c r="E85" s="45" t="n">
        <v>3</v>
      </c>
      <c r="F85" s="46" t="s">
        <v>226</v>
      </c>
      <c r="G85" s="45" t="s">
        <v>233</v>
      </c>
      <c r="H85" s="45" t="n">
        <v>4000</v>
      </c>
      <c r="I85" s="45" t="n">
        <f aca="false">ROUND(PI()*125*H85/60000,2)</f>
        <v>26.18</v>
      </c>
      <c r="J85" s="45" t="n">
        <v>55</v>
      </c>
      <c r="K85" s="45" t="n">
        <v>78</v>
      </c>
      <c r="L85" s="45" t="n">
        <v>38</v>
      </c>
      <c r="M85" s="45" t="n">
        <v>0.42</v>
      </c>
      <c r="N85" s="46" t="s">
        <v>32</v>
      </c>
      <c r="O85" s="47" t="s">
        <v>219</v>
      </c>
    </row>
    <row r="86" customFormat="false" ht="15.75" hidden="false" customHeight="true" outlineLevel="0" collapsed="false">
      <c r="A86" s="45" t="s">
        <v>264</v>
      </c>
      <c r="B86" s="45" t="s">
        <v>144</v>
      </c>
      <c r="C86" s="46" t="s">
        <v>152</v>
      </c>
      <c r="D86" s="45" t="s">
        <v>108</v>
      </c>
      <c r="E86" s="45" t="n">
        <v>3</v>
      </c>
      <c r="F86" s="46" t="s">
        <v>226</v>
      </c>
      <c r="G86" s="45" t="s">
        <v>233</v>
      </c>
      <c r="H86" s="45" t="n">
        <v>4000</v>
      </c>
      <c r="I86" s="45" t="n">
        <f aca="false">ROUND(PI()*125*H86/60000,2)</f>
        <v>26.18</v>
      </c>
      <c r="J86" s="45" t="n">
        <v>55</v>
      </c>
      <c r="K86" s="45" t="n">
        <v>78</v>
      </c>
      <c r="L86" s="45" t="n">
        <v>38</v>
      </c>
      <c r="M86" s="45" t="n">
        <v>0.42</v>
      </c>
      <c r="N86" s="46" t="s">
        <v>32</v>
      </c>
      <c r="O86" s="47" t="s">
        <v>219</v>
      </c>
    </row>
    <row r="88" customFormat="false" ht="18" hidden="false" customHeight="true" outlineLevel="0" collapsed="false">
      <c r="A88" s="52" t="s">
        <v>265</v>
      </c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</row>
    <row r="89" customFormat="false" ht="15.75" hidden="false" customHeight="true" outlineLevel="0" collapsed="false">
      <c r="A89" s="45" t="s">
        <v>175</v>
      </c>
      <c r="B89" s="45" t="s">
        <v>126</v>
      </c>
      <c r="C89" s="46" t="s">
        <v>152</v>
      </c>
      <c r="D89" s="45" t="s">
        <v>108</v>
      </c>
      <c r="E89" s="45" t="n">
        <v>4</v>
      </c>
      <c r="F89" s="46" t="s">
        <v>226</v>
      </c>
      <c r="G89" s="45" t="s">
        <v>233</v>
      </c>
      <c r="H89" s="45" t="n">
        <v>4000</v>
      </c>
      <c r="I89" s="45" t="n">
        <f aca="false">ROUND(PI()*125*H89/60000,2)</f>
        <v>26.18</v>
      </c>
      <c r="J89" s="45" t="n">
        <v>20</v>
      </c>
      <c r="K89" s="45" t="n">
        <v>28</v>
      </c>
      <c r="L89" s="45" t="n">
        <v>16</v>
      </c>
      <c r="M89" s="45" t="n">
        <v>0.28</v>
      </c>
      <c r="N89" s="46" t="s">
        <v>32</v>
      </c>
      <c r="O89" s="47" t="s">
        <v>219</v>
      </c>
    </row>
    <row r="90" customFormat="false" ht="15.75" hidden="false" customHeight="true" outlineLevel="0" collapsed="false">
      <c r="A90" s="45" t="s">
        <v>266</v>
      </c>
      <c r="B90" s="45" t="s">
        <v>221</v>
      </c>
      <c r="C90" s="46" t="s">
        <v>152</v>
      </c>
      <c r="D90" s="45" t="s">
        <v>108</v>
      </c>
      <c r="E90" s="45" t="n">
        <v>4</v>
      </c>
      <c r="F90" s="46" t="s">
        <v>226</v>
      </c>
      <c r="G90" s="45" t="s">
        <v>233</v>
      </c>
      <c r="H90" s="45" t="n">
        <v>4000</v>
      </c>
      <c r="I90" s="45" t="n">
        <f aca="false">ROUND(PI()*125*H90/60000,2)</f>
        <v>26.18</v>
      </c>
      <c r="J90" s="45" t="n">
        <v>20</v>
      </c>
      <c r="K90" s="45" t="n">
        <v>28</v>
      </c>
      <c r="L90" s="45" t="n">
        <v>16</v>
      </c>
      <c r="M90" s="45" t="n">
        <v>0.28</v>
      </c>
      <c r="N90" s="46" t="s">
        <v>32</v>
      </c>
      <c r="O90" s="47" t="s">
        <v>219</v>
      </c>
    </row>
    <row r="91" customFormat="false" ht="15.75" hidden="false" customHeight="true" outlineLevel="0" collapsed="false">
      <c r="A91" s="45" t="s">
        <v>177</v>
      </c>
      <c r="B91" s="45" t="s">
        <v>131</v>
      </c>
      <c r="C91" s="46" t="s">
        <v>152</v>
      </c>
      <c r="D91" s="45" t="s">
        <v>108</v>
      </c>
      <c r="E91" s="45" t="n">
        <v>4</v>
      </c>
      <c r="F91" s="46" t="s">
        <v>226</v>
      </c>
      <c r="G91" s="45" t="s">
        <v>233</v>
      </c>
      <c r="H91" s="45" t="n">
        <v>4000</v>
      </c>
      <c r="I91" s="45" t="n">
        <f aca="false">ROUND(PI()*125*H91/60000,2)</f>
        <v>26.18</v>
      </c>
      <c r="J91" s="45" t="n">
        <v>20</v>
      </c>
      <c r="K91" s="45" t="n">
        <v>28</v>
      </c>
      <c r="L91" s="45" t="n">
        <v>16</v>
      </c>
      <c r="M91" s="45" t="n">
        <v>0.28</v>
      </c>
      <c r="N91" s="46" t="s">
        <v>32</v>
      </c>
      <c r="O91" s="47" t="s">
        <v>219</v>
      </c>
    </row>
    <row r="92" customFormat="false" ht="15.75" hidden="false" customHeight="true" outlineLevel="0" collapsed="false">
      <c r="A92" s="45" t="s">
        <v>178</v>
      </c>
      <c r="B92" s="45" t="s">
        <v>133</v>
      </c>
      <c r="C92" s="46" t="s">
        <v>152</v>
      </c>
      <c r="D92" s="45" t="s">
        <v>108</v>
      </c>
      <c r="E92" s="45" t="n">
        <v>4</v>
      </c>
      <c r="F92" s="46" t="s">
        <v>226</v>
      </c>
      <c r="G92" s="45" t="s">
        <v>233</v>
      </c>
      <c r="H92" s="45" t="n">
        <v>4000</v>
      </c>
      <c r="I92" s="45" t="n">
        <f aca="false">ROUND(PI()*125*H92/60000,2)</f>
        <v>26.18</v>
      </c>
      <c r="J92" s="45" t="n">
        <v>28</v>
      </c>
      <c r="K92" s="45" t="n">
        <v>40</v>
      </c>
      <c r="L92" s="45" t="n">
        <v>22</v>
      </c>
      <c r="M92" s="45" t="n">
        <v>0.28</v>
      </c>
      <c r="N92" s="46" t="s">
        <v>32</v>
      </c>
      <c r="O92" s="47" t="s">
        <v>219</v>
      </c>
    </row>
    <row r="93" customFormat="false" ht="15.75" hidden="false" customHeight="true" outlineLevel="0" collapsed="false">
      <c r="A93" s="45" t="s">
        <v>267</v>
      </c>
      <c r="B93" s="45" t="s">
        <v>223</v>
      </c>
      <c r="C93" s="46" t="s">
        <v>152</v>
      </c>
      <c r="D93" s="45" t="s">
        <v>108</v>
      </c>
      <c r="E93" s="45" t="n">
        <v>4</v>
      </c>
      <c r="F93" s="46" t="s">
        <v>226</v>
      </c>
      <c r="G93" s="45" t="s">
        <v>233</v>
      </c>
      <c r="H93" s="45" t="n">
        <v>4000</v>
      </c>
      <c r="I93" s="45" t="n">
        <f aca="false">ROUND(PI()*125*H93/60000,2)</f>
        <v>26.18</v>
      </c>
      <c r="J93" s="45" t="n">
        <v>28</v>
      </c>
      <c r="K93" s="45" t="n">
        <v>40</v>
      </c>
      <c r="L93" s="45" t="n">
        <v>22</v>
      </c>
      <c r="M93" s="45" t="n">
        <v>0.28</v>
      </c>
      <c r="N93" s="46" t="s">
        <v>32</v>
      </c>
      <c r="O93" s="47" t="s">
        <v>219</v>
      </c>
    </row>
    <row r="94" customFormat="false" ht="15.75" hidden="false" customHeight="true" outlineLevel="0" collapsed="false">
      <c r="A94" s="45" t="s">
        <v>179</v>
      </c>
      <c r="B94" s="45" t="s">
        <v>106</v>
      </c>
      <c r="C94" s="46" t="s">
        <v>152</v>
      </c>
      <c r="D94" s="45" t="s">
        <v>108</v>
      </c>
      <c r="E94" s="45" t="n">
        <v>4</v>
      </c>
      <c r="F94" s="46" t="s">
        <v>226</v>
      </c>
      <c r="G94" s="45" t="s">
        <v>233</v>
      </c>
      <c r="H94" s="45" t="n">
        <v>4000</v>
      </c>
      <c r="I94" s="45" t="n">
        <f aca="false">ROUND(PI()*125*H94/60000,2)</f>
        <v>26.18</v>
      </c>
      <c r="J94" s="45" t="n">
        <v>38</v>
      </c>
      <c r="K94" s="45" t="n">
        <v>55</v>
      </c>
      <c r="L94" s="45" t="n">
        <v>28</v>
      </c>
      <c r="M94" s="45" t="n">
        <v>0.35</v>
      </c>
      <c r="N94" s="46" t="s">
        <v>32</v>
      </c>
      <c r="O94" s="47" t="s">
        <v>219</v>
      </c>
    </row>
    <row r="95" customFormat="false" ht="15.75" hidden="false" customHeight="true" outlineLevel="0" collapsed="false">
      <c r="A95" s="45" t="s">
        <v>268</v>
      </c>
      <c r="B95" s="45" t="s">
        <v>113</v>
      </c>
      <c r="C95" s="46" t="s">
        <v>152</v>
      </c>
      <c r="D95" s="45" t="s">
        <v>108</v>
      </c>
      <c r="E95" s="45" t="n">
        <v>4</v>
      </c>
      <c r="F95" s="46" t="s">
        <v>226</v>
      </c>
      <c r="G95" s="45" t="s">
        <v>233</v>
      </c>
      <c r="H95" s="45" t="n">
        <v>4000</v>
      </c>
      <c r="I95" s="45" t="n">
        <f aca="false">ROUND(PI()*125*H95/60000,2)</f>
        <v>26.18</v>
      </c>
      <c r="J95" s="45" t="n">
        <v>38</v>
      </c>
      <c r="K95" s="45" t="n">
        <v>55</v>
      </c>
      <c r="L95" s="45" t="n">
        <v>28</v>
      </c>
      <c r="M95" s="45" t="n">
        <v>0.35</v>
      </c>
      <c r="N95" s="46" t="s">
        <v>32</v>
      </c>
      <c r="O95" s="47" t="s">
        <v>219</v>
      </c>
    </row>
    <row r="96" customFormat="false" ht="15.75" hidden="false" customHeight="true" outlineLevel="0" collapsed="false">
      <c r="A96" s="45" t="s">
        <v>180</v>
      </c>
      <c r="B96" s="45" t="s">
        <v>136</v>
      </c>
      <c r="C96" s="46" t="s">
        <v>152</v>
      </c>
      <c r="D96" s="45" t="s">
        <v>108</v>
      </c>
      <c r="E96" s="45" t="n">
        <v>4</v>
      </c>
      <c r="F96" s="46" t="s">
        <v>226</v>
      </c>
      <c r="G96" s="45" t="s">
        <v>233</v>
      </c>
      <c r="H96" s="45" t="n">
        <v>4000</v>
      </c>
      <c r="I96" s="45" t="n">
        <f aca="false">ROUND(PI()*125*H96/60000,2)</f>
        <v>26.18</v>
      </c>
      <c r="J96" s="45" t="n">
        <v>45</v>
      </c>
      <c r="K96" s="45" t="n">
        <v>65</v>
      </c>
      <c r="L96" s="45" t="n">
        <v>32</v>
      </c>
      <c r="M96" s="45" t="n">
        <v>0.35</v>
      </c>
      <c r="N96" s="46" t="s">
        <v>32</v>
      </c>
      <c r="O96" s="47" t="s">
        <v>219</v>
      </c>
    </row>
    <row r="97" customFormat="false" ht="15.75" hidden="false" customHeight="true" outlineLevel="0" collapsed="false">
      <c r="A97" s="45" t="s">
        <v>181</v>
      </c>
      <c r="B97" s="45" t="s">
        <v>138</v>
      </c>
      <c r="C97" s="46" t="s">
        <v>152</v>
      </c>
      <c r="D97" s="45" t="s">
        <v>108</v>
      </c>
      <c r="E97" s="45" t="n">
        <v>4</v>
      </c>
      <c r="F97" s="46" t="s">
        <v>226</v>
      </c>
      <c r="G97" s="45" t="s">
        <v>233</v>
      </c>
      <c r="H97" s="45" t="n">
        <v>4000</v>
      </c>
      <c r="I97" s="45" t="n">
        <f aca="false">ROUND(PI()*125*H97/60000,2)</f>
        <v>26.18</v>
      </c>
      <c r="J97" s="45" t="n">
        <v>45</v>
      </c>
      <c r="K97" s="45" t="n">
        <v>65</v>
      </c>
      <c r="L97" s="45" t="n">
        <v>32</v>
      </c>
      <c r="M97" s="45" t="n">
        <v>0.35</v>
      </c>
      <c r="N97" s="46" t="s">
        <v>32</v>
      </c>
      <c r="O97" s="47" t="s">
        <v>219</v>
      </c>
    </row>
    <row r="98" customFormat="false" ht="15.75" hidden="false" customHeight="true" outlineLevel="0" collapsed="false">
      <c r="A98" s="45" t="s">
        <v>183</v>
      </c>
      <c r="B98" s="45" t="s">
        <v>142</v>
      </c>
      <c r="C98" s="46" t="s">
        <v>152</v>
      </c>
      <c r="D98" s="45" t="s">
        <v>108</v>
      </c>
      <c r="E98" s="45" t="n">
        <v>4</v>
      </c>
      <c r="F98" s="46" t="s">
        <v>226</v>
      </c>
      <c r="G98" s="45" t="s">
        <v>233</v>
      </c>
      <c r="H98" s="45" t="n">
        <v>4000</v>
      </c>
      <c r="I98" s="45" t="n">
        <f aca="false">ROUND(PI()*125*H98/60000,2)</f>
        <v>26.18</v>
      </c>
      <c r="J98" s="45" t="n">
        <v>55</v>
      </c>
      <c r="K98" s="45" t="n">
        <v>78</v>
      </c>
      <c r="L98" s="45" t="n">
        <v>38</v>
      </c>
      <c r="M98" s="45" t="n">
        <v>0.42</v>
      </c>
      <c r="N98" s="46" t="s">
        <v>32</v>
      </c>
      <c r="O98" s="47" t="s">
        <v>219</v>
      </c>
    </row>
    <row r="99" customFormat="false" ht="15.75" hidden="false" customHeight="true" outlineLevel="0" collapsed="false">
      <c r="A99" s="45" t="s">
        <v>184</v>
      </c>
      <c r="B99" s="45" t="s">
        <v>144</v>
      </c>
      <c r="C99" s="46" t="s">
        <v>152</v>
      </c>
      <c r="D99" s="45" t="s">
        <v>108</v>
      </c>
      <c r="E99" s="45" t="n">
        <v>4</v>
      </c>
      <c r="F99" s="46" t="s">
        <v>226</v>
      </c>
      <c r="G99" s="45" t="s">
        <v>233</v>
      </c>
      <c r="H99" s="45" t="n">
        <v>4000</v>
      </c>
      <c r="I99" s="45" t="n">
        <f aca="false">ROUND(PI()*125*H99/60000,2)</f>
        <v>26.18</v>
      </c>
      <c r="J99" s="45" t="n">
        <v>55</v>
      </c>
      <c r="K99" s="45" t="n">
        <v>78</v>
      </c>
      <c r="L99" s="45" t="n">
        <v>38</v>
      </c>
      <c r="M99" s="45" t="n">
        <v>0.42</v>
      </c>
      <c r="N99" s="46" t="s">
        <v>32</v>
      </c>
      <c r="O99" s="47" t="s">
        <v>219</v>
      </c>
    </row>
    <row r="101" customFormat="false" ht="18" hidden="false" customHeight="true" outlineLevel="0" collapsed="false">
      <c r="A101" s="52" t="s">
        <v>269</v>
      </c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</row>
    <row r="102" customFormat="false" ht="15.75" hidden="false" customHeight="true" outlineLevel="0" collapsed="false">
      <c r="A102" s="45" t="s">
        <v>270</v>
      </c>
      <c r="B102" s="45" t="s">
        <v>126</v>
      </c>
      <c r="C102" s="46" t="s">
        <v>152</v>
      </c>
      <c r="D102" s="45" t="s">
        <v>108</v>
      </c>
      <c r="E102" s="45" t="n">
        <v>6</v>
      </c>
      <c r="F102" s="46" t="s">
        <v>226</v>
      </c>
      <c r="G102" s="45" t="s">
        <v>233</v>
      </c>
      <c r="H102" s="45" t="n">
        <v>4000</v>
      </c>
      <c r="I102" s="45" t="n">
        <f aca="false">ROUND(PI()*125*H102/60000,2)</f>
        <v>26.18</v>
      </c>
      <c r="J102" s="45" t="n">
        <v>20</v>
      </c>
      <c r="K102" s="45" t="n">
        <v>28</v>
      </c>
      <c r="L102" s="45" t="n">
        <v>16</v>
      </c>
      <c r="M102" s="45" t="n">
        <v>0.28</v>
      </c>
      <c r="N102" s="46" t="s">
        <v>32</v>
      </c>
      <c r="O102" s="47" t="s">
        <v>219</v>
      </c>
    </row>
    <row r="103" customFormat="false" ht="15.75" hidden="false" customHeight="true" outlineLevel="0" collapsed="false">
      <c r="A103" s="45" t="s">
        <v>271</v>
      </c>
      <c r="B103" s="45" t="s">
        <v>221</v>
      </c>
      <c r="C103" s="46" t="s">
        <v>152</v>
      </c>
      <c r="D103" s="45" t="s">
        <v>108</v>
      </c>
      <c r="E103" s="45" t="n">
        <v>6</v>
      </c>
      <c r="F103" s="46" t="s">
        <v>226</v>
      </c>
      <c r="G103" s="45" t="s">
        <v>233</v>
      </c>
      <c r="H103" s="45" t="n">
        <v>4000</v>
      </c>
      <c r="I103" s="45" t="n">
        <f aca="false">ROUND(PI()*125*H103/60000,2)</f>
        <v>26.18</v>
      </c>
      <c r="J103" s="45" t="n">
        <v>20</v>
      </c>
      <c r="K103" s="45" t="n">
        <v>28</v>
      </c>
      <c r="L103" s="45" t="n">
        <v>16</v>
      </c>
      <c r="M103" s="45" t="n">
        <v>0.28</v>
      </c>
      <c r="N103" s="46" t="s">
        <v>32</v>
      </c>
      <c r="O103" s="47" t="s">
        <v>219</v>
      </c>
    </row>
    <row r="104" customFormat="false" ht="15.75" hidden="false" customHeight="true" outlineLevel="0" collapsed="false">
      <c r="A104" s="45" t="s">
        <v>272</v>
      </c>
      <c r="B104" s="45" t="s">
        <v>131</v>
      </c>
      <c r="C104" s="46" t="s">
        <v>152</v>
      </c>
      <c r="D104" s="45" t="s">
        <v>108</v>
      </c>
      <c r="E104" s="45" t="n">
        <v>6</v>
      </c>
      <c r="F104" s="46" t="s">
        <v>226</v>
      </c>
      <c r="G104" s="45" t="s">
        <v>233</v>
      </c>
      <c r="H104" s="45" t="n">
        <v>4000</v>
      </c>
      <c r="I104" s="45" t="n">
        <f aca="false">ROUND(PI()*125*H104/60000,2)</f>
        <v>26.18</v>
      </c>
      <c r="J104" s="45" t="n">
        <v>20</v>
      </c>
      <c r="K104" s="45" t="n">
        <v>28</v>
      </c>
      <c r="L104" s="45" t="n">
        <v>16</v>
      </c>
      <c r="M104" s="45" t="n">
        <v>0.28</v>
      </c>
      <c r="N104" s="46" t="s">
        <v>32</v>
      </c>
      <c r="O104" s="47" t="s">
        <v>219</v>
      </c>
    </row>
    <row r="105" customFormat="false" ht="15.75" hidden="false" customHeight="true" outlineLevel="0" collapsed="false">
      <c r="A105" s="45" t="s">
        <v>273</v>
      </c>
      <c r="B105" s="45" t="s">
        <v>133</v>
      </c>
      <c r="C105" s="46" t="s">
        <v>152</v>
      </c>
      <c r="D105" s="45" t="s">
        <v>108</v>
      </c>
      <c r="E105" s="45" t="n">
        <v>6</v>
      </c>
      <c r="F105" s="46" t="s">
        <v>226</v>
      </c>
      <c r="G105" s="45" t="s">
        <v>233</v>
      </c>
      <c r="H105" s="45" t="n">
        <v>4000</v>
      </c>
      <c r="I105" s="45" t="n">
        <f aca="false">ROUND(PI()*125*H105/60000,2)</f>
        <v>26.18</v>
      </c>
      <c r="J105" s="45" t="n">
        <v>28</v>
      </c>
      <c r="K105" s="45" t="n">
        <v>40</v>
      </c>
      <c r="L105" s="45" t="n">
        <v>22</v>
      </c>
      <c r="M105" s="45" t="n">
        <v>0.28</v>
      </c>
      <c r="N105" s="46" t="s">
        <v>32</v>
      </c>
      <c r="O105" s="47" t="s">
        <v>219</v>
      </c>
    </row>
    <row r="106" customFormat="false" ht="15.75" hidden="false" customHeight="true" outlineLevel="0" collapsed="false">
      <c r="A106" s="45" t="s">
        <v>274</v>
      </c>
      <c r="B106" s="45" t="s">
        <v>223</v>
      </c>
      <c r="C106" s="46" t="s">
        <v>152</v>
      </c>
      <c r="D106" s="45" t="s">
        <v>108</v>
      </c>
      <c r="E106" s="45" t="n">
        <v>6</v>
      </c>
      <c r="F106" s="46" t="s">
        <v>226</v>
      </c>
      <c r="G106" s="45" t="s">
        <v>233</v>
      </c>
      <c r="H106" s="45" t="n">
        <v>4000</v>
      </c>
      <c r="I106" s="45" t="n">
        <f aca="false">ROUND(PI()*125*H106/60000,2)</f>
        <v>26.18</v>
      </c>
      <c r="J106" s="45" t="n">
        <v>28</v>
      </c>
      <c r="K106" s="45" t="n">
        <v>40</v>
      </c>
      <c r="L106" s="45" t="n">
        <v>22</v>
      </c>
      <c r="M106" s="45" t="n">
        <v>0.28</v>
      </c>
      <c r="N106" s="46" t="s">
        <v>32</v>
      </c>
      <c r="O106" s="47" t="s">
        <v>219</v>
      </c>
    </row>
    <row r="107" customFormat="false" ht="15.75" hidden="false" customHeight="true" outlineLevel="0" collapsed="false">
      <c r="A107" s="45" t="s">
        <v>275</v>
      </c>
      <c r="B107" s="45" t="s">
        <v>106</v>
      </c>
      <c r="C107" s="46" t="s">
        <v>152</v>
      </c>
      <c r="D107" s="45" t="s">
        <v>108</v>
      </c>
      <c r="E107" s="45" t="n">
        <v>6</v>
      </c>
      <c r="F107" s="46" t="s">
        <v>226</v>
      </c>
      <c r="G107" s="45" t="s">
        <v>233</v>
      </c>
      <c r="H107" s="45" t="n">
        <v>4000</v>
      </c>
      <c r="I107" s="45" t="n">
        <f aca="false">ROUND(PI()*125*H107/60000,2)</f>
        <v>26.18</v>
      </c>
      <c r="J107" s="45" t="n">
        <v>38</v>
      </c>
      <c r="K107" s="45" t="n">
        <v>55</v>
      </c>
      <c r="L107" s="45" t="n">
        <v>28</v>
      </c>
      <c r="M107" s="45" t="n">
        <v>0.35</v>
      </c>
      <c r="N107" s="46" t="s">
        <v>32</v>
      </c>
      <c r="O107" s="47" t="s">
        <v>219</v>
      </c>
    </row>
    <row r="108" customFormat="false" ht="15.75" hidden="false" customHeight="true" outlineLevel="0" collapsed="false">
      <c r="A108" s="45" t="s">
        <v>276</v>
      </c>
      <c r="B108" s="45" t="s">
        <v>113</v>
      </c>
      <c r="C108" s="46" t="s">
        <v>152</v>
      </c>
      <c r="D108" s="45" t="s">
        <v>108</v>
      </c>
      <c r="E108" s="45" t="n">
        <v>6</v>
      </c>
      <c r="F108" s="46" t="s">
        <v>226</v>
      </c>
      <c r="G108" s="45" t="s">
        <v>233</v>
      </c>
      <c r="H108" s="45" t="n">
        <v>4000</v>
      </c>
      <c r="I108" s="45" t="n">
        <f aca="false">ROUND(PI()*125*H108/60000,2)</f>
        <v>26.18</v>
      </c>
      <c r="J108" s="45" t="n">
        <v>38</v>
      </c>
      <c r="K108" s="45" t="n">
        <v>55</v>
      </c>
      <c r="L108" s="45" t="n">
        <v>28</v>
      </c>
      <c r="M108" s="45" t="n">
        <v>0.35</v>
      </c>
      <c r="N108" s="46" t="s">
        <v>32</v>
      </c>
      <c r="O108" s="47" t="s">
        <v>219</v>
      </c>
    </row>
    <row r="109" customFormat="false" ht="15.75" hidden="false" customHeight="true" outlineLevel="0" collapsed="false">
      <c r="A109" s="45" t="s">
        <v>277</v>
      </c>
      <c r="B109" s="45" t="s">
        <v>136</v>
      </c>
      <c r="C109" s="46" t="s">
        <v>152</v>
      </c>
      <c r="D109" s="45" t="s">
        <v>108</v>
      </c>
      <c r="E109" s="45" t="n">
        <v>6</v>
      </c>
      <c r="F109" s="46" t="s">
        <v>226</v>
      </c>
      <c r="G109" s="45" t="s">
        <v>233</v>
      </c>
      <c r="H109" s="45" t="n">
        <v>4000</v>
      </c>
      <c r="I109" s="45" t="n">
        <f aca="false">ROUND(PI()*125*H109/60000,2)</f>
        <v>26.18</v>
      </c>
      <c r="J109" s="45" t="n">
        <v>45</v>
      </c>
      <c r="K109" s="45" t="n">
        <v>65</v>
      </c>
      <c r="L109" s="45" t="n">
        <v>32</v>
      </c>
      <c r="M109" s="45" t="n">
        <v>0.35</v>
      </c>
      <c r="N109" s="46" t="s">
        <v>32</v>
      </c>
      <c r="O109" s="47" t="s">
        <v>219</v>
      </c>
    </row>
    <row r="110" customFormat="false" ht="15.75" hidden="false" customHeight="true" outlineLevel="0" collapsed="false">
      <c r="A110" s="45" t="s">
        <v>278</v>
      </c>
      <c r="B110" s="45" t="s">
        <v>138</v>
      </c>
      <c r="C110" s="46" t="s">
        <v>152</v>
      </c>
      <c r="D110" s="45" t="s">
        <v>108</v>
      </c>
      <c r="E110" s="45" t="n">
        <v>6</v>
      </c>
      <c r="F110" s="46" t="s">
        <v>226</v>
      </c>
      <c r="G110" s="45" t="s">
        <v>233</v>
      </c>
      <c r="H110" s="45" t="n">
        <v>4000</v>
      </c>
      <c r="I110" s="45" t="n">
        <f aca="false">ROUND(PI()*125*H110/60000,2)</f>
        <v>26.18</v>
      </c>
      <c r="J110" s="45" t="n">
        <v>45</v>
      </c>
      <c r="K110" s="45" t="n">
        <v>65</v>
      </c>
      <c r="L110" s="45" t="n">
        <v>32</v>
      </c>
      <c r="M110" s="45" t="n">
        <v>0.35</v>
      </c>
      <c r="N110" s="46" t="s">
        <v>32</v>
      </c>
      <c r="O110" s="47" t="s">
        <v>219</v>
      </c>
    </row>
    <row r="111" customFormat="false" ht="15.75" hidden="false" customHeight="true" outlineLevel="0" collapsed="false">
      <c r="A111" s="45" t="s">
        <v>279</v>
      </c>
      <c r="B111" s="45" t="s">
        <v>142</v>
      </c>
      <c r="C111" s="46" t="s">
        <v>152</v>
      </c>
      <c r="D111" s="45" t="s">
        <v>108</v>
      </c>
      <c r="E111" s="45" t="n">
        <v>6</v>
      </c>
      <c r="F111" s="46" t="s">
        <v>226</v>
      </c>
      <c r="G111" s="45" t="s">
        <v>233</v>
      </c>
      <c r="H111" s="45" t="n">
        <v>4000</v>
      </c>
      <c r="I111" s="45" t="n">
        <f aca="false">ROUND(PI()*125*H111/60000,2)</f>
        <v>26.18</v>
      </c>
      <c r="J111" s="45" t="n">
        <v>55</v>
      </c>
      <c r="K111" s="45" t="n">
        <v>78</v>
      </c>
      <c r="L111" s="45" t="n">
        <v>38</v>
      </c>
      <c r="M111" s="45" t="n">
        <v>0.42</v>
      </c>
      <c r="N111" s="46" t="s">
        <v>32</v>
      </c>
      <c r="O111" s="47" t="s">
        <v>219</v>
      </c>
    </row>
    <row r="112" customFormat="false" ht="15.75" hidden="false" customHeight="true" outlineLevel="0" collapsed="false">
      <c r="A112" s="45" t="s">
        <v>280</v>
      </c>
      <c r="B112" s="45" t="s">
        <v>144</v>
      </c>
      <c r="C112" s="46" t="s">
        <v>152</v>
      </c>
      <c r="D112" s="45" t="s">
        <v>108</v>
      </c>
      <c r="E112" s="45" t="n">
        <v>6</v>
      </c>
      <c r="F112" s="46" t="s">
        <v>226</v>
      </c>
      <c r="G112" s="45" t="s">
        <v>233</v>
      </c>
      <c r="H112" s="45" t="n">
        <v>4000</v>
      </c>
      <c r="I112" s="45" t="n">
        <f aca="false">ROUND(PI()*125*H112/60000,2)</f>
        <v>26.18</v>
      </c>
      <c r="J112" s="45" t="n">
        <v>55</v>
      </c>
      <c r="K112" s="45" t="n">
        <v>78</v>
      </c>
      <c r="L112" s="45" t="n">
        <v>38</v>
      </c>
      <c r="M112" s="45" t="n">
        <v>0.42</v>
      </c>
      <c r="N112" s="46" t="s">
        <v>32</v>
      </c>
      <c r="O112" s="47" t="s">
        <v>219</v>
      </c>
    </row>
  </sheetData>
  <mergeCells count="14">
    <mergeCell ref="A1:O1"/>
    <mergeCell ref="A3:O3"/>
    <mergeCell ref="A7:O7"/>
    <mergeCell ref="A10:O10"/>
    <mergeCell ref="A11:O11"/>
    <mergeCell ref="A23:O23"/>
    <mergeCell ref="A24:O24"/>
    <mergeCell ref="A37:O37"/>
    <mergeCell ref="A50:O50"/>
    <mergeCell ref="A61:O61"/>
    <mergeCell ref="A62:O62"/>
    <mergeCell ref="A75:O75"/>
    <mergeCell ref="A88:O88"/>
    <mergeCell ref="A101:O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7" min="3" style="0" width="18"/>
  </cols>
  <sheetData>
    <row r="2" customFormat="false" ht="24" hidden="false" customHeight="true" outlineLevel="0" collapsed="false">
      <c r="B2" s="54" t="s">
        <v>281</v>
      </c>
      <c r="C2" s="54"/>
      <c r="D2" s="54"/>
      <c r="E2" s="54"/>
    </row>
    <row r="4" customFormat="false" ht="15" hidden="false" customHeight="true" outlineLevel="0" collapsed="false">
      <c r="B4" s="3" t="s">
        <v>47</v>
      </c>
      <c r="C4" s="3" t="s">
        <v>282</v>
      </c>
      <c r="D4" s="3" t="s">
        <v>283</v>
      </c>
      <c r="E4" s="3" t="s">
        <v>284</v>
      </c>
    </row>
    <row r="5" customFormat="false" ht="19.5" hidden="false" customHeight="true" outlineLevel="0" collapsed="false">
      <c r="B5" s="55" t="s">
        <v>23</v>
      </c>
      <c r="C5" s="56" t="s">
        <v>285</v>
      </c>
      <c r="D5" s="56" t="s">
        <v>286</v>
      </c>
      <c r="E5" s="57"/>
    </row>
    <row r="6" customFormat="false" ht="19.5" hidden="false" customHeight="true" outlineLevel="0" collapsed="false">
      <c r="B6" s="55" t="s">
        <v>26</v>
      </c>
      <c r="C6" s="56" t="s">
        <v>287</v>
      </c>
      <c r="D6" s="56" t="s">
        <v>288</v>
      </c>
      <c r="E6" s="57"/>
    </row>
    <row r="7" customFormat="false" ht="19.5" hidden="false" customHeight="true" outlineLevel="0" collapsed="false">
      <c r="B7" s="58" t="s">
        <v>29</v>
      </c>
      <c r="C7" s="18" t="s">
        <v>289</v>
      </c>
      <c r="D7" s="18" t="s">
        <v>290</v>
      </c>
      <c r="E7" s="59"/>
    </row>
    <row r="8" customFormat="false" ht="19.5" hidden="false" customHeight="true" outlineLevel="0" collapsed="false">
      <c r="B8" s="60" t="s">
        <v>32</v>
      </c>
      <c r="C8" s="31" t="s">
        <v>291</v>
      </c>
      <c r="D8" s="31" t="s">
        <v>292</v>
      </c>
      <c r="E8" s="61"/>
    </row>
    <row r="11" customFormat="false" ht="19.5" hidden="false" customHeight="true" outlineLevel="0" collapsed="false">
      <c r="B11" s="62" t="s">
        <v>293</v>
      </c>
      <c r="C11" s="62"/>
      <c r="D11" s="62"/>
      <c r="E11" s="62"/>
    </row>
    <row r="12" customFormat="false" ht="15" hidden="false" customHeight="true" outlineLevel="0" collapsed="false">
      <c r="B12" s="3" t="s">
        <v>294</v>
      </c>
      <c r="C12" s="3" t="s">
        <v>295</v>
      </c>
      <c r="D12" s="3" t="s">
        <v>296</v>
      </c>
      <c r="E12" s="3"/>
    </row>
    <row r="13" customFormat="false" ht="18" hidden="false" customHeight="true" outlineLevel="0" collapsed="false">
      <c r="B13" s="63" t="s">
        <v>297</v>
      </c>
      <c r="C13" s="64" t="s">
        <v>298</v>
      </c>
      <c r="D13" s="64" t="s">
        <v>299</v>
      </c>
      <c r="E13" s="64"/>
    </row>
    <row r="14" customFormat="false" ht="18" hidden="false" customHeight="true" outlineLevel="0" collapsed="false">
      <c r="B14" s="63" t="s">
        <v>300</v>
      </c>
      <c r="C14" s="64" t="s">
        <v>301</v>
      </c>
      <c r="D14" s="64" t="s">
        <v>302</v>
      </c>
      <c r="E14" s="64"/>
    </row>
    <row r="15" customFormat="false" ht="18" hidden="false" customHeight="true" outlineLevel="0" collapsed="false">
      <c r="B15" s="63" t="s">
        <v>303</v>
      </c>
      <c r="C15" s="64" t="s">
        <v>304</v>
      </c>
      <c r="D15" s="64" t="s">
        <v>305</v>
      </c>
      <c r="E15" s="64"/>
    </row>
    <row r="16" customFormat="false" ht="18" hidden="false" customHeight="true" outlineLevel="0" collapsed="false">
      <c r="B16" s="63" t="s">
        <v>306</v>
      </c>
      <c r="C16" s="64" t="s">
        <v>307</v>
      </c>
      <c r="D16" s="64" t="s">
        <v>308</v>
      </c>
      <c r="E16" s="64"/>
    </row>
    <row r="19" customFormat="false" ht="25.5" hidden="false" customHeight="true" outlineLevel="0" collapsed="false">
      <c r="B19" s="65" t="s">
        <v>309</v>
      </c>
      <c r="C19" s="65"/>
      <c r="D19" s="65"/>
      <c r="E19" s="65"/>
      <c r="F19" s="65"/>
      <c r="G19" s="65"/>
    </row>
    <row r="20" customFormat="false" ht="13.5" hidden="false" customHeight="true" outlineLevel="0" collapsed="false">
      <c r="B20" s="66" t="s">
        <v>310</v>
      </c>
      <c r="C20" s="66"/>
      <c r="D20" s="66"/>
      <c r="E20" s="66"/>
      <c r="F20" s="66"/>
      <c r="G20" s="66"/>
    </row>
    <row r="21" customFormat="false" ht="19.5" hidden="false" customHeight="true" outlineLevel="0" collapsed="false">
      <c r="B21" s="62" t="s">
        <v>311</v>
      </c>
      <c r="C21" s="62"/>
      <c r="D21" s="62"/>
      <c r="E21" s="62"/>
      <c r="F21" s="62"/>
      <c r="G21" s="62"/>
    </row>
    <row r="22" customFormat="false" ht="18" hidden="false" customHeight="true" outlineLevel="0" collapsed="false">
      <c r="B22" s="67" t="s">
        <v>312</v>
      </c>
      <c r="C22" s="67" t="s">
        <v>313</v>
      </c>
      <c r="D22" s="67" t="s">
        <v>314</v>
      </c>
      <c r="E22" s="67" t="s">
        <v>315</v>
      </c>
      <c r="F22" s="67" t="s">
        <v>314</v>
      </c>
      <c r="G22" s="67" t="s">
        <v>316</v>
      </c>
    </row>
    <row r="23" customFormat="false" ht="27.75" hidden="false" customHeight="true" outlineLevel="0" collapsed="false">
      <c r="B23" s="68" t="s">
        <v>317</v>
      </c>
      <c r="C23" s="69" t="n">
        <v>200</v>
      </c>
      <c r="D23" s="70" t="s">
        <v>318</v>
      </c>
      <c r="E23" s="69" t="n">
        <v>10</v>
      </c>
      <c r="F23" s="70" t="s">
        <v>319</v>
      </c>
      <c r="G23" s="71" t="n">
        <f aca="false">ROUND(1000*C23/(PI()*E23),0)</f>
        <v>6366</v>
      </c>
    </row>
    <row r="24" customFormat="false" ht="12.75" hidden="false" customHeight="true" outlineLevel="0" collapsed="false">
      <c r="B24" s="72"/>
      <c r="C24" s="72" t="s">
        <v>320</v>
      </c>
      <c r="D24" s="72"/>
      <c r="E24" s="72" t="s">
        <v>321</v>
      </c>
      <c r="F24" s="72"/>
      <c r="G24" s="72" t="s">
        <v>322</v>
      </c>
    </row>
    <row r="26" customFormat="false" ht="19.5" hidden="false" customHeight="true" outlineLevel="0" collapsed="false">
      <c r="B26" s="62" t="s">
        <v>323</v>
      </c>
      <c r="C26" s="62"/>
      <c r="D26" s="62"/>
      <c r="E26" s="62"/>
      <c r="F26" s="62"/>
      <c r="G26" s="62"/>
    </row>
    <row r="27" customFormat="false" ht="18" hidden="false" customHeight="true" outlineLevel="0" collapsed="false">
      <c r="B27" s="67" t="s">
        <v>312</v>
      </c>
      <c r="C27" s="67" t="s">
        <v>324</v>
      </c>
      <c r="D27" s="67" t="s">
        <v>314</v>
      </c>
      <c r="E27" s="67" t="s">
        <v>325</v>
      </c>
      <c r="F27" s="67" t="s">
        <v>326</v>
      </c>
      <c r="G27" s="67" t="s">
        <v>327</v>
      </c>
    </row>
    <row r="28" customFormat="false" ht="27.75" hidden="false" customHeight="true" outlineLevel="0" collapsed="false">
      <c r="B28" s="68" t="s">
        <v>317</v>
      </c>
      <c r="C28" s="69" t="n">
        <v>6366</v>
      </c>
      <c r="D28" s="70" t="s">
        <v>99</v>
      </c>
      <c r="E28" s="69" t="n">
        <v>0.15</v>
      </c>
      <c r="F28" s="69" t="n">
        <v>4</v>
      </c>
      <c r="G28" s="71" t="n">
        <f aca="false">ROUND(C28*E28*F28,1)</f>
        <v>3819.6</v>
      </c>
    </row>
    <row r="29" customFormat="false" ht="12.75" hidden="false" customHeight="true" outlineLevel="0" collapsed="false">
      <c r="B29" s="72"/>
      <c r="C29" s="72" t="s">
        <v>328</v>
      </c>
      <c r="D29" s="72"/>
      <c r="E29" s="72" t="s">
        <v>329</v>
      </c>
      <c r="F29" s="72" t="s">
        <v>330</v>
      </c>
      <c r="G29" s="72" t="s">
        <v>331</v>
      </c>
    </row>
    <row r="31" customFormat="false" ht="19.5" hidden="false" customHeight="true" outlineLevel="0" collapsed="false">
      <c r="B31" s="62" t="s">
        <v>332</v>
      </c>
      <c r="C31" s="62"/>
      <c r="D31" s="62"/>
      <c r="E31" s="62"/>
      <c r="F31" s="62"/>
      <c r="G31" s="62"/>
    </row>
    <row r="32" customFormat="false" ht="13.5" hidden="false" customHeight="true" outlineLevel="0" collapsed="false">
      <c r="B32" s="73" t="s">
        <v>333</v>
      </c>
      <c r="C32" s="73"/>
      <c r="D32" s="73"/>
      <c r="E32" s="73"/>
      <c r="F32" s="73"/>
      <c r="G32" s="73"/>
    </row>
    <row r="33" customFormat="false" ht="18" hidden="false" customHeight="true" outlineLevel="0" collapsed="false">
      <c r="B33" s="67" t="s">
        <v>312</v>
      </c>
      <c r="C33" s="67" t="s">
        <v>334</v>
      </c>
      <c r="D33" s="74" t="s">
        <v>335</v>
      </c>
      <c r="E33" s="67" t="s">
        <v>336</v>
      </c>
      <c r="F33" s="74" t="s">
        <v>337</v>
      </c>
      <c r="G33" s="67" t="s">
        <v>338</v>
      </c>
    </row>
    <row r="34" customFormat="false" ht="27.75" hidden="false" customHeight="true" outlineLevel="0" collapsed="false">
      <c r="B34" s="68" t="s">
        <v>317</v>
      </c>
      <c r="C34" s="69" t="n">
        <v>125</v>
      </c>
      <c r="D34" s="69" t="n">
        <v>3850</v>
      </c>
      <c r="E34" s="71" t="n">
        <f aca="false">ROUND(PI()*C34*D34/60000,2)</f>
        <v>25.2</v>
      </c>
      <c r="F34" s="69" t="n">
        <v>25</v>
      </c>
      <c r="G34" s="71" t="n">
        <f aca="false">ROUND(60000*F34/(PI()*C34),0)</f>
        <v>3820</v>
      </c>
    </row>
    <row r="35" customFormat="false" ht="12.75" hidden="false" customHeight="true" outlineLevel="0" collapsed="false">
      <c r="B35" s="72"/>
      <c r="C35" s="75" t="s">
        <v>339</v>
      </c>
      <c r="D35" s="72" t="s">
        <v>340</v>
      </c>
      <c r="E35" s="72" t="s">
        <v>341</v>
      </c>
      <c r="F35" s="72" t="s">
        <v>342</v>
      </c>
      <c r="G35" s="72" t="s">
        <v>322</v>
      </c>
    </row>
    <row r="36" customFormat="false" ht="15.75" hidden="false" customHeight="true" outlineLevel="0" collapsed="false">
      <c r="B36" s="76" t="s">
        <v>343</v>
      </c>
      <c r="C36" s="76"/>
      <c r="D36" s="76"/>
      <c r="E36" s="76"/>
      <c r="F36" s="76"/>
      <c r="G36" s="76"/>
    </row>
    <row r="38" customFormat="false" ht="19.5" hidden="false" customHeight="true" outlineLevel="0" collapsed="false">
      <c r="B38" s="62" t="s">
        <v>344</v>
      </c>
      <c r="C38" s="62"/>
      <c r="D38" s="62"/>
      <c r="E38" s="62"/>
      <c r="F38" s="62"/>
      <c r="G38" s="62"/>
    </row>
    <row r="39" customFormat="false" ht="18" hidden="false" customHeight="true" outlineLevel="0" collapsed="false">
      <c r="B39" s="67" t="s">
        <v>312</v>
      </c>
      <c r="C39" s="67" t="s">
        <v>345</v>
      </c>
      <c r="D39" s="67" t="s">
        <v>314</v>
      </c>
      <c r="E39" s="67" t="s">
        <v>346</v>
      </c>
      <c r="F39" s="67" t="s">
        <v>314</v>
      </c>
      <c r="G39" s="67" t="s">
        <v>347</v>
      </c>
    </row>
    <row r="40" customFormat="false" ht="27.75" hidden="false" customHeight="true" outlineLevel="0" collapsed="false">
      <c r="B40" s="68" t="s">
        <v>317</v>
      </c>
      <c r="C40" s="69" t="n">
        <v>500</v>
      </c>
      <c r="D40" s="70" t="s">
        <v>348</v>
      </c>
      <c r="E40" s="69" t="n">
        <v>0.3</v>
      </c>
      <c r="F40" s="70" t="s">
        <v>319</v>
      </c>
      <c r="G40" s="71" t="n">
        <f aca="false">ROUND(C40*E40/1000,2)</f>
        <v>0.15</v>
      </c>
    </row>
    <row r="41" customFormat="false" ht="12.75" hidden="false" customHeight="true" outlineLevel="0" collapsed="false">
      <c r="B41" s="75"/>
      <c r="C41" s="72" t="s">
        <v>349</v>
      </c>
      <c r="D41" s="75"/>
      <c r="E41" s="72" t="s">
        <v>350</v>
      </c>
      <c r="F41" s="75"/>
      <c r="G41" s="72" t="s">
        <v>351</v>
      </c>
    </row>
    <row r="42" customFormat="false" ht="13.5" hidden="false" customHeight="true" outlineLevel="0" collapsed="false">
      <c r="B42" s="77" t="s">
        <v>352</v>
      </c>
      <c r="C42" s="77"/>
      <c r="D42" s="77"/>
      <c r="E42" s="77"/>
      <c r="F42" s="77"/>
      <c r="G42" s="77"/>
    </row>
  </sheetData>
  <mergeCells count="11">
    <mergeCell ref="B2:E2"/>
    <mergeCell ref="B11:E11"/>
    <mergeCell ref="B19:G19"/>
    <mergeCell ref="B20:G20"/>
    <mergeCell ref="B21:G21"/>
    <mergeCell ref="B26:G26"/>
    <mergeCell ref="B31:G31"/>
    <mergeCell ref="B32:G32"/>
    <mergeCell ref="B36:G36"/>
    <mergeCell ref="B38:G38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2026-05-28T01:21:51Z</dcterms:created>
  <dc:creator>openpyxl</dc:creator>
  <dc:description/>
  <dc:language>en-US</dc:language>
  <cp:lastModifiedBy>TOOLKOREA</cp:lastModifiedBy>
  <dcterms:modified xsi:type="dcterms:W3CDTF">2026-05-28T07:37:54Z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