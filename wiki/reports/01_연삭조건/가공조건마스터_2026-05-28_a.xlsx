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firstSheet="1" activeTab="3"/>
  </bookViews>
  <sheets>
    <sheet name="📋 INDEX" sheetId="1" r:id="rId1"/>
    <sheet name="① MCT_S45C" sheetId="2" r:id="rId2"/>
    <sheet name="② MCT_Al" sheetId="5" r:id="rId3"/>
    <sheet name="③ GRIND_조건" sheetId="3" r:id="rId4"/>
    <sheet name="④ 신뢰도_범례" sheetId="6" r:id="rId5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0" i="6" l="1"/>
  <c r="G34" i="6"/>
  <c r="E34" i="6"/>
  <c r="G28" i="6"/>
  <c r="G23" i="6"/>
  <c r="G13" i="5"/>
  <c r="F13" i="5"/>
  <c r="F12" i="5"/>
  <c r="G12" i="5" s="1"/>
  <c r="F11" i="5"/>
  <c r="G11" i="5" s="1"/>
  <c r="F10" i="5"/>
  <c r="G10" i="5" s="1"/>
  <c r="G9" i="5"/>
  <c r="F9" i="5"/>
  <c r="F8" i="5"/>
  <c r="G8" i="5" s="1"/>
  <c r="F7" i="5"/>
  <c r="G7" i="5" s="1"/>
  <c r="F6" i="5"/>
  <c r="G6" i="5" s="1"/>
  <c r="J12" i="3"/>
  <c r="J8" i="3"/>
  <c r="J7" i="3"/>
  <c r="G12" i="2"/>
  <c r="F12" i="2"/>
  <c r="F11" i="2"/>
  <c r="G11" i="2" s="1"/>
  <c r="F10" i="2"/>
  <c r="G10" i="2" s="1"/>
  <c r="G9" i="2"/>
  <c r="F9" i="2"/>
  <c r="G8" i="2"/>
  <c r="F8" i="2"/>
  <c r="F7" i="2"/>
  <c r="G7" i="2" s="1"/>
  <c r="F6" i="2"/>
  <c r="G6" i="2" s="1"/>
</calcChain>
</file>

<file path=xl/sharedStrings.xml><?xml version="1.0" encoding="utf-8"?>
<sst xmlns="http://schemas.openxmlformats.org/spreadsheetml/2006/main" count="821" uniqueCount="280">
  <si>
    <r>
      <rPr>
        <b/>
        <sz val="14"/>
        <color rgb="FFFFFFFF"/>
        <rFont val="Arial"/>
        <family val="2"/>
      </rPr>
      <t xml:space="preserve">TOOLKOREA cnc-wiki — </t>
    </r>
    <r>
      <rPr>
        <b/>
        <sz val="14"/>
        <color rgb="FFFFFFFF"/>
        <rFont val="DejaVu Sans"/>
        <family val="2"/>
      </rPr>
      <t>가공 조건 마스터 시트</t>
    </r>
  </si>
  <si>
    <r>
      <rPr>
        <sz val="9"/>
        <color rgb="FF595959"/>
        <rFont val="Arial"/>
        <family val="2"/>
      </rPr>
      <t xml:space="preserve">MCT </t>
    </r>
    <r>
      <rPr>
        <sz val="9"/>
        <color rgb="FF595959"/>
        <rFont val="DejaVu Sans"/>
        <family val="2"/>
      </rPr>
      <t>밀링</t>
    </r>
    <r>
      <rPr>
        <sz val="9"/>
        <color rgb="FF595959"/>
        <rFont val="Arial"/>
        <family val="2"/>
      </rPr>
      <t xml:space="preserve">(S45C·Al) + </t>
    </r>
    <r>
      <rPr>
        <sz val="9"/>
        <color rgb="FF595959"/>
        <rFont val="DejaVu Sans"/>
        <family val="2"/>
      </rPr>
      <t>공구 연삭</t>
    </r>
    <r>
      <rPr>
        <sz val="9"/>
        <color rgb="FF595959"/>
        <rFont val="Arial"/>
        <family val="2"/>
      </rPr>
      <t xml:space="preserve">(ANCA) </t>
    </r>
    <r>
      <rPr>
        <sz val="9"/>
        <color rgb="FF595959"/>
        <rFont val="DejaVu Sans"/>
        <family val="2"/>
      </rPr>
      <t xml:space="preserve">조건 통합표  </t>
    </r>
    <r>
      <rPr>
        <sz val="9"/>
        <color rgb="FF595959"/>
        <rFont val="Arial"/>
        <family val="2"/>
      </rPr>
      <t xml:space="preserve">|  2026-05-28 </t>
    </r>
    <r>
      <rPr>
        <sz val="9"/>
        <color rgb="FF595959"/>
        <rFont val="DejaVu Sans"/>
        <family val="2"/>
      </rPr>
      <t>생성</t>
    </r>
  </si>
  <si>
    <t>시트명</t>
  </si>
  <si>
    <t>내용</t>
  </si>
  <si>
    <t>소재</t>
  </si>
  <si>
    <t>상태</t>
  </si>
  <si>
    <t>① MCT_S45C</t>
  </si>
  <si>
    <r>
      <rPr>
        <sz val="10"/>
        <color rgb="FF1F1F1F"/>
        <rFont val="Arial"/>
        <family val="2"/>
      </rPr>
      <t xml:space="preserve">MCT </t>
    </r>
    <r>
      <rPr>
        <sz val="10"/>
        <color rgb="FF1F1F1F"/>
        <rFont val="DejaVu Sans"/>
        <family val="2"/>
      </rPr>
      <t xml:space="preserve">밀링 — </t>
    </r>
    <r>
      <rPr>
        <sz val="10"/>
        <color rgb="FF1F1F1F"/>
        <rFont val="Arial"/>
        <family val="2"/>
      </rPr>
      <t>S45C / C45 / 1045</t>
    </r>
  </si>
  <si>
    <r>
      <rPr>
        <sz val="10"/>
        <color rgb="FF1F1F1F"/>
        <rFont val="DejaVu Sans"/>
        <family val="2"/>
      </rPr>
      <t xml:space="preserve">중탄소강 </t>
    </r>
    <r>
      <rPr>
        <sz val="10"/>
        <color rgb="FF1F1F1F"/>
        <rFont val="DejaVu Sans"/>
        <family val="2"/>
        <charset val="1"/>
      </rPr>
      <t>HB 170~270</t>
    </r>
  </si>
  <si>
    <r>
      <rPr>
        <sz val="10"/>
        <color rgb="FF1F1F1F"/>
        <rFont val="DejaVu Sans"/>
        <family val="2"/>
      </rPr>
      <t xml:space="preserve">데이터 반영 </t>
    </r>
    <r>
      <rPr>
        <sz val="10"/>
        <color rgb="FF1F1F1F"/>
        <rFont val="DejaVu Sans"/>
        <family val="2"/>
        <charset val="1"/>
      </rPr>
      <t>(</t>
    </r>
    <r>
      <rPr>
        <sz val="10"/>
        <color rgb="FF1F1F1F"/>
        <rFont val="DejaVu Sans"/>
        <family val="2"/>
      </rPr>
      <t xml:space="preserve">위키 </t>
    </r>
    <r>
      <rPr>
        <sz val="10"/>
        <color rgb="FF1F1F1F"/>
        <rFont val="DejaVu Sans"/>
        <family val="2"/>
        <charset val="1"/>
      </rPr>
      <t>§6.3)</t>
    </r>
  </si>
  <si>
    <t>② MCT_Al</t>
  </si>
  <si>
    <r>
      <rPr>
        <sz val="10"/>
        <color rgb="FF1F1F1F"/>
        <rFont val="Arial"/>
        <family val="2"/>
      </rPr>
      <t xml:space="preserve">MCT </t>
    </r>
    <r>
      <rPr>
        <sz val="10"/>
        <color rgb="FF1F1F1F"/>
        <rFont val="DejaVu Sans"/>
        <family val="2"/>
      </rPr>
      <t xml:space="preserve">밀링 — 알루미늄 </t>
    </r>
    <r>
      <rPr>
        <sz val="10"/>
        <color rgb="FF1F1F1F"/>
        <rFont val="Arial"/>
        <family val="2"/>
      </rPr>
      <t>6061·7075·5052</t>
    </r>
  </si>
  <si>
    <r>
      <rPr>
        <sz val="10"/>
        <color rgb="FF1F1F1F"/>
        <rFont val="DejaVu Sans"/>
        <family val="2"/>
      </rPr>
      <t xml:space="preserve">비철 </t>
    </r>
    <r>
      <rPr>
        <sz val="10"/>
        <color rgb="FF1F1F1F"/>
        <rFont val="DejaVu Sans"/>
        <family val="2"/>
        <charset val="1"/>
      </rPr>
      <t>N</t>
    </r>
    <r>
      <rPr>
        <sz val="10"/>
        <color rgb="FF1F1F1F"/>
        <rFont val="DejaVu Sans"/>
        <family val="2"/>
      </rPr>
      <t>그룹</t>
    </r>
  </si>
  <si>
    <r>
      <rPr>
        <sz val="10"/>
        <color rgb="FF1F1F1F"/>
        <rFont val="Arial"/>
        <family val="2"/>
      </rPr>
      <t>③ GRIND_</t>
    </r>
    <r>
      <rPr>
        <sz val="10"/>
        <color rgb="FF1F1F1F"/>
        <rFont val="DejaVu Sans"/>
        <family val="2"/>
      </rPr>
      <t>조건</t>
    </r>
  </si>
  <si>
    <r>
      <rPr>
        <sz val="10"/>
        <color rgb="FF1F1F1F"/>
        <rFont val="Arial"/>
        <family val="2"/>
      </rPr>
      <t xml:space="preserve">ANCA </t>
    </r>
    <r>
      <rPr>
        <sz val="10"/>
        <color rgb="FF1F1F1F"/>
        <rFont val="DejaVu Sans"/>
        <family val="2"/>
      </rPr>
      <t>연삭 — 확정</t>
    </r>
    <r>
      <rPr>
        <sz val="10"/>
        <color rgb="FF1F1F1F"/>
        <rFont val="Arial"/>
        <family val="2"/>
      </rPr>
      <t>·</t>
    </r>
    <r>
      <rPr>
        <sz val="10"/>
        <color rgb="FF1F1F1F"/>
        <rFont val="DejaVu Sans"/>
        <family val="2"/>
      </rPr>
      <t>검증중</t>
    </r>
    <r>
      <rPr>
        <sz val="10"/>
        <color rgb="FF1F1F1F"/>
        <rFont val="Arial"/>
        <family val="2"/>
      </rPr>
      <t>·</t>
    </r>
    <r>
      <rPr>
        <sz val="10"/>
        <color rgb="FF1F1F1F"/>
        <rFont val="DejaVu Sans"/>
        <family val="2"/>
      </rPr>
      <t>미기록 조건</t>
    </r>
  </si>
  <si>
    <r>
      <rPr>
        <sz val="10"/>
        <color rgb="FF1F1F1F"/>
        <rFont val="DejaVu Sans"/>
        <family val="2"/>
      </rPr>
      <t xml:space="preserve">초경 </t>
    </r>
    <r>
      <rPr>
        <sz val="10"/>
        <color rgb="FF1F1F1F"/>
        <rFont val="DejaVu Sans"/>
        <family val="2"/>
        <charset val="1"/>
      </rPr>
      <t>(Carbide)</t>
    </r>
  </si>
  <si>
    <r>
      <rPr>
        <sz val="10"/>
        <color rgb="FF1F1F1F"/>
        <rFont val="DejaVu Sans"/>
        <family val="2"/>
      </rPr>
      <t xml:space="preserve">확정 </t>
    </r>
    <r>
      <rPr>
        <sz val="10"/>
        <color rgb="FF1F1F1F"/>
        <rFont val="DejaVu Sans"/>
        <family val="2"/>
        <charset val="1"/>
      </rPr>
      <t>2</t>
    </r>
    <r>
      <rPr>
        <sz val="10"/>
        <color rgb="FF1F1F1F"/>
        <rFont val="DejaVu Sans"/>
        <family val="2"/>
      </rPr>
      <t>건</t>
    </r>
    <r>
      <rPr>
        <sz val="10"/>
        <color rgb="FF1F1F1F"/>
        <rFont val="DejaVu Sans"/>
        <family val="2"/>
        <charset val="1"/>
      </rPr>
      <t>·</t>
    </r>
    <r>
      <rPr>
        <sz val="10"/>
        <color rgb="FF1F1F1F"/>
        <rFont val="DejaVu Sans"/>
        <family val="2"/>
      </rPr>
      <t xml:space="preserve">검증중 </t>
    </r>
    <r>
      <rPr>
        <sz val="10"/>
        <color rgb="FF1F1F1F"/>
        <rFont val="DejaVu Sans"/>
        <family val="2"/>
        <charset val="1"/>
      </rPr>
      <t>1</t>
    </r>
    <r>
      <rPr>
        <sz val="10"/>
        <color rgb="FF1F1F1F"/>
        <rFont val="DejaVu Sans"/>
        <family val="2"/>
      </rPr>
      <t>건</t>
    </r>
    <r>
      <rPr>
        <sz val="10"/>
        <color rgb="FF1F1F1F"/>
        <rFont val="DejaVu Sans"/>
        <family val="2"/>
        <charset val="1"/>
      </rPr>
      <t>·</t>
    </r>
    <r>
      <rPr>
        <sz val="10"/>
        <color rgb="FF1F1F1F"/>
        <rFont val="DejaVu Sans"/>
        <family val="2"/>
      </rPr>
      <t>양식</t>
    </r>
  </si>
  <si>
    <r>
      <rPr>
        <sz val="10"/>
        <color rgb="FF1F1F1F"/>
        <rFont val="DejaVu Sans"/>
        <family val="2"/>
      </rPr>
      <t>④ 신뢰도</t>
    </r>
    <r>
      <rPr>
        <sz val="10"/>
        <color rgb="FF1F1F1F"/>
        <rFont val="DejaVu Sans"/>
        <family val="2"/>
        <charset val="1"/>
      </rPr>
      <t>_</t>
    </r>
    <r>
      <rPr>
        <sz val="10"/>
        <color rgb="FF1F1F1F"/>
        <rFont val="DejaVu Sans"/>
        <family val="2"/>
      </rPr>
      <t>범례</t>
    </r>
  </si>
  <si>
    <r>
      <rPr>
        <sz val="10"/>
        <color rgb="FF1F1F1F"/>
        <rFont val="DejaVu Sans"/>
        <family val="2"/>
      </rPr>
      <t xml:space="preserve">신뢰도 </t>
    </r>
    <r>
      <rPr>
        <sz val="10"/>
        <color rgb="FF1F1F1F"/>
        <rFont val="DejaVu Sans"/>
        <family val="2"/>
        <charset val="1"/>
      </rPr>
      <t>4</t>
    </r>
    <r>
      <rPr>
        <sz val="10"/>
        <color rgb="FF1F1F1F"/>
        <rFont val="DejaVu Sans"/>
        <family val="2"/>
      </rPr>
      <t xml:space="preserve">단계 </t>
    </r>
    <r>
      <rPr>
        <sz val="10"/>
        <color rgb="FF1F1F1F"/>
        <rFont val="DejaVu Sans"/>
        <family val="2"/>
        <charset val="1"/>
      </rPr>
      <t xml:space="preserve">+ </t>
    </r>
    <r>
      <rPr>
        <sz val="10"/>
        <color rgb="FF1F1F1F"/>
        <rFont val="DejaVu Sans"/>
        <family val="2"/>
      </rPr>
      <t>기호 설명</t>
    </r>
  </si>
  <si>
    <t>—</t>
  </si>
  <si>
    <t>참조용</t>
  </si>
  <si>
    <r>
      <rPr>
        <b/>
        <sz val="10"/>
        <color rgb="FFFFFFFF"/>
        <rFont val="DejaVu Sans"/>
        <family val="2"/>
      </rPr>
      <t xml:space="preserve">📌 신뢰도 </t>
    </r>
    <r>
      <rPr>
        <b/>
        <sz val="10"/>
        <color rgb="FFFFFFFF"/>
        <rFont val="DejaVu Sans"/>
        <family val="2"/>
        <charset val="1"/>
      </rPr>
      <t>4</t>
    </r>
    <r>
      <rPr>
        <b/>
        <sz val="10"/>
        <color rgb="FFFFFFFF"/>
        <rFont val="DejaVu Sans"/>
        <family val="2"/>
      </rPr>
      <t>단계</t>
    </r>
  </si>
  <si>
    <t>🟦</t>
  </si>
  <si>
    <t>제조사 기준</t>
  </si>
  <si>
    <r>
      <rPr>
        <sz val="10"/>
        <color rgb="FF1F1F1F"/>
        <rFont val="DejaVu Sans"/>
        <family val="2"/>
      </rPr>
      <t>제조사 카탈로그</t>
    </r>
    <r>
      <rPr>
        <sz val="10"/>
        <color rgb="FF1F1F1F"/>
        <rFont val="DejaVu Sans"/>
        <family val="2"/>
        <charset val="1"/>
      </rPr>
      <t>·</t>
    </r>
    <r>
      <rPr>
        <sz val="10"/>
        <color rgb="FF1F1F1F"/>
        <rFont val="DejaVu Sans"/>
        <family val="2"/>
      </rPr>
      <t>매뉴얼 직접 인용</t>
    </r>
  </si>
  <si>
    <t>🟩</t>
  </si>
  <si>
    <t>실측 검증</t>
  </si>
  <si>
    <t>사내 테스트로 재현 확인된 값</t>
  </si>
  <si>
    <t>🟨</t>
  </si>
  <si>
    <t>사내 경험값</t>
  </si>
  <si>
    <r>
      <rPr>
        <sz val="10"/>
        <color rgb="FF1F1F1F"/>
        <rFont val="DejaVu Sans"/>
        <family val="2"/>
      </rPr>
      <t>반복 경험에서 얻은 값</t>
    </r>
    <r>
      <rPr>
        <sz val="10"/>
        <color rgb="FF1F1F1F"/>
        <rFont val="DejaVu Sans"/>
        <family val="2"/>
        <charset val="1"/>
      </rPr>
      <t xml:space="preserve">, </t>
    </r>
    <r>
      <rPr>
        <sz val="10"/>
        <color rgb="FF1F1F1F"/>
        <rFont val="DejaVu Sans"/>
        <family val="2"/>
      </rPr>
      <t>체계적 검증 미완</t>
    </r>
  </si>
  <si>
    <t>🟧</t>
  </si>
  <si>
    <t>추정값</t>
  </si>
  <si>
    <r>
      <rPr>
        <sz val="10"/>
        <color rgb="FF1F1F1F"/>
        <rFont val="DejaVu Sans"/>
        <family val="2"/>
      </rPr>
      <t xml:space="preserve">근거 불충분 또는 유추된 값 </t>
    </r>
    <r>
      <rPr>
        <sz val="10"/>
        <color rgb="FF1F1F1F"/>
        <rFont val="DejaVu Sans"/>
        <family val="2"/>
        <charset val="1"/>
      </rPr>
      <t>(</t>
    </r>
    <r>
      <rPr>
        <sz val="10"/>
        <color rgb="FF1F1F1F"/>
        <rFont val="DejaVu Sans"/>
        <family val="2"/>
      </rPr>
      <t>확인 필요</t>
    </r>
    <r>
      <rPr>
        <sz val="10"/>
        <color rgb="FF1F1F1F"/>
        <rFont val="DejaVu Sans"/>
        <family val="2"/>
        <charset val="1"/>
      </rPr>
      <t>)</t>
    </r>
  </si>
  <si>
    <r>
      <rPr>
        <b/>
        <sz val="12"/>
        <color rgb="FFFFFFFF"/>
        <rFont val="Arial"/>
        <family val="2"/>
      </rPr>
      <t xml:space="preserve">MCT </t>
    </r>
    <r>
      <rPr>
        <b/>
        <sz val="12"/>
        <color rgb="FFFFFFFF"/>
        <rFont val="DejaVu Sans"/>
        <family val="2"/>
      </rPr>
      <t xml:space="preserve">밀링 절삭 조건표 — </t>
    </r>
    <r>
      <rPr>
        <b/>
        <sz val="12"/>
        <color rgb="FFFFFFFF"/>
        <rFont val="Arial"/>
        <family val="2"/>
      </rPr>
      <t>S45C / C45 / 1045  (</t>
    </r>
    <r>
      <rPr>
        <b/>
        <sz val="12"/>
        <color rgb="FFFFFFFF"/>
        <rFont val="DejaVu Sans"/>
        <family val="2"/>
      </rPr>
      <t>중탄소강</t>
    </r>
    <r>
      <rPr>
        <b/>
        <sz val="12"/>
        <color rgb="FFFFFFFF"/>
        <rFont val="Arial"/>
        <family val="2"/>
      </rPr>
      <t>, ISO P20~P40)</t>
    </r>
  </si>
  <si>
    <r>
      <rPr>
        <i/>
        <sz val="8"/>
        <color rgb="FF595959"/>
        <rFont val="DejaVu Sans"/>
        <family val="2"/>
      </rPr>
      <t>소재 경도</t>
    </r>
    <r>
      <rPr>
        <i/>
        <sz val="8"/>
        <color rgb="FF595959"/>
        <rFont val="DejaVu Sans"/>
        <family val="2"/>
        <charset val="1"/>
      </rPr>
      <t>: HB 170~270 (</t>
    </r>
    <r>
      <rPr>
        <i/>
        <sz val="8"/>
        <color rgb="FF595959"/>
        <rFont val="DejaVu Sans"/>
        <family val="2"/>
      </rPr>
      <t>정규화</t>
    </r>
    <r>
      <rPr>
        <i/>
        <sz val="8"/>
        <color rgb="FF595959"/>
        <rFont val="DejaVu Sans"/>
        <family val="2"/>
        <charset val="1"/>
      </rPr>
      <t xml:space="preserve">~Q&amp;T) │ ISO 513 </t>
    </r>
    <r>
      <rPr>
        <i/>
        <sz val="8"/>
        <color rgb="FF595959"/>
        <rFont val="DejaVu Sans"/>
        <family val="2"/>
      </rPr>
      <t>그룹</t>
    </r>
    <r>
      <rPr>
        <i/>
        <sz val="8"/>
        <color rgb="FF595959"/>
        <rFont val="DejaVu Sans"/>
        <family val="2"/>
        <charset val="1"/>
      </rPr>
      <t xml:space="preserve">: P │ </t>
    </r>
    <r>
      <rPr>
        <i/>
        <sz val="8"/>
        <color rgb="FF595959"/>
        <rFont val="DejaVu Sans"/>
        <family val="2"/>
      </rPr>
      <t>절삭성 지수</t>
    </r>
    <r>
      <rPr>
        <i/>
        <sz val="8"/>
        <color rgb="FF595959"/>
        <rFont val="DejaVu Sans"/>
        <family val="2"/>
        <charset val="1"/>
      </rPr>
      <t>: 57 (</t>
    </r>
    <r>
      <rPr>
        <i/>
        <sz val="8"/>
        <color rgb="FF595959"/>
        <rFont val="DejaVu Sans"/>
        <family val="2"/>
      </rPr>
      <t xml:space="preserve">기준 </t>
    </r>
    <r>
      <rPr>
        <i/>
        <sz val="8"/>
        <color rgb="FF595959"/>
        <rFont val="DejaVu Sans"/>
        <family val="2"/>
        <charset val="1"/>
      </rPr>
      <t>1212</t>
    </r>
    <r>
      <rPr>
        <i/>
        <sz val="8"/>
        <color rgb="FF595959"/>
        <rFont val="DejaVu Sans"/>
        <family val="2"/>
      </rPr>
      <t>강</t>
    </r>
    <r>
      <rPr>
        <i/>
        <sz val="8"/>
        <color rgb="FF595959"/>
        <rFont val="DejaVu Sans"/>
        <family val="2"/>
        <charset val="1"/>
      </rPr>
      <t xml:space="preserve">=100) │ </t>
    </r>
    <r>
      <rPr>
        <i/>
        <sz val="8"/>
        <color rgb="FF595959"/>
        <rFont val="DejaVu Sans"/>
        <family val="2"/>
      </rPr>
      <t>출처</t>
    </r>
    <r>
      <rPr>
        <i/>
        <sz val="8"/>
        <color rgb="FF595959"/>
        <rFont val="DejaVu Sans"/>
        <family val="2"/>
        <charset val="1"/>
      </rPr>
      <t xml:space="preserve">: </t>
    </r>
    <r>
      <rPr>
        <i/>
        <sz val="8"/>
        <color rgb="FF595959"/>
        <rFont val="DejaVu Sans"/>
        <family val="2"/>
      </rPr>
      <t xml:space="preserve">위키 </t>
    </r>
    <r>
      <rPr>
        <i/>
        <sz val="8"/>
        <color rgb="FF595959"/>
        <rFont val="DejaVu Sans"/>
        <family val="2"/>
        <charset val="1"/>
      </rPr>
      <t>s45c.md §6.3 [</t>
    </r>
    <r>
      <rPr>
        <i/>
        <sz val="8"/>
        <color rgb="FF595959"/>
        <rFont val="DejaVu Sans"/>
        <family val="2"/>
      </rPr>
      <t>사내 경험값</t>
    </r>
    <r>
      <rPr>
        <i/>
        <sz val="8"/>
        <color rgb="FF595959"/>
        <rFont val="DejaVu Sans"/>
        <family val="2"/>
        <charset val="1"/>
      </rPr>
      <t>]</t>
    </r>
  </si>
  <si>
    <t>작업
유형</t>
  </si>
  <si>
    <r>
      <rPr>
        <b/>
        <sz val="9"/>
        <color rgb="FFFFFFFF"/>
        <rFont val="DejaVu Sans"/>
        <family val="2"/>
      </rPr>
      <t>공구
직경</t>
    </r>
    <r>
      <rPr>
        <b/>
        <sz val="9"/>
        <color rgb="FFFFFFFF"/>
        <rFont val="DejaVu Sans"/>
        <family val="2"/>
        <charset val="1"/>
      </rPr>
      <t>(mm)</t>
    </r>
  </si>
  <si>
    <r>
      <rPr>
        <b/>
        <sz val="9"/>
        <color rgb="FFFFFFFF"/>
        <rFont val="DejaVu Sans"/>
        <family val="2"/>
      </rPr>
      <t xml:space="preserve">날수
</t>
    </r>
    <r>
      <rPr>
        <b/>
        <sz val="9"/>
        <color rgb="FFFFFFFF"/>
        <rFont val="DejaVu Sans"/>
        <family val="2"/>
        <charset val="1"/>
      </rPr>
      <t>(z)</t>
    </r>
  </si>
  <si>
    <r>
      <rPr>
        <b/>
        <sz val="9"/>
        <color rgb="FFFFFFFF"/>
        <rFont val="DejaVu Sans"/>
        <family val="2"/>
      </rPr>
      <t xml:space="preserve">절삭속도
</t>
    </r>
    <r>
      <rPr>
        <b/>
        <sz val="9"/>
        <color rgb="FFFFFFFF"/>
        <rFont val="DejaVu Sans"/>
        <family val="2"/>
        <charset val="1"/>
      </rPr>
      <t>Vc (m/min)</t>
    </r>
  </si>
  <si>
    <r>
      <rPr>
        <b/>
        <sz val="9"/>
        <color rgb="FFFFFFFF"/>
        <rFont val="DejaVu Sans"/>
        <family val="2"/>
      </rPr>
      <t xml:space="preserve">주축속도
</t>
    </r>
    <r>
      <rPr>
        <b/>
        <sz val="9"/>
        <color rgb="FFFFFFFF"/>
        <rFont val="DejaVu Sans"/>
        <family val="2"/>
        <charset val="1"/>
      </rPr>
      <t>N (RPM)</t>
    </r>
  </si>
  <si>
    <r>
      <rPr>
        <b/>
        <sz val="9"/>
        <color rgb="FFFFFFFF"/>
        <rFont val="DejaVu Sans"/>
        <family val="2"/>
      </rPr>
      <t xml:space="preserve">이송속도
</t>
    </r>
    <r>
      <rPr>
        <b/>
        <sz val="9"/>
        <color rgb="FFFFFFFF"/>
        <rFont val="DejaVu Sans"/>
        <family val="2"/>
        <charset val="1"/>
      </rPr>
      <t>Vf (mm/min)</t>
    </r>
  </si>
  <si>
    <r>
      <rPr>
        <b/>
        <sz val="9"/>
        <color rgb="FFFFFFFF"/>
        <rFont val="DejaVu Sans"/>
        <family val="2"/>
      </rPr>
      <t xml:space="preserve">날당이송
</t>
    </r>
    <r>
      <rPr>
        <b/>
        <sz val="9"/>
        <color rgb="FFFFFFFF"/>
        <rFont val="DejaVu Sans"/>
        <family val="2"/>
        <charset val="1"/>
      </rPr>
      <t>fz (mm/tooth)</t>
    </r>
  </si>
  <si>
    <r>
      <rPr>
        <b/>
        <sz val="9"/>
        <color rgb="FFFFFFFF"/>
        <rFont val="DejaVu Sans"/>
        <family val="2"/>
      </rPr>
      <t xml:space="preserve">축방향절입
</t>
    </r>
    <r>
      <rPr>
        <b/>
        <sz val="9"/>
        <color rgb="FFFFFFFF"/>
        <rFont val="DejaVu Sans"/>
        <family val="2"/>
        <charset val="1"/>
      </rPr>
      <t>ap (mm)</t>
    </r>
  </si>
  <si>
    <r>
      <rPr>
        <b/>
        <sz val="9"/>
        <color rgb="FFFFFFFF"/>
        <rFont val="DejaVu Sans"/>
        <family val="2"/>
      </rPr>
      <t xml:space="preserve">반경방향절입
</t>
    </r>
    <r>
      <rPr>
        <b/>
        <sz val="9"/>
        <color rgb="FFFFFFFF"/>
        <rFont val="DejaVu Sans"/>
        <family val="2"/>
        <charset val="1"/>
      </rPr>
      <t>ae (mm)</t>
    </r>
  </si>
  <si>
    <r>
      <rPr>
        <b/>
        <sz val="9"/>
        <color rgb="FFFFFFFF"/>
        <rFont val="DejaVu Sans"/>
        <family val="2"/>
      </rPr>
      <t>공구</t>
    </r>
    <r>
      <rPr>
        <b/>
        <sz val="9"/>
        <color rgb="FFFFFFFF"/>
        <rFont val="DejaVu Sans"/>
        <family val="2"/>
        <charset val="1"/>
      </rPr>
      <t>·</t>
    </r>
    <r>
      <rPr>
        <b/>
        <sz val="9"/>
        <color rgb="FFFFFFFF"/>
        <rFont val="DejaVu Sans"/>
        <family val="2"/>
      </rPr>
      <t xml:space="preserve">코팅
</t>
    </r>
    <r>
      <rPr>
        <b/>
        <sz val="9"/>
        <color rgb="FFFFFFFF"/>
        <rFont val="DejaVu Sans"/>
        <family val="2"/>
        <charset val="1"/>
      </rPr>
      <t>(</t>
    </r>
    <r>
      <rPr>
        <b/>
        <sz val="9"/>
        <color rgb="FFFFFFFF"/>
        <rFont val="DejaVu Sans"/>
        <family val="2"/>
      </rPr>
      <t>권장</t>
    </r>
    <r>
      <rPr>
        <b/>
        <sz val="9"/>
        <color rgb="FFFFFFFF"/>
        <rFont val="DejaVu Sans"/>
        <family val="2"/>
        <charset val="1"/>
      </rPr>
      <t>)</t>
    </r>
  </si>
  <si>
    <t>쿨런트</t>
  </si>
  <si>
    <t>신뢰도</t>
  </si>
  <si>
    <t>비고</t>
  </si>
  <si>
    <t>황삭</t>
  </si>
  <si>
    <r>
      <rPr>
        <sz val="10"/>
        <color rgb="FF1F1F1F"/>
        <rFont val="DejaVu Sans"/>
        <family val="2"/>
      </rPr>
      <t xml:space="preserve">초경 </t>
    </r>
    <r>
      <rPr>
        <sz val="10"/>
        <color rgb="FF1F1F1F"/>
        <rFont val="DejaVu Sans"/>
        <family val="2"/>
        <charset val="1"/>
      </rPr>
      <t>P30 / TiAlN</t>
    </r>
  </si>
  <si>
    <r>
      <rPr>
        <sz val="10"/>
        <color rgb="FF1F1F1F"/>
        <rFont val="DejaVu Sans"/>
        <family val="2"/>
      </rPr>
      <t xml:space="preserve">수용성 에멀전 </t>
    </r>
    <r>
      <rPr>
        <sz val="10"/>
        <color rgb="FF1F1F1F"/>
        <rFont val="DejaVu Sans"/>
        <family val="2"/>
        <charset val="1"/>
      </rPr>
      <t xml:space="preserve">5%, </t>
    </r>
    <r>
      <rPr>
        <sz val="10"/>
        <color rgb="FF1F1F1F"/>
        <rFont val="DejaVu Sans"/>
        <family val="2"/>
      </rPr>
      <t>고압</t>
    </r>
  </si>
  <si>
    <r>
      <rPr>
        <sz val="10"/>
        <color rgb="FF1F1F1F"/>
        <rFont val="Arial"/>
        <family val="2"/>
      </rPr>
      <t xml:space="preserve">BUE </t>
    </r>
    <r>
      <rPr>
        <sz val="10"/>
        <color rgb="FF1F1F1F"/>
        <rFont val="DejaVu Sans"/>
        <family val="2"/>
      </rPr>
      <t xml:space="preserve">회피 위해 </t>
    </r>
    <r>
      <rPr>
        <sz val="10"/>
        <color rgb="FF1F1F1F"/>
        <rFont val="Arial"/>
        <family val="2"/>
      </rPr>
      <t xml:space="preserve">Vc≥150 </t>
    </r>
    <r>
      <rPr>
        <sz val="10"/>
        <color rgb="FF1F1F1F"/>
        <rFont val="DejaVu Sans"/>
        <family val="2"/>
      </rPr>
      <t>유지</t>
    </r>
  </si>
  <si>
    <t>중삭</t>
  </si>
  <si>
    <t>표면 품질 개선 시작</t>
  </si>
  <si>
    <t>정삭</t>
  </si>
  <si>
    <r>
      <rPr>
        <sz val="10"/>
        <color rgb="FF1F1F1F"/>
        <rFont val="DejaVu Sans"/>
        <family val="2"/>
      </rPr>
      <t xml:space="preserve">초경 </t>
    </r>
    <r>
      <rPr>
        <sz val="10"/>
        <color rgb="FF1F1F1F"/>
        <rFont val="DejaVu Sans"/>
        <family val="2"/>
        <charset val="1"/>
      </rPr>
      <t>P20 / TiAlN</t>
    </r>
  </si>
  <si>
    <r>
      <rPr>
        <sz val="10"/>
        <color rgb="FF1F1F1F"/>
        <rFont val="DejaVu Sans"/>
        <family val="2"/>
      </rPr>
      <t xml:space="preserve">수용성 에멀전 </t>
    </r>
    <r>
      <rPr>
        <sz val="10"/>
        <color rgb="FF1F1F1F"/>
        <rFont val="DejaVu Sans"/>
        <family val="2"/>
        <charset val="1"/>
      </rPr>
      <t>5%</t>
    </r>
  </si>
  <si>
    <r>
      <rPr>
        <sz val="10"/>
        <color rgb="FF1F1F1F"/>
        <rFont val="Arial"/>
        <family val="2"/>
      </rPr>
      <t xml:space="preserve">Ra </t>
    </r>
    <r>
      <rPr>
        <sz val="10"/>
        <color rgb="FF1F1F1F"/>
        <rFont val="DejaVu Sans"/>
        <family val="2"/>
      </rPr>
      <t xml:space="preserve">목표 </t>
    </r>
    <r>
      <rPr>
        <sz val="10"/>
        <color rgb="FF1F1F1F"/>
        <rFont val="Arial"/>
        <family val="2"/>
      </rPr>
      <t>1.6~3.2 μm</t>
    </r>
  </si>
  <si>
    <r>
      <rPr>
        <sz val="10"/>
        <color rgb="FF1F1F1F"/>
        <rFont val="Arial"/>
        <family val="2"/>
      </rPr>
      <t xml:space="preserve">Ra </t>
    </r>
    <r>
      <rPr>
        <sz val="10"/>
        <color rgb="FF1F1F1F"/>
        <rFont val="DejaVu Sans"/>
        <family val="2"/>
      </rPr>
      <t xml:space="preserve">목표 </t>
    </r>
    <r>
      <rPr>
        <sz val="10"/>
        <color rgb="FF1F1F1F"/>
        <rFont val="Arial"/>
        <family val="2"/>
      </rPr>
      <t>1.6 μm</t>
    </r>
  </si>
  <si>
    <t>소직경 — 공구 강성 주의</t>
  </si>
  <si>
    <t>← 직접 입력</t>
  </si>
  <si>
    <r>
      <rPr>
        <i/>
        <sz val="8"/>
        <color rgb="FF595959"/>
        <rFont val="DejaVu Sans"/>
        <family val="2"/>
      </rPr>
      <t xml:space="preserve">⚠️ 본 표의 </t>
    </r>
    <r>
      <rPr>
        <i/>
        <sz val="8"/>
        <color rgb="FF595959"/>
        <rFont val="DejaVu Sans"/>
        <family val="2"/>
        <charset val="1"/>
      </rPr>
      <t>Vc·fz·ap·ae</t>
    </r>
    <r>
      <rPr>
        <i/>
        <sz val="8"/>
        <color rgb="FF595959"/>
        <rFont val="DejaVu Sans"/>
        <family val="2"/>
      </rPr>
      <t>는 일반 가이드값</t>
    </r>
    <r>
      <rPr>
        <i/>
        <sz val="8"/>
        <color rgb="FF595959"/>
        <rFont val="DejaVu Sans"/>
        <family val="2"/>
        <charset val="1"/>
      </rPr>
      <t>(</t>
    </r>
    <r>
      <rPr>
        <i/>
        <sz val="8"/>
        <color rgb="FF595959"/>
        <rFont val="DejaVu Sans"/>
        <family val="2"/>
      </rPr>
      <t>사내 경험값 기준</t>
    </r>
    <r>
      <rPr>
        <i/>
        <sz val="8"/>
        <color rgb="FF595959"/>
        <rFont val="DejaVu Sans"/>
        <family val="2"/>
        <charset val="1"/>
      </rPr>
      <t xml:space="preserve">). </t>
    </r>
    <r>
      <rPr>
        <i/>
        <sz val="8"/>
        <color rgb="FF595959"/>
        <rFont val="DejaVu Sans"/>
        <family val="2"/>
      </rPr>
      <t>실제 조건은 공구 제조사 카탈로그</t>
    </r>
    <r>
      <rPr>
        <i/>
        <sz val="8"/>
        <color rgb="FF595959"/>
        <rFont val="DejaVu Sans"/>
        <family val="2"/>
        <charset val="1"/>
      </rPr>
      <t>·</t>
    </r>
    <r>
      <rPr>
        <i/>
        <sz val="8"/>
        <color rgb="FF595959"/>
        <rFont val="DejaVu Sans"/>
        <family val="2"/>
      </rPr>
      <t>현장 머신 강성</t>
    </r>
    <r>
      <rPr>
        <i/>
        <sz val="8"/>
        <color rgb="FF595959"/>
        <rFont val="DejaVu Sans"/>
        <family val="2"/>
        <charset val="1"/>
      </rPr>
      <t>·</t>
    </r>
    <r>
      <rPr>
        <i/>
        <sz val="8"/>
        <color rgb="FF595959"/>
        <rFont val="DejaVu Sans"/>
        <family val="2"/>
      </rPr>
      <t>쿨런트 상태에 따라 조정 필요</t>
    </r>
    <r>
      <rPr>
        <i/>
        <sz val="8"/>
        <color rgb="FF595959"/>
        <rFont val="DejaVu Sans"/>
        <family val="2"/>
        <charset val="1"/>
      </rPr>
      <t xml:space="preserve">. </t>
    </r>
    <r>
      <rPr>
        <i/>
        <sz val="8"/>
        <color rgb="FF595959"/>
        <rFont val="DejaVu Sans"/>
        <family val="2"/>
      </rPr>
      <t xml:space="preserve">신규 조건 적용 전 테스트→측정→검증 단계 필수 </t>
    </r>
    <r>
      <rPr>
        <i/>
        <sz val="8"/>
        <color rgb="FF595959"/>
        <rFont val="DejaVu Sans"/>
        <family val="2"/>
        <charset val="1"/>
      </rPr>
      <t xml:space="preserve">(CLAUDE.md §2 </t>
    </r>
    <r>
      <rPr>
        <i/>
        <sz val="8"/>
        <color rgb="FF595959"/>
        <rFont val="DejaVu Sans"/>
        <family val="2"/>
      </rPr>
      <t>안전 규칙</t>
    </r>
    <r>
      <rPr>
        <i/>
        <sz val="8"/>
        <color rgb="FF595959"/>
        <rFont val="DejaVu Sans"/>
        <family val="2"/>
        <charset val="1"/>
      </rPr>
      <t xml:space="preserve">). </t>
    </r>
    <r>
      <rPr>
        <i/>
        <sz val="8"/>
        <color rgb="FF595959"/>
        <rFont val="DejaVu Sans"/>
        <family val="2"/>
      </rPr>
      <t>출처</t>
    </r>
    <r>
      <rPr>
        <i/>
        <sz val="8"/>
        <color rgb="FF595959"/>
        <rFont val="DejaVu Sans"/>
        <family val="2"/>
        <charset val="1"/>
      </rPr>
      <t>: wiki/materials/s45c.md §6.3 / Sandvik Coromant CoroKey P</t>
    </r>
    <r>
      <rPr>
        <i/>
        <sz val="8"/>
        <color rgb="FF595959"/>
        <rFont val="DejaVu Sans"/>
        <family val="2"/>
      </rPr>
      <t>그룹</t>
    </r>
  </si>
  <si>
    <r>
      <rPr>
        <b/>
        <sz val="12"/>
        <color rgb="FFFFFFFF"/>
        <rFont val="Arial"/>
        <family val="2"/>
      </rPr>
      <t xml:space="preserve">ANCA </t>
    </r>
    <r>
      <rPr>
        <b/>
        <sz val="12"/>
        <color rgb="FFFFFFFF"/>
        <rFont val="DejaVu Sans"/>
        <family val="2"/>
      </rPr>
      <t xml:space="preserve">공구 연삭 조건표 — 초경 엔드밀 재연마 </t>
    </r>
    <r>
      <rPr>
        <b/>
        <sz val="12"/>
        <color rgb="FFFFFFFF"/>
        <rFont val="Arial"/>
        <family val="2"/>
      </rPr>
      <t>(ANCA CNC Tool Grinder)</t>
    </r>
  </si>
  <si>
    <r>
      <rPr>
        <sz val="8"/>
        <color rgb="FF595959"/>
        <rFont val="DejaVu Sans"/>
        <family val="2"/>
      </rPr>
      <t>휠</t>
    </r>
    <r>
      <rPr>
        <sz val="8"/>
        <color rgb="FF595959"/>
        <rFont val="DejaVu Sans"/>
        <family val="2"/>
        <charset val="1"/>
      </rPr>
      <t xml:space="preserve">: Ø125 Resin Diamond │ </t>
    </r>
    <r>
      <rPr>
        <sz val="8"/>
        <color rgb="FF595959"/>
        <rFont val="DejaVu Sans"/>
        <family val="2"/>
      </rPr>
      <t>장비</t>
    </r>
    <r>
      <rPr>
        <sz val="8"/>
        <color rgb="FF595959"/>
        <rFont val="DejaVu Sans"/>
        <family val="2"/>
        <charset val="1"/>
      </rPr>
      <t xml:space="preserve">: ANCA MX7 │ </t>
    </r>
    <r>
      <rPr>
        <sz val="8"/>
        <color rgb="FF595959"/>
        <rFont val="DejaVu Sans"/>
        <family val="2"/>
      </rPr>
      <t xml:space="preserve">권장 </t>
    </r>
    <r>
      <rPr>
        <sz val="8"/>
        <color rgb="FF595959"/>
        <rFont val="DejaVu Sans"/>
        <family val="2"/>
        <charset val="1"/>
      </rPr>
      <t xml:space="preserve">Vc: 18~30 m/s │ </t>
    </r>
    <r>
      <rPr>
        <sz val="8"/>
        <color rgb="FF595959"/>
        <rFont val="DejaVu Sans"/>
        <family val="2"/>
      </rPr>
      <t xml:space="preserve">회색 이탤릭 </t>
    </r>
    <r>
      <rPr>
        <sz val="8"/>
        <color rgb="FF595959"/>
        <rFont val="DejaVu Sans"/>
        <family val="2"/>
        <charset val="1"/>
      </rPr>
      <t xml:space="preserve">= </t>
    </r>
    <r>
      <rPr>
        <sz val="8"/>
        <color rgb="FF595959"/>
        <rFont val="DejaVu Sans"/>
        <family val="2"/>
      </rPr>
      <t xml:space="preserve">권장 참고값 </t>
    </r>
    <r>
      <rPr>
        <sz val="8"/>
        <color rgb="FF595959"/>
        <rFont val="DejaVu Sans"/>
        <family val="2"/>
        <charset val="1"/>
      </rPr>
      <t>(</t>
    </r>
    <r>
      <rPr>
        <sz val="8"/>
        <color rgb="FF595959"/>
        <rFont val="DejaVu Sans"/>
        <family val="2"/>
      </rPr>
      <t>추정값</t>
    </r>
    <r>
      <rPr>
        <sz val="8"/>
        <color rgb="FF595959"/>
        <rFont val="DejaVu Sans"/>
        <family val="2"/>
        <charset val="1"/>
      </rPr>
      <t xml:space="preserve">, </t>
    </r>
    <r>
      <rPr>
        <sz val="8"/>
        <color rgb="FF595959"/>
        <rFont val="DejaVu Sans"/>
        <family val="2"/>
      </rPr>
      <t>양산 전 테스트 필수</t>
    </r>
    <r>
      <rPr>
        <sz val="8"/>
        <color rgb="FF595959"/>
        <rFont val="DejaVu Sans"/>
        <family val="2"/>
        <charset val="1"/>
      </rPr>
      <t xml:space="preserve">) │ Vc </t>
    </r>
    <r>
      <rPr>
        <sz val="8"/>
        <color rgb="FF595959"/>
        <rFont val="DejaVu Sans"/>
        <family val="2"/>
      </rPr>
      <t>수식</t>
    </r>
    <r>
      <rPr>
        <sz val="8"/>
        <color rgb="FF595959"/>
        <rFont val="DejaVu Sans"/>
        <family val="2"/>
        <charset val="1"/>
      </rPr>
      <t>: π×125×RPM÷60,000</t>
    </r>
  </si>
  <si>
    <r>
      <rPr>
        <b/>
        <sz val="10"/>
        <color rgb="FFFFFFFF"/>
        <rFont val="Arial"/>
        <family val="2"/>
      </rPr>
      <t xml:space="preserve">A.  </t>
    </r>
    <r>
      <rPr>
        <b/>
        <sz val="10"/>
        <color rgb="FFFFFFFF"/>
        <rFont val="DejaVu Sans"/>
        <family val="2"/>
      </rPr>
      <t xml:space="preserve">확정 조건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DejaVu Sans"/>
        <family val="2"/>
      </rPr>
      <t>실측 검증 — 재현 가능</t>
    </r>
    <r>
      <rPr>
        <b/>
        <sz val="10"/>
        <color rgb="FFFFFFFF"/>
        <rFont val="Arial"/>
        <family val="2"/>
      </rPr>
      <t>)</t>
    </r>
  </si>
  <si>
    <t>공구
코드</t>
  </si>
  <si>
    <r>
      <rPr>
        <b/>
        <sz val="9"/>
        <color rgb="FFFFFFFF"/>
        <rFont val="DejaVu Sans"/>
        <family val="2"/>
      </rPr>
      <t xml:space="preserve">규격
</t>
    </r>
    <r>
      <rPr>
        <b/>
        <sz val="9"/>
        <color rgb="FFFFFFFF"/>
        <rFont val="DejaVu Sans"/>
        <family val="2"/>
        <charset val="1"/>
      </rPr>
      <t>(D mm)</t>
    </r>
  </si>
  <si>
    <t>공구
형상</t>
  </si>
  <si>
    <t>공정명</t>
  </si>
  <si>
    <t>스택</t>
  </si>
  <si>
    <t>휠 사양</t>
  </si>
  <si>
    <t>RPM</t>
  </si>
  <si>
    <r>
      <rPr>
        <b/>
        <sz val="9"/>
        <color rgb="FFFFFFFF"/>
        <rFont val="DejaVu Sans"/>
        <family val="2"/>
      </rPr>
      <t xml:space="preserve">원주속도
</t>
    </r>
    <r>
      <rPr>
        <b/>
        <sz val="9"/>
        <color rgb="FFFFFFFF"/>
        <rFont val="DejaVu Sans"/>
        <family val="2"/>
        <charset val="1"/>
      </rPr>
      <t>Vc (m/s)</t>
    </r>
  </si>
  <si>
    <r>
      <rPr>
        <b/>
        <sz val="9"/>
        <color rgb="FFFFFFFF"/>
        <rFont val="Arial"/>
        <family val="2"/>
      </rPr>
      <t>Feed_</t>
    </r>
    <r>
      <rPr>
        <b/>
        <sz val="9"/>
        <color rgb="FFFFFFFF"/>
        <rFont val="DejaVu Sans"/>
        <family val="2"/>
      </rPr>
      <t xml:space="preserve">진입
</t>
    </r>
    <r>
      <rPr>
        <b/>
        <sz val="9"/>
        <color rgb="FFFFFFFF"/>
        <rFont val="Arial"/>
        <family val="2"/>
      </rPr>
      <t>(mm/min)</t>
    </r>
  </si>
  <si>
    <r>
      <rPr>
        <b/>
        <sz val="9"/>
        <color rgb="FFFFFFFF"/>
        <rFont val="Arial"/>
        <family val="2"/>
      </rPr>
      <t>Feed_</t>
    </r>
    <r>
      <rPr>
        <b/>
        <sz val="9"/>
        <color rgb="FFFFFFFF"/>
        <rFont val="DejaVu Sans"/>
        <family val="2"/>
      </rPr>
      <t xml:space="preserve">중간
</t>
    </r>
    <r>
      <rPr>
        <b/>
        <sz val="9"/>
        <color rgb="FFFFFFFF"/>
        <rFont val="Arial"/>
        <family val="2"/>
      </rPr>
      <t>(mm/min)</t>
    </r>
  </si>
  <si>
    <r>
      <rPr>
        <b/>
        <sz val="9"/>
        <color rgb="FFFFFFFF"/>
        <rFont val="Arial"/>
        <family val="2"/>
      </rPr>
      <t>Feed_</t>
    </r>
    <r>
      <rPr>
        <b/>
        <sz val="9"/>
        <color rgb="FFFFFFFF"/>
        <rFont val="DejaVu Sans"/>
        <family val="2"/>
      </rPr>
      <t xml:space="preserve">마무리
</t>
    </r>
    <r>
      <rPr>
        <b/>
        <sz val="9"/>
        <color rgb="FFFFFFFF"/>
        <rFont val="Arial"/>
        <family val="2"/>
      </rPr>
      <t>(mm/min)</t>
    </r>
  </si>
  <si>
    <t>DOC
(mm)</t>
  </si>
  <si>
    <t>4CO060</t>
  </si>
  <si>
    <t>Ø6</t>
  </si>
  <si>
    <r>
      <rPr>
        <sz val="10"/>
        <color rgb="FF1F1F1F"/>
        <rFont val="DejaVu Sans"/>
        <family val="2"/>
      </rPr>
      <t>코너</t>
    </r>
    <r>
      <rPr>
        <sz val="10"/>
        <color rgb="FF1F1F1F"/>
        <rFont val="DejaVu Sans"/>
        <family val="2"/>
        <charset val="1"/>
      </rPr>
      <t>R</t>
    </r>
  </si>
  <si>
    <t>End Face Gash</t>
  </si>
  <si>
    <r>
      <rPr>
        <sz val="10"/>
        <color rgb="FF1F1F1F"/>
        <rFont val="DejaVu Sans"/>
        <family val="2"/>
      </rPr>
      <t xml:space="preserve">스택 </t>
    </r>
    <r>
      <rPr>
        <sz val="10"/>
        <color rgb="FF1F1F1F"/>
        <rFont val="DejaVu Sans"/>
        <family val="2"/>
        <charset val="1"/>
      </rPr>
      <t>1-2</t>
    </r>
  </si>
  <si>
    <t>45° Ø125 #325 Resin</t>
  </si>
  <si>
    <r>
      <rPr>
        <sz val="10"/>
        <color rgb="FF1F1F1F"/>
        <rFont val="DejaVu Sans"/>
        <family val="2"/>
      </rPr>
      <t xml:space="preserve">✅ 확정 </t>
    </r>
    <r>
      <rPr>
        <sz val="10"/>
        <color rgb="FF1F1F1F"/>
        <rFont val="DejaVu Sans"/>
        <family val="2"/>
        <charset val="1"/>
      </rPr>
      <t xml:space="preserve">2026-04-21 │ </t>
    </r>
    <r>
      <rPr>
        <sz val="10"/>
        <color rgb="FF1F1F1F"/>
        <rFont val="DejaVu Sans"/>
        <family val="2"/>
      </rPr>
      <t xml:space="preserve">부하 </t>
    </r>
    <r>
      <rPr>
        <sz val="10"/>
        <color rgb="FF1F1F1F"/>
        <rFont val="DejaVu Sans"/>
        <family val="2"/>
        <charset val="1"/>
      </rPr>
      <t xml:space="preserve">25%, </t>
    </r>
    <r>
      <rPr>
        <sz val="10"/>
        <color rgb="FF1F1F1F"/>
        <rFont val="DejaVu Sans"/>
        <family val="2"/>
      </rPr>
      <t>품질 양호 │ 연삭</t>
    </r>
    <r>
      <rPr>
        <sz val="10"/>
        <color rgb="FF1F1F1F"/>
        <rFont val="DejaVu Sans"/>
        <family val="2"/>
        <charset val="1"/>
      </rPr>
      <t>-</t>
    </r>
    <r>
      <rPr>
        <sz val="10"/>
        <color rgb="FF1F1F1F"/>
        <rFont val="DejaVu Sans"/>
        <family val="2"/>
      </rPr>
      <t>조건</t>
    </r>
    <r>
      <rPr>
        <sz val="10"/>
        <color rgb="FF1F1F1F"/>
        <rFont val="DejaVu Sans"/>
        <family val="2"/>
        <charset val="1"/>
      </rPr>
      <t>-D6-4</t>
    </r>
    <r>
      <rPr>
        <sz val="10"/>
        <color rgb="FF1F1F1F"/>
        <rFont val="DejaVu Sans"/>
        <family val="2"/>
      </rPr>
      <t>날</t>
    </r>
    <r>
      <rPr>
        <sz val="10"/>
        <color rgb="FF1F1F1F"/>
        <rFont val="DejaVu Sans"/>
        <family val="2"/>
        <charset val="1"/>
      </rPr>
      <t>-</t>
    </r>
    <r>
      <rPr>
        <sz val="10"/>
        <color rgb="FF1F1F1F"/>
        <rFont val="DejaVu Sans"/>
        <family val="2"/>
      </rPr>
      <t>코너</t>
    </r>
    <r>
      <rPr>
        <sz val="10"/>
        <color rgb="FF1F1F1F"/>
        <rFont val="DejaVu Sans"/>
        <family val="2"/>
        <charset val="1"/>
      </rPr>
      <t>R-GASH</t>
    </r>
  </si>
  <si>
    <t>2BA080</t>
  </si>
  <si>
    <t>Ø8</t>
  </si>
  <si>
    <r>
      <rPr>
        <sz val="10"/>
        <color rgb="FF1F1F1F"/>
        <rFont val="DejaVu Sans"/>
        <family val="2"/>
      </rPr>
      <t>볼</t>
    </r>
    <r>
      <rPr>
        <sz val="10"/>
        <color rgb="FF1F1F1F"/>
        <rFont val="DejaVu Sans"/>
        <family val="2"/>
        <charset val="1"/>
      </rPr>
      <t>(BA)</t>
    </r>
  </si>
  <si>
    <t>Ball Gash</t>
  </si>
  <si>
    <r>
      <rPr>
        <sz val="10"/>
        <color rgb="FF1F1F1F"/>
        <rFont val="DejaVu Sans"/>
        <family val="2"/>
      </rPr>
      <t xml:space="preserve">스택 </t>
    </r>
    <r>
      <rPr>
        <sz val="10"/>
        <color rgb="FF1F1F1F"/>
        <rFont val="DejaVu Sans"/>
        <family val="2"/>
        <charset val="1"/>
      </rPr>
      <t>1-1</t>
    </r>
  </si>
  <si>
    <t>20° Ø125 Resin</t>
  </si>
  <si>
    <t>-</t>
  </si>
  <si>
    <r>
      <rPr>
        <sz val="10"/>
        <color rgb="FF1F1F1F"/>
        <rFont val="DejaVu Sans"/>
        <family val="2"/>
      </rPr>
      <t xml:space="preserve">✅ 확정 │ 플런지 </t>
    </r>
    <r>
      <rPr>
        <sz val="10"/>
        <color rgb="FF1F1F1F"/>
        <rFont val="DejaVu Sans"/>
        <family val="2"/>
        <charset val="1"/>
      </rPr>
      <t>RPM 3,200/Feed 32 │ OD</t>
    </r>
    <r>
      <rPr>
        <sz val="10"/>
        <color rgb="FF1F1F1F"/>
        <rFont val="DejaVu Sans"/>
        <family val="2"/>
      </rPr>
      <t xml:space="preserve">피니쉬 </t>
    </r>
    <r>
      <rPr>
        <sz val="10"/>
        <color rgb="FF1F1F1F"/>
        <rFont val="DejaVu Sans"/>
        <family val="2"/>
        <charset val="1"/>
      </rPr>
      <t xml:space="preserve">RPM 3,400 / </t>
    </r>
    <r>
      <rPr>
        <sz val="10"/>
        <color rgb="FF1F1F1F"/>
        <rFont val="DejaVu Sans"/>
        <family val="2"/>
      </rPr>
      <t>진입</t>
    </r>
    <r>
      <rPr>
        <sz val="10"/>
        <color rgb="FF1F1F1F"/>
        <rFont val="DejaVu Sans"/>
        <family val="2"/>
        <charset val="1"/>
      </rPr>
      <t>300·2</t>
    </r>
    <r>
      <rPr>
        <sz val="10"/>
        <color rgb="FF1F1F1F"/>
        <rFont val="DejaVu Sans"/>
        <family val="2"/>
      </rPr>
      <t>차</t>
    </r>
    <r>
      <rPr>
        <sz val="10"/>
        <color rgb="FF1F1F1F"/>
        <rFont val="DejaVu Sans"/>
        <family val="2"/>
        <charset val="1"/>
      </rPr>
      <t>250·1</t>
    </r>
    <r>
      <rPr>
        <sz val="10"/>
        <color rgb="FF1F1F1F"/>
        <rFont val="DejaVu Sans"/>
        <family val="2"/>
      </rPr>
      <t>차</t>
    </r>
    <r>
      <rPr>
        <sz val="10"/>
        <color rgb="FF1F1F1F"/>
        <rFont val="DejaVu Sans"/>
        <family val="2"/>
        <charset val="1"/>
      </rPr>
      <t>450 (</t>
    </r>
    <r>
      <rPr>
        <sz val="10"/>
        <color rgb="FF1F1F1F"/>
        <rFont val="DejaVu Sans"/>
        <family val="2"/>
      </rPr>
      <t>컵휠</t>
    </r>
    <r>
      <rPr>
        <sz val="10"/>
        <color rgb="FF1F1F1F"/>
        <rFont val="DejaVu Sans"/>
        <family val="2"/>
        <charset val="1"/>
      </rPr>
      <t>)</t>
    </r>
  </si>
  <si>
    <r>
      <rPr>
        <b/>
        <sz val="10"/>
        <color rgb="FFFFFFFF"/>
        <rFont val="Arial"/>
        <family val="2"/>
      </rPr>
      <t xml:space="preserve">B.  </t>
    </r>
    <r>
      <rPr>
        <b/>
        <sz val="10"/>
        <color rgb="FFFFFFFF"/>
        <rFont val="DejaVu Sans"/>
        <family val="2"/>
      </rPr>
      <t xml:space="preserve">검증 중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DejaVu Sans"/>
        <family val="2"/>
      </rPr>
      <t xml:space="preserve">재가동 조건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DejaVu Sans"/>
        <family val="2"/>
      </rPr>
      <t>사내 경험값 — 양산 전 확인 필요</t>
    </r>
    <r>
      <rPr>
        <b/>
        <sz val="10"/>
        <color rgb="FFFFFFFF"/>
        <rFont val="Arial"/>
        <family val="2"/>
      </rPr>
      <t>)</t>
    </r>
  </si>
  <si>
    <t>4CO080</t>
  </si>
  <si>
    <r>
      <rPr>
        <sz val="10"/>
        <color rgb="FF1F1F1F"/>
        <rFont val="DejaVu Sans"/>
        <family val="2"/>
      </rPr>
      <t xml:space="preserve">⚠️ 재가동 검증중 </t>
    </r>
    <r>
      <rPr>
        <sz val="10"/>
        <color rgb="FF1F1F1F"/>
        <rFont val="DejaVu Sans"/>
        <family val="2"/>
        <charset val="1"/>
      </rPr>
      <t>2026-04-21 │ Vc 20.9 m/s (</t>
    </r>
    <r>
      <rPr>
        <sz val="10"/>
        <color rgb="FF1F1F1F"/>
        <rFont val="DejaVu Sans"/>
        <family val="2"/>
      </rPr>
      <t>전환구간</t>
    </r>
    <r>
      <rPr>
        <sz val="10"/>
        <color rgb="FF1F1F1F"/>
        <rFont val="DejaVu Sans"/>
        <family val="2"/>
        <charset val="1"/>
      </rPr>
      <t xml:space="preserve">) │ </t>
    </r>
    <r>
      <rPr>
        <sz val="10"/>
        <color rgb="FF1F1F1F"/>
        <rFont val="DejaVu Sans"/>
        <family val="2"/>
      </rPr>
      <t xml:space="preserve">파손이력 → </t>
    </r>
    <r>
      <rPr>
        <sz val="10"/>
        <color rgb="FF1F1F1F"/>
        <rFont val="DejaVu Sans"/>
        <family val="2"/>
        <charset val="1"/>
      </rPr>
      <t xml:space="preserve">RPM 3,500→3,850 </t>
    </r>
    <r>
      <rPr>
        <sz val="10"/>
        <color rgb="FF1F1F1F"/>
        <rFont val="DejaVu Sans"/>
        <family val="2"/>
      </rPr>
      <t>점진 상향 예정</t>
    </r>
  </si>
  <si>
    <r>
      <rPr>
        <b/>
        <sz val="10"/>
        <color rgb="FFFFFFFF"/>
        <rFont val="Arial"/>
        <family val="2"/>
      </rPr>
      <t xml:space="preserve">C.  </t>
    </r>
    <r>
      <rPr>
        <b/>
        <sz val="10"/>
        <color rgb="FFFFFFFF"/>
        <rFont val="DejaVu Sans"/>
        <family val="2"/>
      </rPr>
      <t xml:space="preserve">미기록 — 조건 확정 후 입력 │ 회색 이탤릭 </t>
    </r>
    <r>
      <rPr>
        <b/>
        <sz val="10"/>
        <color rgb="FFFFFFFF"/>
        <rFont val="Arial"/>
        <family val="2"/>
      </rPr>
      <t xml:space="preserve">= </t>
    </r>
    <r>
      <rPr>
        <b/>
        <sz val="10"/>
        <color rgb="FFFFFFFF"/>
        <rFont val="DejaVu Sans"/>
        <family val="2"/>
      </rPr>
      <t xml:space="preserve">권장 참고값 </t>
    </r>
    <r>
      <rPr>
        <b/>
        <sz val="10"/>
        <color rgb="FFFFFFFF"/>
        <rFont val="Arial"/>
        <family val="2"/>
      </rPr>
      <t xml:space="preserve">(RPM 3,050 / Vc ≈ 20.0 m/s </t>
    </r>
    <r>
      <rPr>
        <b/>
        <sz val="10"/>
        <color rgb="FFFFFFFF"/>
        <rFont val="DejaVu Sans"/>
        <family val="2"/>
      </rPr>
      <t>기준</t>
    </r>
    <r>
      <rPr>
        <b/>
        <sz val="10"/>
        <color rgb="FFFFFFFF"/>
        <rFont val="Arial"/>
        <family val="2"/>
      </rPr>
      <t xml:space="preserve">, </t>
    </r>
    <r>
      <rPr>
        <b/>
        <sz val="10"/>
        <color rgb="FFFFFFFF"/>
        <rFont val="DejaVu Sans"/>
        <family val="2"/>
      </rPr>
      <t>추정값</t>
    </r>
    <r>
      <rPr>
        <b/>
        <sz val="10"/>
        <color rgb="FFFFFFFF"/>
        <rFont val="Arial"/>
        <family val="2"/>
      </rPr>
      <t>)</t>
    </r>
  </si>
  <si>
    <r>
      <rPr>
        <b/>
        <sz val="9"/>
        <color rgb="FF1F3864"/>
        <rFont val="DejaVu Sans"/>
        <family val="2"/>
      </rPr>
      <t xml:space="preserve">▶ 볼 </t>
    </r>
    <r>
      <rPr>
        <b/>
        <sz val="9"/>
        <color rgb="FF1F3864"/>
        <rFont val="DejaVu Sans"/>
        <family val="2"/>
        <charset val="1"/>
      </rPr>
      <t>(BA) — 2</t>
    </r>
    <r>
      <rPr>
        <b/>
        <sz val="9"/>
        <color rgb="FF1F3864"/>
        <rFont val="DejaVu Sans"/>
        <family val="2"/>
      </rPr>
      <t xml:space="preserve">날  │  스택 </t>
    </r>
    <r>
      <rPr>
        <b/>
        <sz val="9"/>
        <color rgb="FF1F3864"/>
        <rFont val="DejaVu Sans"/>
        <family val="2"/>
        <charset val="1"/>
      </rPr>
      <t>1-1  │  20° Ø125 Resin Diamond</t>
    </r>
  </si>
  <si>
    <t>2BA020</t>
  </si>
  <si>
    <t>Ø2</t>
  </si>
  <si>
    <t>20° Ø125</t>
  </si>
  <si>
    <t>← 조건 확정 후 갱신</t>
  </si>
  <si>
    <t>2BA030</t>
  </si>
  <si>
    <t>Ø3</t>
  </si>
  <si>
    <t>2BA040</t>
  </si>
  <si>
    <t>Ø4</t>
  </si>
  <si>
    <t>2BA060</t>
  </si>
  <si>
    <t>2BA100</t>
  </si>
  <si>
    <t>Ø10</t>
  </si>
  <si>
    <t>2BA120</t>
  </si>
  <si>
    <t>Ø12</t>
  </si>
  <si>
    <t>2BA140</t>
  </si>
  <si>
    <t>Ø14</t>
  </si>
  <si>
    <t>2BA160</t>
  </si>
  <si>
    <t>Ø16</t>
  </si>
  <si>
    <t>2BA200</t>
  </si>
  <si>
    <t>Ø20</t>
  </si>
  <si>
    <t>4CO040</t>
  </si>
  <si>
    <t>45° Ø125 #325</t>
  </si>
  <si>
    <t>4CO100</t>
  </si>
  <si>
    <t>4CO120</t>
  </si>
  <si>
    <t>4CO200</t>
  </si>
  <si>
    <r>
      <rPr>
        <sz val="10"/>
        <color rgb="FF1F1F1F"/>
        <rFont val="DejaVu Sans"/>
        <family val="2"/>
      </rPr>
      <t>평</t>
    </r>
    <r>
      <rPr>
        <sz val="10"/>
        <color rgb="FF1F1F1F"/>
        <rFont val="DejaVu Sans"/>
        <family val="2"/>
        <charset val="1"/>
      </rPr>
      <t>(FA)</t>
    </r>
  </si>
  <si>
    <t>4FA160</t>
  </si>
  <si>
    <t>4FA200</t>
  </si>
  <si>
    <r>
      <rPr>
        <i/>
        <sz val="8"/>
        <color rgb="FF595959"/>
        <rFont val="DejaVu Sans"/>
        <family val="2"/>
      </rPr>
      <t xml:space="preserve">⚠️ 회색 이탤릭 값은 추정값 </t>
    </r>
    <r>
      <rPr>
        <i/>
        <sz val="8"/>
        <color rgb="FF595959"/>
        <rFont val="DejaVu Sans"/>
        <family val="2"/>
        <charset val="1"/>
      </rPr>
      <t>(</t>
    </r>
    <r>
      <rPr>
        <i/>
        <sz val="8"/>
        <color rgb="FF595959"/>
        <rFont val="DejaVu Sans"/>
        <family val="2"/>
      </rPr>
      <t>권장 참고용</t>
    </r>
    <r>
      <rPr>
        <i/>
        <sz val="8"/>
        <color rgb="FF595959"/>
        <rFont val="DejaVu Sans"/>
        <family val="2"/>
        <charset val="1"/>
      </rPr>
      <t xml:space="preserve">). </t>
    </r>
    <r>
      <rPr>
        <i/>
        <sz val="8"/>
        <color rgb="FF595959"/>
        <rFont val="DejaVu Sans"/>
        <family val="2"/>
      </rPr>
      <t xml:space="preserve">양산 적용 전 반드시 테스트→측정→검증 필수 </t>
    </r>
    <r>
      <rPr>
        <i/>
        <sz val="8"/>
        <color rgb="FF595959"/>
        <rFont val="DejaVu Sans"/>
        <family val="2"/>
        <charset val="1"/>
      </rPr>
      <t xml:space="preserve">(CLAUDE.md §2).  │  </t>
    </r>
    <r>
      <rPr>
        <i/>
        <sz val="8"/>
        <color rgb="FF595959"/>
        <rFont val="DejaVu Sans"/>
        <family val="2"/>
      </rPr>
      <t xml:space="preserve">공구 코드 </t>
    </r>
    <r>
      <rPr>
        <i/>
        <sz val="8"/>
        <color rgb="FF595959"/>
        <rFont val="DejaVu Sans"/>
        <family val="2"/>
        <charset val="1"/>
      </rPr>
      <t xml:space="preserve">4CO·4FA = </t>
    </r>
    <r>
      <rPr>
        <i/>
        <sz val="8"/>
        <color rgb="FF595959"/>
        <rFont val="DejaVu Sans"/>
        <family val="2"/>
      </rPr>
      <t>사내 임시 코드</t>
    </r>
    <r>
      <rPr>
        <i/>
        <sz val="8"/>
        <color rgb="FF595959"/>
        <rFont val="DejaVu Sans"/>
        <family val="2"/>
        <charset val="1"/>
      </rPr>
      <t xml:space="preserve">, </t>
    </r>
    <r>
      <rPr>
        <i/>
        <sz val="8"/>
        <color rgb="FF595959"/>
        <rFont val="DejaVu Sans"/>
        <family val="2"/>
      </rPr>
      <t>시스템 코드와 다를 경우 수정 요망</t>
    </r>
    <r>
      <rPr>
        <i/>
        <sz val="8"/>
        <color rgb="FF595959"/>
        <rFont val="DejaVu Sans"/>
        <family val="2"/>
        <charset val="1"/>
      </rPr>
      <t xml:space="preserve">.  │  RPM 3,050 </t>
    </r>
    <r>
      <rPr>
        <i/>
        <sz val="8"/>
        <color rgb="FF595959"/>
        <rFont val="DejaVu Sans"/>
        <family val="2"/>
      </rPr>
      <t xml:space="preserve">기준 </t>
    </r>
    <r>
      <rPr>
        <i/>
        <sz val="8"/>
        <color rgb="FF595959"/>
        <rFont val="DejaVu Sans"/>
        <family val="2"/>
        <charset val="1"/>
      </rPr>
      <t xml:space="preserve">Vc = π×125×3,050÷60,000 ≈ 20.0 m/s (Resin Bond </t>
    </r>
    <r>
      <rPr>
        <i/>
        <sz val="8"/>
        <color rgb="FF595959"/>
        <rFont val="DejaVu Sans"/>
        <family val="2"/>
      </rPr>
      <t>안전 구간</t>
    </r>
    <r>
      <rPr>
        <i/>
        <sz val="8"/>
        <color rgb="FF595959"/>
        <rFont val="DejaVu Sans"/>
        <family val="2"/>
        <charset val="1"/>
      </rPr>
      <t>)</t>
    </r>
  </si>
  <si>
    <t>2CO020</t>
  </si>
  <si>
    <t>2CO030</t>
  </si>
  <si>
    <t>2CO040</t>
  </si>
  <si>
    <t>2CO060</t>
  </si>
  <si>
    <t>2CO100</t>
  </si>
  <si>
    <t>2CO120</t>
  </si>
  <si>
    <t>2CO160</t>
  </si>
  <si>
    <t>2CO200</t>
  </si>
  <si>
    <t>2FL020</t>
  </si>
  <si>
    <t>2FL030</t>
  </si>
  <si>
    <t>2FL040</t>
  </si>
  <si>
    <t>2FL060</t>
  </si>
  <si>
    <t>2FL100</t>
  </si>
  <si>
    <t>2FL120</t>
  </si>
  <si>
    <t>2FL160</t>
  </si>
  <si>
    <t>2FL200</t>
  </si>
  <si>
    <r>
      <rPr>
        <b/>
        <sz val="12"/>
        <color rgb="FFFFFFFF"/>
        <rFont val="Arial"/>
        <family val="2"/>
      </rPr>
      <t xml:space="preserve">MCT </t>
    </r>
    <r>
      <rPr>
        <b/>
        <sz val="12"/>
        <color rgb="FFFFFFFF"/>
        <rFont val="DejaVu Sans"/>
        <family val="2"/>
      </rPr>
      <t xml:space="preserve">밀링 절삭 조건표 — 알루미늄 합금 </t>
    </r>
    <r>
      <rPr>
        <b/>
        <sz val="12"/>
        <color rgb="FFFFFFFF"/>
        <rFont val="Arial"/>
        <family val="2"/>
      </rPr>
      <t>(6061-T6 · 7075-T6 · 5052-H32)</t>
    </r>
  </si>
  <si>
    <r>
      <rPr>
        <i/>
        <sz val="8"/>
        <color rgb="FF595959"/>
        <rFont val="Arial"/>
        <family val="2"/>
      </rPr>
      <t xml:space="preserve">ISO 513 </t>
    </r>
    <r>
      <rPr>
        <i/>
        <sz val="8"/>
        <color rgb="FF595959"/>
        <rFont val="DejaVu Sans"/>
        <family val="2"/>
      </rPr>
      <t>그룹</t>
    </r>
    <r>
      <rPr>
        <i/>
        <sz val="8"/>
        <color rgb="FF595959"/>
        <rFont val="Arial"/>
        <family val="2"/>
      </rPr>
      <t xml:space="preserve">: N │ </t>
    </r>
    <r>
      <rPr>
        <i/>
        <sz val="8"/>
        <color rgb="FF595959"/>
        <rFont val="DejaVu Sans"/>
        <family val="2"/>
      </rPr>
      <t xml:space="preserve">절삭성 </t>
    </r>
    <r>
      <rPr>
        <i/>
        <sz val="8"/>
        <color rgb="FF595959"/>
        <rFont val="Arial"/>
        <family val="2"/>
      </rPr>
      <t xml:space="preserve">6061≈300, 7075≈200, 5052≈180 │ ⚠️ TiAlN </t>
    </r>
    <r>
      <rPr>
        <i/>
        <sz val="8"/>
        <color rgb="FF595959"/>
        <rFont val="DejaVu Sans"/>
        <family val="2"/>
      </rPr>
      <t xml:space="preserve">코팅 회피 </t>
    </r>
    <r>
      <rPr>
        <i/>
        <sz val="8"/>
        <color rgb="FF595959"/>
        <rFont val="Arial"/>
        <family val="2"/>
      </rPr>
      <t xml:space="preserve">(Al </t>
    </r>
    <r>
      <rPr>
        <i/>
        <sz val="8"/>
        <color rgb="FF595959"/>
        <rFont val="DejaVu Sans"/>
        <family val="2"/>
      </rPr>
      <t>응착</t>
    </r>
    <r>
      <rPr>
        <i/>
        <sz val="8"/>
        <color rgb="FF595959"/>
        <rFont val="Arial"/>
        <family val="2"/>
      </rPr>
      <t xml:space="preserve">) │ </t>
    </r>
    <r>
      <rPr>
        <i/>
        <sz val="8"/>
        <color rgb="FF595959"/>
        <rFont val="DejaVu Sans"/>
        <family val="2"/>
      </rPr>
      <t>출처</t>
    </r>
    <r>
      <rPr>
        <i/>
        <sz val="8"/>
        <color rgb="FF595959"/>
        <rFont val="Arial"/>
        <family val="2"/>
      </rPr>
      <t xml:space="preserve">: </t>
    </r>
    <r>
      <rPr>
        <i/>
        <sz val="8"/>
        <color rgb="FF595959"/>
        <rFont val="DejaVu Sans"/>
        <family val="2"/>
      </rPr>
      <t>위키 알루미늄</t>
    </r>
    <r>
      <rPr>
        <i/>
        <sz val="8"/>
        <color rgb="FF595959"/>
        <rFont val="Arial"/>
        <family val="2"/>
      </rPr>
      <t>.md §6.3 [</t>
    </r>
    <r>
      <rPr>
        <i/>
        <sz val="8"/>
        <color rgb="FF595959"/>
        <rFont val="DejaVu Sans"/>
        <family val="2"/>
      </rPr>
      <t>사내 경험값</t>
    </r>
    <r>
      <rPr>
        <i/>
        <sz val="8"/>
        <color rgb="FF595959"/>
        <rFont val="Arial"/>
        <family val="2"/>
      </rPr>
      <t>·</t>
    </r>
    <r>
      <rPr>
        <i/>
        <sz val="8"/>
        <color rgb="FF595959"/>
        <rFont val="DejaVu Sans"/>
        <family val="2"/>
      </rPr>
      <t>추정값</t>
    </r>
    <r>
      <rPr>
        <i/>
        <sz val="8"/>
        <color rgb="FF595959"/>
        <rFont val="Arial"/>
        <family val="2"/>
      </rPr>
      <t>]</t>
    </r>
  </si>
  <si>
    <r>
      <rPr>
        <b/>
        <sz val="9"/>
        <color rgb="FFFFFFFF"/>
        <rFont val="DejaVu Sans"/>
        <family val="2"/>
      </rPr>
      <t xml:space="preserve">합금
</t>
    </r>
    <r>
      <rPr>
        <b/>
        <sz val="9"/>
        <color rgb="FFFFFFFF"/>
        <rFont val="DejaVu Sans"/>
        <family val="2"/>
        <charset val="1"/>
      </rPr>
      <t>(</t>
    </r>
    <r>
      <rPr>
        <b/>
        <sz val="9"/>
        <color rgb="FFFFFFFF"/>
        <rFont val="DejaVu Sans"/>
        <family val="2"/>
      </rPr>
      <t>템퍼</t>
    </r>
    <r>
      <rPr>
        <b/>
        <sz val="9"/>
        <color rgb="FFFFFFFF"/>
        <rFont val="DejaVu Sans"/>
        <family val="2"/>
        <charset val="1"/>
      </rPr>
      <t>)</t>
    </r>
  </si>
  <si>
    <r>
      <rPr>
        <sz val="10"/>
        <color rgb="FF1F1F1F"/>
        <rFont val="Arial"/>
        <family val="2"/>
      </rPr>
      <t xml:space="preserve">6061-T6 </t>
    </r>
    <r>
      <rPr>
        <sz val="10"/>
        <color rgb="FF1F1F1F"/>
        <rFont val="DejaVu Sans"/>
        <family val="2"/>
      </rPr>
      <t>황삭</t>
    </r>
  </si>
  <si>
    <r>
      <rPr>
        <sz val="10"/>
        <color rgb="FF1F1F1F"/>
        <rFont val="DejaVu Sans"/>
        <family val="2"/>
      </rPr>
      <t xml:space="preserve">초경 </t>
    </r>
    <r>
      <rPr>
        <sz val="10"/>
        <color rgb="FF1F1F1F"/>
        <rFont val="DejaVu Sans"/>
        <family val="2"/>
        <charset val="1"/>
      </rPr>
      <t>N20 / DLC</t>
    </r>
  </si>
  <si>
    <r>
      <rPr>
        <sz val="10"/>
        <color rgb="FF1F1F1F"/>
        <rFont val="DejaVu Sans"/>
        <family val="2"/>
      </rPr>
      <t xml:space="preserve">합성 수용성 </t>
    </r>
    <r>
      <rPr>
        <sz val="10"/>
        <color rgb="FF1F1F1F"/>
        <rFont val="DejaVu Sans"/>
        <family val="2"/>
        <charset val="1"/>
      </rPr>
      <t>pH 8.5~9.5</t>
    </r>
  </si>
  <si>
    <r>
      <rPr>
        <sz val="10"/>
        <color rgb="FF1F1F1F"/>
        <rFont val="Arial"/>
        <family val="2"/>
      </rPr>
      <t xml:space="preserve">BUE </t>
    </r>
    <r>
      <rPr>
        <sz val="10"/>
        <color rgb="FF1F1F1F"/>
        <rFont val="DejaVu Sans"/>
        <family val="2"/>
      </rPr>
      <t>방지</t>
    </r>
    <r>
      <rPr>
        <sz val="10"/>
        <color rgb="FF1F1F1F"/>
        <rFont val="Arial"/>
        <family val="2"/>
      </rPr>
      <t xml:space="preserve">: Vc≥200 </t>
    </r>
    <r>
      <rPr>
        <sz val="10"/>
        <color rgb="FF1F1F1F"/>
        <rFont val="DejaVu Sans"/>
        <family val="2"/>
      </rPr>
      <t>필수</t>
    </r>
  </si>
  <si>
    <r>
      <rPr>
        <sz val="10"/>
        <color rgb="FF1F1F1F"/>
        <rFont val="Arial"/>
        <family val="2"/>
      </rPr>
      <t xml:space="preserve">6061-T6 </t>
    </r>
    <r>
      <rPr>
        <sz val="10"/>
        <color rgb="FF1F1F1F"/>
        <rFont val="DejaVu Sans"/>
        <family val="2"/>
      </rPr>
      <t>정삭</t>
    </r>
  </si>
  <si>
    <r>
      <rPr>
        <sz val="10"/>
        <color rgb="FF1F1F1F"/>
        <rFont val="DejaVu Sans"/>
        <family val="2"/>
      </rPr>
      <t xml:space="preserve">초경 </t>
    </r>
    <r>
      <rPr>
        <sz val="10"/>
        <color rgb="FF1F1F1F"/>
        <rFont val="DejaVu Sans"/>
        <family val="2"/>
        <charset val="1"/>
      </rPr>
      <t>N20 / PCD·DLC</t>
    </r>
  </si>
  <si>
    <t>합성 수용성 또는 에어</t>
  </si>
  <si>
    <r>
      <rPr>
        <sz val="10"/>
        <color rgb="FF1F1F1F"/>
        <rFont val="Arial"/>
        <family val="2"/>
      </rPr>
      <t xml:space="preserve">Ra </t>
    </r>
    <r>
      <rPr>
        <sz val="10"/>
        <color rgb="FF1F1F1F"/>
        <rFont val="DejaVu Sans"/>
        <family val="2"/>
      </rPr>
      <t>목표 ≤</t>
    </r>
    <r>
      <rPr>
        <sz val="10"/>
        <color rgb="FF1F1F1F"/>
        <rFont val="Arial"/>
        <family val="2"/>
      </rPr>
      <t>1.6 μm</t>
    </r>
  </si>
  <si>
    <t>6061-T6 HSM</t>
  </si>
  <si>
    <t>PCD</t>
  </si>
  <si>
    <r>
      <rPr>
        <sz val="10"/>
        <color rgb="FF1F1F1F"/>
        <rFont val="DejaVu Sans"/>
        <family val="2"/>
      </rPr>
      <t xml:space="preserve">에어 블라스트 </t>
    </r>
    <r>
      <rPr>
        <sz val="10"/>
        <color rgb="FF1F1F1F"/>
        <rFont val="DejaVu Sans"/>
        <family val="2"/>
        <charset val="1"/>
      </rPr>
      <t>/ MQL</t>
    </r>
  </si>
  <si>
    <r>
      <rPr>
        <sz val="10"/>
        <color rgb="FF1F1F1F"/>
        <rFont val="DejaVu Sans"/>
        <family val="2"/>
      </rPr>
      <t>⚠️ 고</t>
    </r>
    <r>
      <rPr>
        <sz val="10"/>
        <color rgb="FF1F1F1F"/>
        <rFont val="DejaVu Sans"/>
        <family val="2"/>
        <charset val="1"/>
      </rPr>
      <t xml:space="preserve">RPM </t>
    </r>
    <r>
      <rPr>
        <sz val="10"/>
        <color rgb="FF1F1F1F"/>
        <rFont val="DejaVu Sans"/>
        <family val="2"/>
      </rPr>
      <t>장비 필수</t>
    </r>
    <r>
      <rPr>
        <sz val="10"/>
        <color rgb="FF1F1F1F"/>
        <rFont val="DejaVu Sans"/>
        <family val="2"/>
        <charset val="1"/>
      </rPr>
      <t xml:space="preserve">. </t>
    </r>
    <r>
      <rPr>
        <sz val="10"/>
        <color rgb="FF1F1F1F"/>
        <rFont val="DejaVu Sans"/>
        <family val="2"/>
      </rPr>
      <t>머신 최대</t>
    </r>
    <r>
      <rPr>
        <sz val="10"/>
        <color rgb="FF1F1F1F"/>
        <rFont val="DejaVu Sans"/>
        <family val="2"/>
        <charset val="1"/>
      </rPr>
      <t xml:space="preserve">RPM </t>
    </r>
    <r>
      <rPr>
        <sz val="10"/>
        <color rgb="FF1F1F1F"/>
        <rFont val="DejaVu Sans"/>
        <family val="2"/>
      </rPr>
      <t>확인</t>
    </r>
  </si>
  <si>
    <r>
      <rPr>
        <sz val="10"/>
        <color rgb="FF1F1F1F"/>
        <rFont val="Arial"/>
        <family val="2"/>
      </rPr>
      <t xml:space="preserve">7075-T6 </t>
    </r>
    <r>
      <rPr>
        <sz val="10"/>
        <color rgb="FF1F1F1F"/>
        <rFont val="DejaVu Sans"/>
        <family val="2"/>
      </rPr>
      <t>황삭</t>
    </r>
  </si>
  <si>
    <r>
      <rPr>
        <sz val="10"/>
        <color rgb="FF1F1F1F"/>
        <rFont val="DejaVu Sans"/>
        <family val="2"/>
      </rPr>
      <t xml:space="preserve">초경 </t>
    </r>
    <r>
      <rPr>
        <sz val="10"/>
        <color rgb="FF1F1F1F"/>
        <rFont val="DejaVu Sans"/>
        <family val="2"/>
        <charset val="1"/>
      </rPr>
      <t>N10 / PCD</t>
    </r>
  </si>
  <si>
    <r>
      <rPr>
        <sz val="10"/>
        <color rgb="FF1F1F1F"/>
        <rFont val="DejaVu Sans"/>
        <family val="2"/>
      </rPr>
      <t>고강도</t>
    </r>
    <r>
      <rPr>
        <sz val="10"/>
        <color rgb="FF1F1F1F"/>
        <rFont val="DejaVu Sans"/>
        <family val="2"/>
        <charset val="1"/>
      </rPr>
      <t xml:space="preserve">: Vc </t>
    </r>
    <r>
      <rPr>
        <sz val="10"/>
        <color rgb="FF1F1F1F"/>
        <rFont val="DejaVu Sans"/>
        <family val="2"/>
      </rPr>
      <t xml:space="preserve">낮추고 </t>
    </r>
    <r>
      <rPr>
        <sz val="10"/>
        <color rgb="FF1F1F1F"/>
        <rFont val="DejaVu Sans"/>
        <family val="2"/>
        <charset val="1"/>
      </rPr>
      <t xml:space="preserve">ap </t>
    </r>
    <r>
      <rPr>
        <sz val="10"/>
        <color rgb="FF1F1F1F"/>
        <rFont val="DejaVu Sans"/>
        <family val="2"/>
      </rPr>
      <t>보수적</t>
    </r>
  </si>
  <si>
    <r>
      <rPr>
        <sz val="10"/>
        <color rgb="FF1F1F1F"/>
        <rFont val="Arial"/>
        <family val="2"/>
      </rPr>
      <t xml:space="preserve">7075-T6 </t>
    </r>
    <r>
      <rPr>
        <sz val="10"/>
        <color rgb="FF1F1F1F"/>
        <rFont val="DejaVu Sans"/>
        <family val="2"/>
      </rPr>
      <t>정삭</t>
    </r>
  </si>
  <si>
    <t>PCD / DLC</t>
  </si>
  <si>
    <r>
      <rPr>
        <sz val="10"/>
        <color rgb="FF1F1F1F"/>
        <rFont val="Arial"/>
        <family val="2"/>
      </rPr>
      <t xml:space="preserve">TiAlN </t>
    </r>
    <r>
      <rPr>
        <sz val="10"/>
        <color rgb="FF1F1F1F"/>
        <rFont val="DejaVu Sans"/>
        <family val="2"/>
      </rPr>
      <t>회피</t>
    </r>
  </si>
  <si>
    <r>
      <rPr>
        <sz val="10"/>
        <color rgb="FF1F1F1F"/>
        <rFont val="Arial"/>
        <family val="2"/>
      </rPr>
      <t xml:space="preserve">5052-H32 </t>
    </r>
    <r>
      <rPr>
        <sz val="10"/>
        <color rgb="FF1F1F1F"/>
        <rFont val="DejaVu Sans"/>
        <family val="2"/>
      </rPr>
      <t>황삭</t>
    </r>
  </si>
  <si>
    <r>
      <rPr>
        <sz val="10"/>
        <color rgb="FF1F1F1F"/>
        <rFont val="DejaVu Sans"/>
        <family val="2"/>
      </rPr>
      <t xml:space="preserve">초경 </t>
    </r>
    <r>
      <rPr>
        <sz val="10"/>
        <color rgb="FF1F1F1F"/>
        <rFont val="DejaVu Sans"/>
        <family val="2"/>
        <charset val="1"/>
      </rPr>
      <t>N10 polished</t>
    </r>
  </si>
  <si>
    <t>점성 칩 주의 — 고압 쿨런트</t>
  </si>
  <si>
    <r>
      <rPr>
        <sz val="10"/>
        <color rgb="FF1F1F1F"/>
        <rFont val="Arial"/>
        <family val="2"/>
      </rPr>
      <t xml:space="preserve">5052-H32 </t>
    </r>
    <r>
      <rPr>
        <sz val="10"/>
        <color rgb="FF1F1F1F"/>
        <rFont val="DejaVu Sans"/>
        <family val="2"/>
      </rPr>
      <t>정삭</t>
    </r>
  </si>
  <si>
    <r>
      <rPr>
        <sz val="10"/>
        <color rgb="FF1F1F1F"/>
        <rFont val="DejaVu Sans"/>
        <family val="2"/>
      </rPr>
      <t xml:space="preserve">초경 </t>
    </r>
    <r>
      <rPr>
        <sz val="10"/>
        <color rgb="FF1F1F1F"/>
        <rFont val="DejaVu Sans"/>
        <family val="2"/>
        <charset val="1"/>
      </rPr>
      <t>polished / DLC</t>
    </r>
  </si>
  <si>
    <r>
      <rPr>
        <i/>
        <sz val="8"/>
        <color rgb="FF595959"/>
        <rFont val="Arial"/>
        <family val="2"/>
      </rPr>
      <t xml:space="preserve">⚠️ TiAlN </t>
    </r>
    <r>
      <rPr>
        <i/>
        <sz val="8"/>
        <color rgb="FF595959"/>
        <rFont val="DejaVu Sans"/>
        <family val="2"/>
      </rPr>
      <t>코팅은 알루미늄 가공에서 응착</t>
    </r>
    <r>
      <rPr>
        <i/>
        <sz val="8"/>
        <color rgb="FF595959"/>
        <rFont val="Arial"/>
        <family val="2"/>
      </rPr>
      <t xml:space="preserve">(galling) </t>
    </r>
    <r>
      <rPr>
        <i/>
        <sz val="8"/>
        <color rgb="FF595959"/>
        <rFont val="DejaVu Sans"/>
        <family val="2"/>
      </rPr>
      <t>유발 — 회피 필수</t>
    </r>
    <r>
      <rPr>
        <i/>
        <sz val="8"/>
        <color rgb="FF595959"/>
        <rFont val="Arial"/>
        <family val="2"/>
      </rPr>
      <t xml:space="preserve">. HSM </t>
    </r>
    <r>
      <rPr>
        <i/>
        <sz val="8"/>
        <color rgb="FF595959"/>
        <rFont val="DejaVu Sans"/>
        <family val="2"/>
      </rPr>
      <t>조건</t>
    </r>
    <r>
      <rPr>
        <i/>
        <sz val="8"/>
        <color rgb="FF595959"/>
        <rFont val="Arial"/>
        <family val="2"/>
      </rPr>
      <t>(Vc≥1,000)</t>
    </r>
    <r>
      <rPr>
        <i/>
        <sz val="8"/>
        <color rgb="FF595959"/>
        <rFont val="DejaVu Sans"/>
        <family val="2"/>
      </rPr>
      <t xml:space="preserve">은 장비 최대 </t>
    </r>
    <r>
      <rPr>
        <i/>
        <sz val="8"/>
        <color rgb="FF595959"/>
        <rFont val="Arial"/>
        <family val="2"/>
      </rPr>
      <t xml:space="preserve">RPM </t>
    </r>
    <r>
      <rPr>
        <i/>
        <sz val="8"/>
        <color rgb="FF595959"/>
        <rFont val="DejaVu Sans"/>
        <family val="2"/>
      </rPr>
      <t>사전 확인 필수</t>
    </r>
    <r>
      <rPr>
        <i/>
        <sz val="8"/>
        <color rgb="FF595959"/>
        <rFont val="Arial"/>
        <family val="2"/>
      </rPr>
      <t xml:space="preserve">. ⚠️ 6061-T6 HSM </t>
    </r>
    <r>
      <rPr>
        <i/>
        <sz val="8"/>
        <color rgb="FF595959"/>
        <rFont val="DejaVu Sans"/>
        <family val="2"/>
      </rPr>
      <t>행은 추정값</t>
    </r>
    <r>
      <rPr>
        <i/>
        <sz val="8"/>
        <color rgb="FF595959"/>
        <rFont val="Arial"/>
        <family val="2"/>
      </rPr>
      <t>(</t>
    </r>
    <r>
      <rPr>
        <i/>
        <sz val="8"/>
        <color rgb="FF595959"/>
        <rFont val="DejaVu Sans"/>
        <family val="2"/>
      </rPr>
      <t>확인 필요</t>
    </r>
    <r>
      <rPr>
        <i/>
        <sz val="8"/>
        <color rgb="FF595959"/>
        <rFont val="Arial"/>
        <family val="2"/>
      </rPr>
      <t xml:space="preserve">). </t>
    </r>
    <r>
      <rPr>
        <i/>
        <sz val="8"/>
        <color rgb="FF595959"/>
        <rFont val="DejaVu Sans"/>
        <family val="2"/>
      </rPr>
      <t>출처</t>
    </r>
    <r>
      <rPr>
        <i/>
        <sz val="8"/>
        <color rgb="FF595959"/>
        <rFont val="Arial"/>
        <family val="2"/>
      </rPr>
      <t>: wiki/materials/</t>
    </r>
    <r>
      <rPr>
        <i/>
        <sz val="8"/>
        <color rgb="FF595959"/>
        <rFont val="DejaVu Sans"/>
        <family val="2"/>
      </rPr>
      <t>알루미늄</t>
    </r>
    <r>
      <rPr>
        <i/>
        <sz val="8"/>
        <color rgb="FF595959"/>
        <rFont val="Arial"/>
        <family val="2"/>
      </rPr>
      <t>.md §6.3 / Sandvik CoroKey N</t>
    </r>
    <r>
      <rPr>
        <i/>
        <sz val="8"/>
        <color rgb="FF595959"/>
        <rFont val="DejaVu Sans"/>
        <family val="2"/>
      </rPr>
      <t>그룹</t>
    </r>
  </si>
  <si>
    <r>
      <rPr>
        <b/>
        <sz val="12"/>
        <color rgb="FFFFFFFF"/>
        <rFont val="DejaVu Sans"/>
        <family val="2"/>
      </rPr>
      <t xml:space="preserve">신뢰도 </t>
    </r>
    <r>
      <rPr>
        <b/>
        <sz val="12"/>
        <color rgb="FFFFFFFF"/>
        <rFont val="DejaVu Sans"/>
        <family val="2"/>
        <charset val="1"/>
      </rPr>
      <t>4</t>
    </r>
    <r>
      <rPr>
        <b/>
        <sz val="12"/>
        <color rgb="FFFFFFFF"/>
        <rFont val="DejaVu Sans"/>
        <family val="2"/>
      </rPr>
      <t xml:space="preserve">단계 범례 </t>
    </r>
    <r>
      <rPr>
        <b/>
        <sz val="12"/>
        <color rgb="FFFFFFFF"/>
        <rFont val="DejaVu Sans"/>
        <family val="2"/>
        <charset val="1"/>
      </rPr>
      <t xml:space="preserve">&amp; </t>
    </r>
    <r>
      <rPr>
        <b/>
        <sz val="12"/>
        <color rgb="FFFFFFFF"/>
        <rFont val="DejaVu Sans"/>
        <family val="2"/>
      </rPr>
      <t xml:space="preserve">기호 설명 </t>
    </r>
    <r>
      <rPr>
        <b/>
        <sz val="12"/>
        <color rgb="FFFFFFFF"/>
        <rFont val="DejaVu Sans"/>
        <family val="2"/>
        <charset val="1"/>
      </rPr>
      <t xml:space="preserve">(CLAUDE.md §2 </t>
    </r>
    <r>
      <rPr>
        <b/>
        <sz val="12"/>
        <color rgb="FFFFFFFF"/>
        <rFont val="DejaVu Sans"/>
        <family val="2"/>
      </rPr>
      <t>기준</t>
    </r>
    <r>
      <rPr>
        <b/>
        <sz val="12"/>
        <color rgb="FFFFFFFF"/>
        <rFont val="DejaVu Sans"/>
        <family val="2"/>
        <charset val="1"/>
      </rPr>
      <t>)</t>
    </r>
  </si>
  <si>
    <t>설명</t>
  </si>
  <si>
    <t>색상 기호</t>
  </si>
  <si>
    <t>배경색</t>
  </si>
  <si>
    <r>
      <rPr>
        <sz val="10"/>
        <color rgb="FF1F1F1F"/>
        <rFont val="DejaVu Sans"/>
        <family val="2"/>
      </rPr>
      <t>제조사 카탈로그</t>
    </r>
    <r>
      <rPr>
        <sz val="10"/>
        <color rgb="FF1F1F1F"/>
        <rFont val="DejaVu Sans"/>
        <family val="2"/>
        <charset val="1"/>
      </rPr>
      <t>·</t>
    </r>
    <r>
      <rPr>
        <sz val="10"/>
        <color rgb="FF1F1F1F"/>
        <rFont val="DejaVu Sans"/>
        <family val="2"/>
      </rPr>
      <t>매뉴얼 직접 인용값</t>
    </r>
    <r>
      <rPr>
        <sz val="10"/>
        <color rgb="FF1F1F1F"/>
        <rFont val="DejaVu Sans"/>
        <family val="2"/>
        <charset val="1"/>
      </rPr>
      <t xml:space="preserve">. </t>
    </r>
    <r>
      <rPr>
        <sz val="10"/>
        <color rgb="FF1F1F1F"/>
        <rFont val="DejaVu Sans"/>
        <family val="2"/>
      </rPr>
      <t>재현 가능성 최상</t>
    </r>
    <r>
      <rPr>
        <sz val="10"/>
        <color rgb="FF1F1F1F"/>
        <rFont val="DejaVu Sans"/>
        <family val="2"/>
        <charset val="1"/>
      </rPr>
      <t>.</t>
    </r>
  </si>
  <si>
    <t>🟦 진파랑</t>
  </si>
  <si>
    <r>
      <rPr>
        <sz val="10"/>
        <color rgb="FF1F1F1F"/>
        <rFont val="DejaVu Sans"/>
        <family val="2"/>
      </rPr>
      <t>사내 테스트로 재현 확인 완료</t>
    </r>
    <r>
      <rPr>
        <sz val="10"/>
        <color rgb="FF1F1F1F"/>
        <rFont val="DejaVu Sans"/>
        <family val="2"/>
        <charset val="1"/>
      </rPr>
      <t xml:space="preserve">. </t>
    </r>
    <r>
      <rPr>
        <sz val="10"/>
        <color rgb="FF1F1F1F"/>
        <rFont val="DejaVu Sans"/>
        <family val="2"/>
      </rPr>
      <t>양산 적용 가능</t>
    </r>
    <r>
      <rPr>
        <sz val="10"/>
        <color rgb="FF1F1F1F"/>
        <rFont val="DejaVu Sans"/>
        <family val="2"/>
        <charset val="1"/>
      </rPr>
      <t>.</t>
    </r>
  </si>
  <si>
    <t>🟩 초록</t>
  </si>
  <si>
    <r>
      <rPr>
        <sz val="10"/>
        <color rgb="FF1F1F1F"/>
        <rFont val="DejaVu Sans"/>
        <family val="2"/>
      </rPr>
      <t>반복 경험에서 도출된 값</t>
    </r>
    <r>
      <rPr>
        <sz val="10"/>
        <color rgb="FF1F1F1F"/>
        <rFont val="DejaVu Sans"/>
        <family val="2"/>
        <charset val="1"/>
      </rPr>
      <t xml:space="preserve">. </t>
    </r>
    <r>
      <rPr>
        <sz val="10"/>
        <color rgb="FF1F1F1F"/>
        <rFont val="DejaVu Sans"/>
        <family val="2"/>
      </rPr>
      <t>체계적 검증 미완</t>
    </r>
    <r>
      <rPr>
        <sz val="10"/>
        <color rgb="FF1F1F1F"/>
        <rFont val="DejaVu Sans"/>
        <family val="2"/>
        <charset val="1"/>
      </rPr>
      <t xml:space="preserve">. </t>
    </r>
    <r>
      <rPr>
        <sz val="10"/>
        <color rgb="FF1F1F1F"/>
        <rFont val="DejaVu Sans"/>
        <family val="2"/>
      </rPr>
      <t>실측 권장</t>
    </r>
    <r>
      <rPr>
        <sz val="10"/>
        <color rgb="FF1F1F1F"/>
        <rFont val="DejaVu Sans"/>
        <family val="2"/>
        <charset val="1"/>
      </rPr>
      <t>.</t>
    </r>
  </si>
  <si>
    <t>🟨 노랑</t>
  </si>
  <si>
    <r>
      <rPr>
        <sz val="10"/>
        <color rgb="FF1F1F1F"/>
        <rFont val="DejaVu Sans"/>
        <family val="2"/>
      </rPr>
      <t>근거 불충분 또는 유추값</t>
    </r>
    <r>
      <rPr>
        <sz val="10"/>
        <color rgb="FF1F1F1F"/>
        <rFont val="DejaVu Sans"/>
        <family val="2"/>
        <charset val="1"/>
      </rPr>
      <t xml:space="preserve">. </t>
    </r>
    <r>
      <rPr>
        <sz val="10"/>
        <color rgb="FF1F1F1F"/>
        <rFont val="DejaVu Sans"/>
        <family val="2"/>
      </rPr>
      <t>양산 전 반드시 테스트 필요</t>
    </r>
    <r>
      <rPr>
        <sz val="10"/>
        <color rgb="FF1F1F1F"/>
        <rFont val="DejaVu Sans"/>
        <family val="2"/>
        <charset val="1"/>
      </rPr>
      <t>.</t>
    </r>
  </si>
  <si>
    <t>🟧 주황</t>
  </si>
  <si>
    <r>
      <rPr>
        <b/>
        <sz val="10"/>
        <color rgb="FFFFFFFF"/>
        <rFont val="DejaVu Sans"/>
        <family val="2"/>
      </rPr>
      <t xml:space="preserve">📐 주요 수식 </t>
    </r>
    <r>
      <rPr>
        <b/>
        <sz val="10"/>
        <color rgb="FFFFFFFF"/>
        <rFont val="DejaVu Sans"/>
        <family val="2"/>
        <charset val="1"/>
      </rPr>
      <t>(</t>
    </r>
    <r>
      <rPr>
        <b/>
        <sz val="10"/>
        <color rgb="FFFFFFFF"/>
        <rFont val="DejaVu Sans"/>
        <family val="2"/>
      </rPr>
      <t>검산용</t>
    </r>
    <r>
      <rPr>
        <b/>
        <sz val="10"/>
        <color rgb="FFFFFFFF"/>
        <rFont val="DejaVu Sans"/>
        <family val="2"/>
        <charset val="1"/>
      </rPr>
      <t>)</t>
    </r>
  </si>
  <si>
    <t>수식 이름</t>
  </si>
  <si>
    <t>공식</t>
  </si>
  <si>
    <t>단위 설명</t>
  </si>
  <si>
    <r>
      <rPr>
        <b/>
        <sz val="10"/>
        <color rgb="FF1F1F1F"/>
        <rFont val="DejaVu Sans"/>
        <family val="2"/>
      </rPr>
      <t xml:space="preserve">주축속도 </t>
    </r>
    <r>
      <rPr>
        <b/>
        <sz val="10"/>
        <color rgb="FF1F1F1F"/>
        <rFont val="DejaVu Sans"/>
        <family val="2"/>
        <charset val="1"/>
      </rPr>
      <t>N (RPM)</t>
    </r>
  </si>
  <si>
    <t>N = (60,000 × Vc) ÷ (π × D)</t>
  </si>
  <si>
    <t>Vc [m/min], D [mm]</t>
  </si>
  <si>
    <r>
      <rPr>
        <b/>
        <sz val="10"/>
        <color rgb="FF1F1F1F"/>
        <rFont val="DejaVu Sans"/>
        <family val="2"/>
      </rPr>
      <t xml:space="preserve">이송속도 </t>
    </r>
    <r>
      <rPr>
        <b/>
        <sz val="10"/>
        <color rgb="FF1F1F1F"/>
        <rFont val="DejaVu Sans"/>
        <family val="2"/>
        <charset val="1"/>
      </rPr>
      <t>Vf (mm/min)</t>
    </r>
  </si>
  <si>
    <t>Vf = N × fz × z</t>
  </si>
  <si>
    <r>
      <rPr>
        <sz val="10"/>
        <color rgb="FF1F1F1F"/>
        <rFont val="Arial"/>
        <family val="2"/>
      </rPr>
      <t>N [RPM], fz [mm/tooth], z [</t>
    </r>
    <r>
      <rPr>
        <sz val="10"/>
        <color rgb="FF1F1F1F"/>
        <rFont val="DejaVu Sans"/>
        <family val="2"/>
      </rPr>
      <t>날수</t>
    </r>
    <r>
      <rPr>
        <sz val="10"/>
        <color rgb="FF1F1F1F"/>
        <rFont val="Arial"/>
        <family val="2"/>
      </rPr>
      <t>]</t>
    </r>
  </si>
  <si>
    <r>
      <rPr>
        <b/>
        <sz val="10"/>
        <color rgb="FF1F1F1F"/>
        <rFont val="DejaVu Sans"/>
        <family val="2"/>
      </rPr>
      <t xml:space="preserve">원주속도 </t>
    </r>
    <r>
      <rPr>
        <b/>
        <sz val="10"/>
        <color rgb="FF1F1F1F"/>
        <rFont val="DejaVu Sans"/>
        <family val="2"/>
        <charset val="1"/>
      </rPr>
      <t xml:space="preserve">Vc — </t>
    </r>
    <r>
      <rPr>
        <b/>
        <sz val="10"/>
        <color rgb="FF1F1F1F"/>
        <rFont val="DejaVu Sans"/>
        <family val="2"/>
      </rPr>
      <t xml:space="preserve">연삭 </t>
    </r>
    <r>
      <rPr>
        <b/>
        <sz val="10"/>
        <color rgb="FF1F1F1F"/>
        <rFont val="DejaVu Sans"/>
        <family val="2"/>
        <charset val="1"/>
      </rPr>
      <t>(m/s)</t>
    </r>
  </si>
  <si>
    <t>Vc = π × D × RPM ÷ 60,000</t>
  </si>
  <si>
    <t>D [mm], RPM</t>
  </si>
  <si>
    <r>
      <rPr>
        <b/>
        <sz val="10"/>
        <color rgb="FF1F1F1F"/>
        <rFont val="DejaVu Sans"/>
        <family val="2"/>
      </rPr>
      <t xml:space="preserve">비연삭율 </t>
    </r>
    <r>
      <rPr>
        <b/>
        <sz val="10"/>
        <color rgb="FF1F1F1F"/>
        <rFont val="DejaVu Sans"/>
        <family val="2"/>
        <charset val="1"/>
      </rPr>
      <t>Q'w (mm³/mm·s)</t>
    </r>
  </si>
  <si>
    <t>Q'w = Vw × Ae ÷ 1,000</t>
  </si>
  <si>
    <t>Vw [mm/min], Ae [mm]</t>
  </si>
  <si>
    <t>🔢 가공 조건 계산기 — 값을 입력하면 자동 계산됩니다</t>
  </si>
  <si>
    <t>파란색 셀에 직접 입력 → 초록색 셀에 결과 자동 표시  │  입력 셀 초기값은 예시값</t>
  </si>
  <si>
    <r>
      <rPr>
        <b/>
        <sz val="10"/>
        <color rgb="FFFFFFFF"/>
        <rFont val="DejaVu Sans"/>
        <family val="2"/>
      </rPr>
      <t xml:space="preserve">① 주축속도 </t>
    </r>
    <r>
      <rPr>
        <b/>
        <sz val="10"/>
        <color rgb="FFFFFFFF"/>
        <rFont val="DejaVu Sans"/>
        <family val="2"/>
        <charset val="1"/>
      </rPr>
      <t>N (RPM)   —   N = 1,000 × Vc ÷ (π × D)</t>
    </r>
  </si>
  <si>
    <t>항목</t>
  </si>
  <si>
    <r>
      <rPr>
        <b/>
        <sz val="9"/>
        <color rgb="FF1F1F1F"/>
        <rFont val="DejaVu Sans"/>
        <family val="2"/>
      </rPr>
      <t xml:space="preserve">절삭속도 </t>
    </r>
    <r>
      <rPr>
        <b/>
        <sz val="9"/>
        <color rgb="FF1F1F1F"/>
        <rFont val="DejaVu Sans"/>
        <family val="2"/>
        <charset val="1"/>
      </rPr>
      <t>Vc</t>
    </r>
  </si>
  <si>
    <t>단위</t>
  </si>
  <si>
    <r>
      <rPr>
        <b/>
        <sz val="9"/>
        <color rgb="FF1F1F1F"/>
        <rFont val="DejaVu Sans"/>
        <family val="2"/>
      </rPr>
      <t xml:space="preserve">공구 직경 </t>
    </r>
    <r>
      <rPr>
        <b/>
        <sz val="9"/>
        <color rgb="FF1F1F1F"/>
        <rFont val="DejaVu Sans"/>
        <family val="2"/>
        <charset val="1"/>
      </rPr>
      <t>D</t>
    </r>
  </si>
  <si>
    <r>
      <rPr>
        <b/>
        <sz val="9"/>
        <color rgb="FF1F1F1F"/>
        <rFont val="DejaVu Sans"/>
        <family val="2"/>
      </rPr>
      <t xml:space="preserve">결과 </t>
    </r>
    <r>
      <rPr>
        <b/>
        <sz val="9"/>
        <color rgb="FF1F1F1F"/>
        <rFont val="DejaVu Sans"/>
        <family val="2"/>
        <charset val="1"/>
      </rPr>
      <t>N</t>
    </r>
  </si>
  <si>
    <t>입력값</t>
  </si>
  <si>
    <t>m/min</t>
  </si>
  <si>
    <t>mm</t>
  </si>
  <si>
    <r>
      <rPr>
        <i/>
        <sz val="8"/>
        <color rgb="FF595959"/>
        <rFont val="Arial"/>
        <family val="2"/>
      </rPr>
      <t xml:space="preserve">← Vc </t>
    </r>
    <r>
      <rPr>
        <i/>
        <sz val="8"/>
        <color rgb="FF595959"/>
        <rFont val="DejaVu Sans"/>
        <family val="2"/>
      </rPr>
      <t>입력</t>
    </r>
  </si>
  <si>
    <r>
      <rPr>
        <i/>
        <sz val="8"/>
        <color rgb="FF595959"/>
        <rFont val="Arial"/>
        <family val="2"/>
      </rPr>
      <t xml:space="preserve">← D </t>
    </r>
    <r>
      <rPr>
        <i/>
        <sz val="8"/>
        <color rgb="FF595959"/>
        <rFont val="DejaVu Sans"/>
        <family val="2"/>
      </rPr>
      <t>입력</t>
    </r>
  </si>
  <si>
    <t>RPM ↑</t>
  </si>
  <si>
    <r>
      <rPr>
        <b/>
        <sz val="10"/>
        <color rgb="FFFFFFFF"/>
        <rFont val="DejaVu Sans"/>
        <family val="2"/>
      </rPr>
      <t xml:space="preserve">② 이송속도 </t>
    </r>
    <r>
      <rPr>
        <b/>
        <sz val="10"/>
        <color rgb="FFFFFFFF"/>
        <rFont val="DejaVu Sans"/>
        <family val="2"/>
        <charset val="1"/>
      </rPr>
      <t>Vf (mm/min)   —   Vf = N × fz × z</t>
    </r>
  </si>
  <si>
    <r>
      <rPr>
        <b/>
        <sz val="9"/>
        <color rgb="FF1F1F1F"/>
        <rFont val="DejaVu Sans"/>
        <family val="2"/>
      </rPr>
      <t xml:space="preserve">주축속도 </t>
    </r>
    <r>
      <rPr>
        <b/>
        <sz val="9"/>
        <color rgb="FF1F1F1F"/>
        <rFont val="DejaVu Sans"/>
        <family val="2"/>
        <charset val="1"/>
      </rPr>
      <t>N</t>
    </r>
  </si>
  <si>
    <r>
      <rPr>
        <b/>
        <sz val="9"/>
        <color rgb="FF1F1F1F"/>
        <rFont val="DejaVu Sans"/>
        <family val="2"/>
      </rPr>
      <t xml:space="preserve">날당이송 </t>
    </r>
    <r>
      <rPr>
        <b/>
        <sz val="9"/>
        <color rgb="FF1F1F1F"/>
        <rFont val="DejaVu Sans"/>
        <family val="2"/>
        <charset val="1"/>
      </rPr>
      <t>fz</t>
    </r>
  </si>
  <si>
    <r>
      <rPr>
        <b/>
        <sz val="9"/>
        <color rgb="FF1F1F1F"/>
        <rFont val="DejaVu Sans"/>
        <family val="2"/>
      </rPr>
      <t xml:space="preserve">날수 </t>
    </r>
    <r>
      <rPr>
        <b/>
        <sz val="9"/>
        <color rgb="FF1F1F1F"/>
        <rFont val="DejaVu Sans"/>
        <family val="2"/>
        <charset val="1"/>
      </rPr>
      <t>z</t>
    </r>
  </si>
  <si>
    <r>
      <rPr>
        <b/>
        <sz val="9"/>
        <color rgb="FF1F1F1F"/>
        <rFont val="DejaVu Sans"/>
        <family val="2"/>
      </rPr>
      <t xml:space="preserve">결과 </t>
    </r>
    <r>
      <rPr>
        <b/>
        <sz val="9"/>
        <color rgb="FF1F1F1F"/>
        <rFont val="DejaVu Sans"/>
        <family val="2"/>
        <charset val="1"/>
      </rPr>
      <t>Vf</t>
    </r>
  </si>
  <si>
    <r>
      <rPr>
        <i/>
        <sz val="8"/>
        <color rgb="FF595959"/>
        <rFont val="Arial"/>
        <family val="2"/>
      </rPr>
      <t xml:space="preserve">← N </t>
    </r>
    <r>
      <rPr>
        <i/>
        <sz val="8"/>
        <color rgb="FF595959"/>
        <rFont val="DejaVu Sans"/>
        <family val="2"/>
      </rPr>
      <t>입력</t>
    </r>
  </si>
  <si>
    <t>← fz [mm/tooth]</t>
  </si>
  <si>
    <r>
      <rPr>
        <i/>
        <sz val="8"/>
        <color rgb="FF595959"/>
        <rFont val="Arial"/>
        <family val="2"/>
      </rPr>
      <t>← z [</t>
    </r>
    <r>
      <rPr>
        <i/>
        <sz val="8"/>
        <color rgb="FF595959"/>
        <rFont val="DejaVu Sans"/>
        <family val="2"/>
      </rPr>
      <t>날수</t>
    </r>
    <r>
      <rPr>
        <i/>
        <sz val="8"/>
        <color rgb="FF595959"/>
        <rFont val="Arial"/>
        <family val="2"/>
      </rPr>
      <t>]</t>
    </r>
  </si>
  <si>
    <t>mm/min ↑</t>
  </si>
  <si>
    <r>
      <rPr>
        <b/>
        <sz val="10"/>
        <color rgb="FFFFFFFF"/>
        <rFont val="DejaVu Sans"/>
        <family val="2"/>
      </rPr>
      <t xml:space="preserve">③ 연삭 원주속도 </t>
    </r>
    <r>
      <rPr>
        <b/>
        <sz val="10"/>
        <color rgb="FFFFFFFF"/>
        <rFont val="DejaVu Sans"/>
        <family val="2"/>
        <charset val="1"/>
      </rPr>
      <t xml:space="preserve">Vc ↔ RPM </t>
    </r>
    <r>
      <rPr>
        <b/>
        <sz val="10"/>
        <color rgb="FFFFFFFF"/>
        <rFont val="DejaVu Sans"/>
        <family val="2"/>
      </rPr>
      <t xml:space="preserve">변환   —   휠 직경 </t>
    </r>
    <r>
      <rPr>
        <b/>
        <sz val="10"/>
        <color rgb="FFFFFFFF"/>
        <rFont val="DejaVu Sans"/>
        <family val="2"/>
        <charset val="1"/>
      </rPr>
      <t>D [mm]</t>
    </r>
  </si>
  <si>
    <r>
      <rPr>
        <i/>
        <sz val="8"/>
        <color rgb="FF595959"/>
        <rFont val="Arial"/>
        <family val="2"/>
      </rPr>
      <t xml:space="preserve">RPM → Vc </t>
    </r>
    <r>
      <rPr>
        <i/>
        <sz val="8"/>
        <color rgb="FF595959"/>
        <rFont val="DejaVu Sans"/>
        <family val="2"/>
      </rPr>
      <t xml:space="preserve">방향 </t>
    </r>
    <r>
      <rPr>
        <i/>
        <sz val="8"/>
        <color rgb="FF595959"/>
        <rFont val="Arial"/>
        <family val="2"/>
      </rPr>
      <t>(</t>
    </r>
    <r>
      <rPr>
        <i/>
        <sz val="8"/>
        <color rgb="FF595959"/>
        <rFont val="DejaVu Sans"/>
        <family val="2"/>
      </rPr>
      <t xml:space="preserve">좌측 </t>
    </r>
    <r>
      <rPr>
        <i/>
        <sz val="8"/>
        <color rgb="FF595959"/>
        <rFont val="Arial"/>
        <family val="2"/>
      </rPr>
      <t>2</t>
    </r>
    <r>
      <rPr>
        <i/>
        <sz val="8"/>
        <color rgb="FF595959"/>
        <rFont val="DejaVu Sans"/>
        <family val="2"/>
      </rPr>
      <t>칸 입력</t>
    </r>
    <r>
      <rPr>
        <i/>
        <sz val="8"/>
        <color rgb="FF595959"/>
        <rFont val="Arial"/>
        <family val="2"/>
      </rPr>
      <t xml:space="preserve">)       |       Vc → RPM </t>
    </r>
    <r>
      <rPr>
        <i/>
        <sz val="8"/>
        <color rgb="FF595959"/>
        <rFont val="DejaVu Sans"/>
        <family val="2"/>
      </rPr>
      <t xml:space="preserve">방향 </t>
    </r>
    <r>
      <rPr>
        <i/>
        <sz val="8"/>
        <color rgb="FF595959"/>
        <rFont val="Arial"/>
        <family val="2"/>
      </rPr>
      <t>(</t>
    </r>
    <r>
      <rPr>
        <i/>
        <sz val="8"/>
        <color rgb="FF595959"/>
        <rFont val="DejaVu Sans"/>
        <family val="2"/>
      </rPr>
      <t xml:space="preserve">우측 </t>
    </r>
    <r>
      <rPr>
        <i/>
        <sz val="8"/>
        <color rgb="FF595959"/>
        <rFont val="Arial"/>
        <family val="2"/>
      </rPr>
      <t>2</t>
    </r>
    <r>
      <rPr>
        <i/>
        <sz val="8"/>
        <color rgb="FF595959"/>
        <rFont val="DejaVu Sans"/>
        <family val="2"/>
      </rPr>
      <t>칸 입력</t>
    </r>
    <r>
      <rPr>
        <i/>
        <sz val="8"/>
        <color rgb="FF595959"/>
        <rFont val="Arial"/>
        <family val="2"/>
      </rPr>
      <t>)</t>
    </r>
  </si>
  <si>
    <r>
      <rPr>
        <b/>
        <sz val="9"/>
        <color rgb="FF1F1F1F"/>
        <rFont val="DejaVu Sans"/>
        <family val="2"/>
      </rPr>
      <t xml:space="preserve">휠 직경 </t>
    </r>
    <r>
      <rPr>
        <b/>
        <sz val="9"/>
        <color rgb="FF1F1F1F"/>
        <rFont val="DejaVu Sans"/>
        <family val="2"/>
        <charset val="1"/>
      </rPr>
      <t>D (mm)</t>
    </r>
  </si>
  <si>
    <t>RPM →</t>
  </si>
  <si>
    <r>
      <rPr>
        <b/>
        <sz val="9"/>
        <color rgb="FF1F1F1F"/>
        <rFont val="DejaVu Sans"/>
        <family val="2"/>
      </rPr>
      <t xml:space="preserve">결과 </t>
    </r>
    <r>
      <rPr>
        <b/>
        <sz val="9"/>
        <color rgb="FF1F1F1F"/>
        <rFont val="DejaVu Sans"/>
        <family val="2"/>
        <charset val="1"/>
      </rPr>
      <t>Vc (m/s)</t>
    </r>
  </si>
  <si>
    <t>Vc (m/s) →</t>
  </si>
  <si>
    <r>
      <rPr>
        <b/>
        <sz val="9"/>
        <color rgb="FF1F1F1F"/>
        <rFont val="DejaVu Sans"/>
        <family val="2"/>
      </rPr>
      <t xml:space="preserve">결과 </t>
    </r>
    <r>
      <rPr>
        <b/>
        <sz val="9"/>
        <color rgb="FF1F1F1F"/>
        <rFont val="DejaVu Sans"/>
        <family val="2"/>
        <charset val="1"/>
      </rPr>
      <t>RPM</t>
    </r>
  </si>
  <si>
    <r>
      <rPr>
        <i/>
        <sz val="8"/>
        <color rgb="FF595959"/>
        <rFont val="DejaVu Sans"/>
        <family val="2"/>
      </rPr>
      <t xml:space="preserve">← 휠 직경 </t>
    </r>
    <r>
      <rPr>
        <i/>
        <sz val="8"/>
        <color rgb="FF595959"/>
        <rFont val="DejaVu Sans"/>
        <family val="2"/>
        <charset val="1"/>
      </rPr>
      <t>(</t>
    </r>
    <r>
      <rPr>
        <i/>
        <sz val="8"/>
        <color rgb="FF595959"/>
        <rFont val="DejaVu Sans"/>
        <family val="2"/>
      </rPr>
      <t>공용</t>
    </r>
    <r>
      <rPr>
        <i/>
        <sz val="8"/>
        <color rgb="FF595959"/>
        <rFont val="DejaVu Sans"/>
        <family val="2"/>
        <charset val="1"/>
      </rPr>
      <t>)</t>
    </r>
  </si>
  <si>
    <r>
      <rPr>
        <i/>
        <sz val="8"/>
        <color rgb="FF595959"/>
        <rFont val="Arial"/>
        <family val="2"/>
      </rPr>
      <t xml:space="preserve">← RPM </t>
    </r>
    <r>
      <rPr>
        <i/>
        <sz val="8"/>
        <color rgb="FF595959"/>
        <rFont val="DejaVu Sans"/>
        <family val="2"/>
      </rPr>
      <t>입력</t>
    </r>
  </si>
  <si>
    <t>m/s ↑</t>
  </si>
  <si>
    <r>
      <rPr>
        <i/>
        <sz val="8"/>
        <color rgb="FF595959"/>
        <rFont val="Arial"/>
        <family val="2"/>
      </rPr>
      <t xml:space="preserve">← Vc </t>
    </r>
    <r>
      <rPr>
        <i/>
        <sz val="8"/>
        <color rgb="FF595959"/>
        <rFont val="DejaVu Sans"/>
        <family val="2"/>
      </rPr>
      <t>목표 입력</t>
    </r>
  </si>
  <si>
    <r>
      <rPr>
        <b/>
        <sz val="8"/>
        <color rgb="FFC00000"/>
        <rFont val="Arial"/>
        <family val="2"/>
      </rPr>
      <t xml:space="preserve">⚠️ Resin Bond </t>
    </r>
    <r>
      <rPr>
        <b/>
        <sz val="8"/>
        <color rgb="FFC00000"/>
        <rFont val="DejaVu Sans"/>
        <family val="2"/>
      </rPr>
      <t>휠 권장 범위</t>
    </r>
    <r>
      <rPr>
        <b/>
        <sz val="8"/>
        <color rgb="FFC00000"/>
        <rFont val="Arial"/>
        <family val="2"/>
      </rPr>
      <t xml:space="preserve">: 18~30 m/s │ Vc &gt; 30 m/s </t>
    </r>
    <r>
      <rPr>
        <b/>
        <sz val="8"/>
        <color rgb="FFC00000"/>
        <rFont val="DejaVu Sans"/>
        <family val="2"/>
      </rPr>
      <t>시 반드시 휠 사양</t>
    </r>
    <r>
      <rPr>
        <b/>
        <sz val="8"/>
        <color rgb="FFC00000"/>
        <rFont val="Arial"/>
        <family val="2"/>
      </rPr>
      <t>(</t>
    </r>
    <r>
      <rPr>
        <b/>
        <sz val="8"/>
        <color rgb="FFC00000"/>
        <rFont val="DejaVu Sans"/>
        <family val="2"/>
      </rPr>
      <t xml:space="preserve">최대 </t>
    </r>
    <r>
      <rPr>
        <b/>
        <sz val="8"/>
        <color rgb="FFC00000"/>
        <rFont val="Arial"/>
        <family val="2"/>
      </rPr>
      <t xml:space="preserve">RPM) </t>
    </r>
    <r>
      <rPr>
        <b/>
        <sz val="8"/>
        <color rgb="FFC00000"/>
        <rFont val="DejaVu Sans"/>
        <family val="2"/>
      </rPr>
      <t>확인 필수</t>
    </r>
  </si>
  <si>
    <r>
      <rPr>
        <b/>
        <sz val="10"/>
        <color rgb="FFFFFFFF"/>
        <rFont val="DejaVu Sans"/>
        <family val="2"/>
      </rPr>
      <t xml:space="preserve">④ 비연삭율 </t>
    </r>
    <r>
      <rPr>
        <b/>
        <sz val="10"/>
        <color rgb="FFFFFFFF"/>
        <rFont val="DejaVu Sans"/>
        <family val="2"/>
        <charset val="1"/>
      </rPr>
      <t>Q'w [mm³/(mm·s)]   —   Q'w = Vw × Ae ÷ 1,000</t>
    </r>
  </si>
  <si>
    <r>
      <rPr>
        <b/>
        <sz val="9"/>
        <color rgb="FF1F1F1F"/>
        <rFont val="DejaVu Sans"/>
        <family val="2"/>
      </rPr>
      <t xml:space="preserve">테이블 이송속도 </t>
    </r>
    <r>
      <rPr>
        <b/>
        <sz val="9"/>
        <color rgb="FF1F1F1F"/>
        <rFont val="DejaVu Sans"/>
        <family val="2"/>
        <charset val="1"/>
      </rPr>
      <t>Vw</t>
    </r>
  </si>
  <si>
    <r>
      <rPr>
        <b/>
        <sz val="9"/>
        <color rgb="FF1F1F1F"/>
        <rFont val="DejaVu Sans"/>
        <family val="2"/>
      </rPr>
      <t xml:space="preserve">반경 절입량 </t>
    </r>
    <r>
      <rPr>
        <b/>
        <sz val="9"/>
        <color rgb="FF1F1F1F"/>
        <rFont val="DejaVu Sans"/>
        <family val="2"/>
        <charset val="1"/>
      </rPr>
      <t>Ae</t>
    </r>
  </si>
  <si>
    <r>
      <rPr>
        <b/>
        <sz val="9"/>
        <color rgb="FF1F1F1F"/>
        <rFont val="DejaVu Sans"/>
        <family val="2"/>
      </rPr>
      <t xml:space="preserve">결과 </t>
    </r>
    <r>
      <rPr>
        <b/>
        <sz val="9"/>
        <color rgb="FF1F1F1F"/>
        <rFont val="DejaVu Sans"/>
        <family val="2"/>
        <charset val="1"/>
      </rPr>
      <t>Q'w</t>
    </r>
  </si>
  <si>
    <t>mm/min</t>
  </si>
  <si>
    <r>
      <rPr>
        <i/>
        <sz val="8"/>
        <color rgb="FF595959"/>
        <rFont val="Arial"/>
        <family val="2"/>
      </rPr>
      <t xml:space="preserve">← Vw </t>
    </r>
    <r>
      <rPr>
        <i/>
        <sz val="8"/>
        <color rgb="FF595959"/>
        <rFont val="DejaVu Sans"/>
        <family val="2"/>
      </rPr>
      <t>입력</t>
    </r>
  </si>
  <si>
    <r>
      <rPr>
        <i/>
        <sz val="8"/>
        <color rgb="FF595959"/>
        <rFont val="Arial"/>
        <family val="2"/>
      </rPr>
      <t xml:space="preserve">← Ae </t>
    </r>
    <r>
      <rPr>
        <i/>
        <sz val="8"/>
        <color rgb="FF595959"/>
        <rFont val="DejaVu Sans"/>
        <family val="2"/>
      </rPr>
      <t>입력</t>
    </r>
  </si>
  <si>
    <t>mm³/(mm·s) ↑</t>
  </si>
  <si>
    <r>
      <rPr>
        <i/>
        <sz val="8"/>
        <color rgb="FF595959"/>
        <rFont val="DejaVu Sans"/>
        <family val="2"/>
      </rPr>
      <t>참고</t>
    </r>
    <r>
      <rPr>
        <i/>
        <sz val="8"/>
        <color rgb="FF595959"/>
        <rFont val="DejaVu Sans"/>
        <family val="2"/>
        <charset val="1"/>
      </rPr>
      <t xml:space="preserve">: </t>
    </r>
    <r>
      <rPr>
        <i/>
        <sz val="8"/>
        <color rgb="FF595959"/>
        <rFont val="DejaVu Sans"/>
        <family val="2"/>
      </rPr>
      <t xml:space="preserve">초경 엔드밀 </t>
    </r>
    <r>
      <rPr>
        <i/>
        <sz val="8"/>
        <color rgb="FF595959"/>
        <rFont val="DejaVu Sans"/>
        <family val="2"/>
        <charset val="1"/>
      </rPr>
      <t xml:space="preserve">Fluting </t>
    </r>
    <r>
      <rPr>
        <i/>
        <sz val="8"/>
        <color rgb="FF595959"/>
        <rFont val="DejaVu Sans"/>
        <family val="2"/>
      </rPr>
      <t xml:space="preserve">권장 </t>
    </r>
    <r>
      <rPr>
        <i/>
        <sz val="8"/>
        <color rgb="FF595959"/>
        <rFont val="DejaVu Sans"/>
        <family val="2"/>
        <charset val="1"/>
      </rPr>
      <t xml:space="preserve">Q'w = 6~12 mm³/(mm·s) [VEN-ANCA-GRAF2011] | </t>
    </r>
    <r>
      <rPr>
        <i/>
        <sz val="8"/>
        <color rgb="FF595959"/>
        <rFont val="DejaVu Sans"/>
        <family val="2"/>
      </rPr>
      <t>사내 경험값</t>
    </r>
  </si>
  <si>
    <t>Ø3</t>
    <phoneticPr fontId="40" type="noConversion"/>
  </si>
  <si>
    <t>4CO030</t>
    <phoneticPr fontId="40" type="noConversion"/>
  </si>
  <si>
    <t>Ø6</t>
    <phoneticPr fontId="40" type="noConversion"/>
  </si>
  <si>
    <t>Ø8</t>
    <phoneticPr fontId="40" type="noConversion"/>
  </si>
  <si>
    <t>Ø14</t>
    <phoneticPr fontId="40" type="noConversion"/>
  </si>
  <si>
    <t>Ø16</t>
    <phoneticPr fontId="40" type="noConversion"/>
  </si>
  <si>
    <t>4CO060</t>
    <phoneticPr fontId="40" type="noConversion"/>
  </si>
  <si>
    <t>4CO080</t>
    <phoneticPr fontId="40" type="noConversion"/>
  </si>
  <si>
    <t>4CO140</t>
    <phoneticPr fontId="40" type="noConversion"/>
  </si>
  <si>
    <t>4CO160</t>
    <phoneticPr fontId="40" type="noConversion"/>
  </si>
  <si>
    <t>4FA030</t>
    <phoneticPr fontId="40" type="noConversion"/>
  </si>
  <si>
    <t>4FA040</t>
    <phoneticPr fontId="40" type="noConversion"/>
  </si>
  <si>
    <t>4FA060</t>
    <phoneticPr fontId="40" type="noConversion"/>
  </si>
  <si>
    <t>4FA080</t>
    <phoneticPr fontId="40" type="noConversion"/>
  </si>
  <si>
    <t>4FA100</t>
    <phoneticPr fontId="40" type="noConversion"/>
  </si>
  <si>
    <t>4FA120</t>
    <phoneticPr fontId="40" type="noConversion"/>
  </si>
  <si>
    <t>4FA140</t>
    <phoneticPr fontId="40" type="noConversion"/>
  </si>
  <si>
    <t>Ø4</t>
    <phoneticPr fontId="40" type="noConversion"/>
  </si>
  <si>
    <t>Ø10</t>
    <phoneticPr fontId="40" type="noConversion"/>
  </si>
  <si>
    <t>Ø12</t>
    <phoneticPr fontId="40" type="noConversion"/>
  </si>
  <si>
    <t>2FL140</t>
  </si>
  <si>
    <t>2CO140</t>
  </si>
  <si>
    <r>
      <rPr>
        <b/>
        <sz val="9"/>
        <color rgb="FF1F3864"/>
        <rFont val="돋움"/>
        <family val="3"/>
        <charset val="129"/>
      </rPr>
      <t>▶</t>
    </r>
    <r>
      <rPr>
        <b/>
        <sz val="9"/>
        <color rgb="FF1F3864"/>
        <rFont val="DejaVu Sans"/>
        <family val="2"/>
      </rPr>
      <t xml:space="preserve"> </t>
    </r>
    <r>
      <rPr>
        <b/>
        <sz val="9"/>
        <color rgb="FF1F3864"/>
        <rFont val="돋움"/>
        <family val="3"/>
        <charset val="129"/>
      </rPr>
      <t>코너</t>
    </r>
    <r>
      <rPr>
        <b/>
        <sz val="9"/>
        <color rgb="FF1F3864"/>
        <rFont val="DejaVu Sans"/>
        <family val="2"/>
        <charset val="1"/>
      </rPr>
      <t>R (CO) — 2</t>
    </r>
    <r>
      <rPr>
        <b/>
        <sz val="9"/>
        <color rgb="FF1F3864"/>
        <rFont val="돋움"/>
        <family val="3"/>
        <charset val="129"/>
      </rPr>
      <t>날</t>
    </r>
    <r>
      <rPr>
        <b/>
        <sz val="9"/>
        <color rgb="FF1F3864"/>
        <rFont val="DejaVu Sans"/>
        <family val="2"/>
      </rPr>
      <t xml:space="preserve">  </t>
    </r>
    <r>
      <rPr>
        <b/>
        <sz val="9"/>
        <color rgb="FF1F3864"/>
        <rFont val="돋움"/>
        <family val="3"/>
        <charset val="129"/>
      </rPr>
      <t>│</t>
    </r>
    <r>
      <rPr>
        <b/>
        <sz val="9"/>
        <color rgb="FF1F3864"/>
        <rFont val="DejaVu Sans"/>
        <family val="2"/>
      </rPr>
      <t xml:space="preserve">  </t>
    </r>
    <r>
      <rPr>
        <b/>
        <sz val="9"/>
        <color rgb="FF1F3864"/>
        <rFont val="돋움"/>
        <family val="3"/>
        <charset val="129"/>
      </rPr>
      <t>스택</t>
    </r>
    <r>
      <rPr>
        <b/>
        <sz val="9"/>
        <color rgb="FF1F3864"/>
        <rFont val="DejaVu Sans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 xml:space="preserve">1-2  </t>
    </r>
    <r>
      <rPr>
        <b/>
        <sz val="9"/>
        <color rgb="FF1F3864"/>
        <rFont val="돋움"/>
        <family val="3"/>
        <charset val="129"/>
      </rPr>
      <t>│</t>
    </r>
    <r>
      <rPr>
        <b/>
        <sz val="9"/>
        <color rgb="FF1F3864"/>
        <rFont val="DejaVu Sans"/>
        <family val="2"/>
        <charset val="1"/>
      </rPr>
      <t xml:space="preserve">  45° Ø125 #325 Resin Diamond  </t>
    </r>
    <r>
      <rPr>
        <b/>
        <sz val="9"/>
        <color rgb="FF1F3864"/>
        <rFont val="돋움"/>
        <family val="3"/>
        <charset val="129"/>
      </rPr>
      <t>│</t>
    </r>
    <r>
      <rPr>
        <b/>
        <sz val="9"/>
        <color rgb="FF1F3864"/>
        <rFont val="DejaVu Sans"/>
        <family val="2"/>
        <charset val="1"/>
      </rPr>
      <t xml:space="preserve">  4CO060(Ø6)=</t>
    </r>
    <r>
      <rPr>
        <b/>
        <sz val="9"/>
        <color rgb="FF1F3864"/>
        <rFont val="돋움"/>
        <family val="3"/>
        <charset val="129"/>
      </rPr>
      <t>확정</t>
    </r>
    <r>
      <rPr>
        <b/>
        <sz val="9"/>
        <color rgb="FF1F3864"/>
        <rFont val="DejaVu Sans"/>
        <family val="2"/>
        <charset val="1"/>
      </rPr>
      <t>·4CO080(Ø8)=</t>
    </r>
    <r>
      <rPr>
        <b/>
        <sz val="9"/>
        <color rgb="FF1F3864"/>
        <rFont val="돋움"/>
        <family val="3"/>
        <charset val="129"/>
      </rPr>
      <t>검증중</t>
    </r>
    <r>
      <rPr>
        <b/>
        <sz val="9"/>
        <color rgb="FF1F3864"/>
        <rFont val="DejaVu Sans"/>
        <family val="2"/>
      </rPr>
      <t xml:space="preserve"> </t>
    </r>
    <r>
      <rPr>
        <b/>
        <sz val="9"/>
        <color rgb="FF1F3864"/>
        <rFont val="돋움"/>
        <family val="3"/>
        <charset val="129"/>
      </rPr>
      <t>제외</t>
    </r>
    <phoneticPr fontId="40" type="noConversion"/>
  </si>
  <si>
    <r>
      <rPr>
        <b/>
        <sz val="9"/>
        <color rgb="FF1F3864"/>
        <rFont val="돋움"/>
        <family val="3"/>
        <charset val="129"/>
      </rPr>
      <t>▶</t>
    </r>
    <r>
      <rPr>
        <b/>
        <sz val="9"/>
        <color rgb="FF1F3864"/>
        <rFont val="DejaVu Sans"/>
        <family val="2"/>
      </rPr>
      <t xml:space="preserve"> </t>
    </r>
    <r>
      <rPr>
        <b/>
        <sz val="9"/>
        <color rgb="FF1F3864"/>
        <rFont val="돋움"/>
        <family val="3"/>
        <charset val="129"/>
      </rPr>
      <t>볼</t>
    </r>
    <r>
      <rPr>
        <b/>
        <sz val="9"/>
        <color rgb="FF1F3864"/>
        <rFont val="DejaVu Sans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(BA) — 2</t>
    </r>
    <r>
      <rPr>
        <b/>
        <sz val="9"/>
        <color rgb="FF1F3864"/>
        <rFont val="돋움"/>
        <family val="3"/>
        <charset val="129"/>
      </rPr>
      <t>날</t>
    </r>
    <r>
      <rPr>
        <b/>
        <sz val="9"/>
        <color rgb="FF1F3864"/>
        <rFont val="DejaVu Sans"/>
        <family val="2"/>
      </rPr>
      <t xml:space="preserve">  </t>
    </r>
    <r>
      <rPr>
        <b/>
        <sz val="9"/>
        <color rgb="FF1F3864"/>
        <rFont val="돋움"/>
        <family val="3"/>
        <charset val="129"/>
      </rPr>
      <t>│</t>
    </r>
    <r>
      <rPr>
        <b/>
        <sz val="9"/>
        <color rgb="FF1F3864"/>
        <rFont val="DejaVu Sans"/>
        <family val="2"/>
      </rPr>
      <t xml:space="preserve">  </t>
    </r>
    <r>
      <rPr>
        <b/>
        <sz val="9"/>
        <color rgb="FF1F3864"/>
        <rFont val="돋움"/>
        <family val="3"/>
        <charset val="129"/>
      </rPr>
      <t>스택</t>
    </r>
    <r>
      <rPr>
        <b/>
        <sz val="9"/>
        <color rgb="FF1F3864"/>
        <rFont val="DejaVu Sans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 xml:space="preserve">1-1  </t>
    </r>
    <r>
      <rPr>
        <b/>
        <sz val="9"/>
        <color rgb="FF1F3864"/>
        <rFont val="돋움"/>
        <family val="3"/>
        <charset val="129"/>
      </rPr>
      <t>│</t>
    </r>
    <r>
      <rPr>
        <b/>
        <sz val="9"/>
        <color rgb="FF1F3864"/>
        <rFont val="DejaVu Sans"/>
        <family val="2"/>
        <charset val="1"/>
      </rPr>
      <t xml:space="preserve"> </t>
    </r>
    <r>
      <rPr>
        <b/>
        <sz val="9"/>
        <color rgb="FF1F3864"/>
        <rFont val="돋움"/>
        <family val="3"/>
        <charset val="129"/>
      </rPr>
      <t>컵</t>
    </r>
    <r>
      <rPr>
        <b/>
        <sz val="9"/>
        <color rgb="FF1F3864"/>
        <rFont val="DejaVu Sans"/>
        <family val="2"/>
        <charset val="1"/>
      </rPr>
      <t xml:space="preserve"> Ø100 Resin Diamond</t>
    </r>
    <phoneticPr fontId="40" type="noConversion"/>
  </si>
  <si>
    <r>
      <rPr>
        <sz val="10"/>
        <color rgb="FF1F1F1F"/>
        <rFont val="돋움"/>
        <family val="3"/>
        <charset val="129"/>
      </rPr>
      <t>스택</t>
    </r>
    <r>
      <rPr>
        <sz val="10"/>
        <color rgb="FF1F1F1F"/>
        <rFont val="DejaVu Sans"/>
        <family val="2"/>
      </rPr>
      <t xml:space="preserve"> </t>
    </r>
    <r>
      <rPr>
        <sz val="10"/>
        <color rgb="FF1F1F1F"/>
        <rFont val="DejaVu Sans"/>
        <family val="2"/>
        <charset val="1"/>
      </rPr>
      <t>1-1-2</t>
    </r>
    <phoneticPr fontId="40" type="noConversion"/>
  </si>
  <si>
    <r>
      <rPr>
        <sz val="10"/>
        <color rgb="FF1F1F1F"/>
        <rFont val="돋움"/>
        <family val="3"/>
        <charset val="129"/>
      </rPr>
      <t>스택</t>
    </r>
    <r>
      <rPr>
        <sz val="10"/>
        <color rgb="FF1F1F1F"/>
        <rFont val="DejaVu Sans"/>
        <family val="2"/>
      </rPr>
      <t xml:space="preserve"> </t>
    </r>
    <r>
      <rPr>
        <sz val="10"/>
        <color rgb="FF1F1F1F"/>
        <rFont val="DejaVu Sans"/>
        <family val="2"/>
        <charset val="1"/>
      </rPr>
      <t>1-1-2</t>
    </r>
    <phoneticPr fontId="40" type="noConversion"/>
  </si>
  <si>
    <r>
      <rPr>
        <sz val="10"/>
        <color rgb="FF1F1F1F"/>
        <rFont val="돋움"/>
        <family val="3"/>
        <charset val="129"/>
      </rPr>
      <t>스택</t>
    </r>
    <r>
      <rPr>
        <sz val="10"/>
        <color rgb="FF1F1F1F"/>
        <rFont val="DejaVu Sans"/>
        <family val="2"/>
      </rPr>
      <t xml:space="preserve"> </t>
    </r>
    <r>
      <rPr>
        <sz val="10"/>
        <color rgb="FF1F1F1F"/>
        <rFont val="DejaVu Sans"/>
        <family val="2"/>
        <charset val="1"/>
      </rPr>
      <t>1-1-1</t>
    </r>
    <phoneticPr fontId="40" type="noConversion"/>
  </si>
  <si>
    <r>
      <t>컵</t>
    </r>
    <r>
      <rPr>
        <sz val="10"/>
        <color rgb="FF1F1F1F"/>
        <rFont val="Arial"/>
        <family val="2"/>
      </rPr>
      <t xml:space="preserve"> Ø100</t>
    </r>
  </si>
  <si>
    <t>OD And Ball Finish</t>
    <phoneticPr fontId="40" type="noConversion"/>
  </si>
  <si>
    <t>End Face Gash</t>
    <phoneticPr fontId="40" type="noConversion"/>
  </si>
  <si>
    <r>
      <rPr>
        <sz val="10"/>
        <color rgb="FF1F1F1F"/>
        <rFont val="돋움"/>
        <family val="3"/>
        <charset val="129"/>
      </rPr>
      <t>스택</t>
    </r>
    <r>
      <rPr>
        <sz val="10"/>
        <color rgb="FF1F1F1F"/>
        <rFont val="DejaVu Sans"/>
        <family val="2"/>
      </rPr>
      <t xml:space="preserve"> 2</t>
    </r>
    <r>
      <rPr>
        <sz val="10"/>
        <color rgb="FF1F1F1F"/>
        <rFont val="DejaVu Sans"/>
        <family val="2"/>
        <charset val="1"/>
      </rPr>
      <t>-1-1</t>
    </r>
    <phoneticPr fontId="40" type="noConversion"/>
  </si>
  <si>
    <t>5° Ø125</t>
    <phoneticPr fontId="40" type="noConversion"/>
  </si>
  <si>
    <r>
      <rPr>
        <b/>
        <sz val="9"/>
        <color rgb="FF1F3864"/>
        <rFont val="돋움"/>
        <family val="3"/>
        <charset val="129"/>
      </rPr>
      <t>▶</t>
    </r>
    <r>
      <rPr>
        <b/>
        <sz val="9"/>
        <color rgb="FF1F3864"/>
        <rFont val="DejaVu Sans"/>
        <family val="2"/>
      </rPr>
      <t xml:space="preserve"> </t>
    </r>
    <r>
      <rPr>
        <b/>
        <sz val="9"/>
        <color rgb="FF1F3864"/>
        <rFont val="돋움"/>
        <family val="3"/>
        <charset val="129"/>
      </rPr>
      <t>평</t>
    </r>
    <r>
      <rPr>
        <b/>
        <sz val="9"/>
        <color rgb="FF1F3864"/>
        <rFont val="DejaVu Sans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(FA) — 2</t>
    </r>
    <r>
      <rPr>
        <b/>
        <sz val="9"/>
        <color rgb="FF1F3864"/>
        <rFont val="돋움"/>
        <family val="3"/>
        <charset val="129"/>
      </rPr>
      <t>날</t>
    </r>
    <r>
      <rPr>
        <b/>
        <sz val="9"/>
        <color rgb="FF1F3864"/>
        <rFont val="DejaVu Sans"/>
        <family val="2"/>
      </rPr>
      <t xml:space="preserve">  </t>
    </r>
    <r>
      <rPr>
        <b/>
        <sz val="9"/>
        <color rgb="FF1F3864"/>
        <rFont val="돋움"/>
        <family val="3"/>
        <charset val="129"/>
      </rPr>
      <t>│</t>
    </r>
    <r>
      <rPr>
        <b/>
        <sz val="9"/>
        <color rgb="FF1F3864"/>
        <rFont val="DejaVu Sans"/>
        <family val="2"/>
      </rPr>
      <t xml:space="preserve">  </t>
    </r>
    <r>
      <rPr>
        <b/>
        <sz val="9"/>
        <color rgb="FF1F3864"/>
        <rFont val="돋움"/>
        <family val="3"/>
        <charset val="129"/>
      </rPr>
      <t>스택</t>
    </r>
    <r>
      <rPr>
        <b/>
        <sz val="9"/>
        <color rgb="FF1F3864"/>
        <rFont val="DejaVu Sans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 xml:space="preserve">1-1  </t>
    </r>
    <r>
      <rPr>
        <b/>
        <sz val="9"/>
        <color rgb="FF1F3864"/>
        <rFont val="돋움"/>
        <family val="3"/>
        <charset val="129"/>
      </rPr>
      <t>│</t>
    </r>
    <r>
      <rPr>
        <b/>
        <sz val="9"/>
        <color rgb="FF1F3864"/>
        <rFont val="DejaVu Sans"/>
        <family val="2"/>
        <charset val="1"/>
      </rPr>
      <t xml:space="preserve">  5° Ø125 Resin Diamond</t>
    </r>
    <phoneticPr fontId="40" type="noConversion"/>
  </si>
  <si>
    <r>
      <rPr>
        <sz val="10"/>
        <color rgb="FF1F1F1F"/>
        <rFont val="돋움"/>
        <family val="3"/>
        <charset val="129"/>
      </rPr>
      <t>평</t>
    </r>
    <r>
      <rPr>
        <sz val="10"/>
        <color rgb="FF1F1F1F"/>
        <rFont val="DejaVu Sans"/>
        <family val="2"/>
      </rPr>
      <t>(FA)</t>
    </r>
    <phoneticPr fontId="40" type="noConversion"/>
  </si>
  <si>
    <r>
      <rPr>
        <sz val="10"/>
        <color rgb="FF1F1F1F"/>
        <rFont val="돋움"/>
        <family val="3"/>
        <charset val="129"/>
      </rPr>
      <t>코너</t>
    </r>
    <r>
      <rPr>
        <sz val="10"/>
        <color rgb="FF1F1F1F"/>
        <rFont val="DejaVu Sans"/>
        <family val="2"/>
      </rPr>
      <t>R</t>
    </r>
    <phoneticPr fontId="40" type="noConversion"/>
  </si>
  <si>
    <r>
      <rPr>
        <sz val="10"/>
        <color rgb="FF1F1F1F"/>
        <rFont val="돋움"/>
        <family val="3"/>
        <charset val="129"/>
      </rPr>
      <t>스택</t>
    </r>
    <r>
      <rPr>
        <sz val="10"/>
        <color rgb="FF1F1F1F"/>
        <rFont val="DejaVu Sans"/>
        <family val="2"/>
      </rPr>
      <t xml:space="preserve"> 1</t>
    </r>
    <r>
      <rPr>
        <sz val="10"/>
        <color rgb="FF1F1F1F"/>
        <rFont val="DejaVu Sans"/>
        <family val="2"/>
        <charset val="1"/>
      </rPr>
      <t>-2-2</t>
    </r>
    <phoneticPr fontId="40" type="noConversion"/>
  </si>
  <si>
    <r>
      <rPr>
        <sz val="10"/>
        <color rgb="FF1F1F1F"/>
        <rFont val="돋움"/>
        <family val="3"/>
        <charset val="129"/>
      </rPr>
      <t>스택</t>
    </r>
    <r>
      <rPr>
        <sz val="10"/>
        <color rgb="FF1F1F1F"/>
        <rFont val="DejaVu Sans"/>
        <family val="2"/>
      </rPr>
      <t xml:space="preserve"> 1</t>
    </r>
    <r>
      <rPr>
        <sz val="10"/>
        <color rgb="FF1F1F1F"/>
        <rFont val="DejaVu Sans"/>
        <family val="2"/>
        <charset val="1"/>
      </rPr>
      <t>-2-2</t>
    </r>
    <phoneticPr fontId="40" type="noConversion"/>
  </si>
  <si>
    <r>
      <rPr>
        <b/>
        <sz val="9"/>
        <color rgb="FF1F3864"/>
        <rFont val="돋움"/>
        <family val="3"/>
        <charset val="129"/>
      </rPr>
      <t>▶</t>
    </r>
    <r>
      <rPr>
        <b/>
        <sz val="9"/>
        <color rgb="FF1F3864"/>
        <rFont val="DejaVu Sans"/>
        <family val="2"/>
      </rPr>
      <t xml:space="preserve"> </t>
    </r>
    <r>
      <rPr>
        <b/>
        <sz val="9"/>
        <color rgb="FF1F3864"/>
        <rFont val="돋움"/>
        <family val="3"/>
        <charset val="129"/>
      </rPr>
      <t>코너</t>
    </r>
    <r>
      <rPr>
        <b/>
        <sz val="9"/>
        <color rgb="FF1F3864"/>
        <rFont val="DejaVu Sans"/>
        <family val="2"/>
        <charset val="1"/>
      </rPr>
      <t>R (CO) — 4</t>
    </r>
    <r>
      <rPr>
        <b/>
        <sz val="9"/>
        <color rgb="FF1F3864"/>
        <rFont val="돋움"/>
        <family val="3"/>
        <charset val="129"/>
      </rPr>
      <t>날</t>
    </r>
    <r>
      <rPr>
        <b/>
        <sz val="9"/>
        <color rgb="FF1F3864"/>
        <rFont val="DejaVu Sans"/>
        <family val="2"/>
      </rPr>
      <t xml:space="preserve">  </t>
    </r>
    <r>
      <rPr>
        <b/>
        <sz val="9"/>
        <color rgb="FF1F3864"/>
        <rFont val="돋움"/>
        <family val="3"/>
        <charset val="129"/>
      </rPr>
      <t>│</t>
    </r>
    <r>
      <rPr>
        <b/>
        <sz val="9"/>
        <color rgb="FF1F3864"/>
        <rFont val="DejaVu Sans"/>
        <family val="2"/>
      </rPr>
      <t xml:space="preserve">  </t>
    </r>
    <r>
      <rPr>
        <b/>
        <sz val="9"/>
        <color rgb="FF1F3864"/>
        <rFont val="돋움"/>
        <family val="3"/>
        <charset val="129"/>
      </rPr>
      <t>스택</t>
    </r>
    <r>
      <rPr>
        <b/>
        <sz val="9"/>
        <color rgb="FF1F3864"/>
        <rFont val="DejaVu Sans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 xml:space="preserve">1-2  </t>
    </r>
    <r>
      <rPr>
        <b/>
        <sz val="9"/>
        <color rgb="FF1F3864"/>
        <rFont val="돋움"/>
        <family val="3"/>
        <charset val="129"/>
      </rPr>
      <t>│</t>
    </r>
    <r>
      <rPr>
        <b/>
        <sz val="9"/>
        <color rgb="FF1F3864"/>
        <rFont val="DejaVu Sans"/>
        <family val="2"/>
        <charset val="1"/>
      </rPr>
      <t xml:space="preserve">  45° Ø125 #325 Resin Diamond  </t>
    </r>
    <r>
      <rPr>
        <b/>
        <sz val="9"/>
        <color rgb="FF1F3864"/>
        <rFont val="돋움"/>
        <family val="3"/>
        <charset val="129"/>
      </rPr>
      <t>│</t>
    </r>
    <r>
      <rPr>
        <b/>
        <sz val="9"/>
        <color rgb="FF1F3864"/>
        <rFont val="DejaVu Sans"/>
        <family val="2"/>
        <charset val="1"/>
      </rPr>
      <t xml:space="preserve">  4CO060(Ø6)=</t>
    </r>
    <r>
      <rPr>
        <b/>
        <sz val="9"/>
        <color rgb="FF1F3864"/>
        <rFont val="돋움"/>
        <family val="3"/>
        <charset val="129"/>
      </rPr>
      <t>확정</t>
    </r>
    <r>
      <rPr>
        <b/>
        <sz val="9"/>
        <color rgb="FF1F3864"/>
        <rFont val="DejaVu Sans"/>
        <family val="2"/>
        <charset val="1"/>
      </rPr>
      <t>·4CO080(Ø8)=</t>
    </r>
    <r>
      <rPr>
        <b/>
        <sz val="9"/>
        <color rgb="FF1F3864"/>
        <rFont val="돋움"/>
        <family val="3"/>
        <charset val="129"/>
      </rPr>
      <t>검증중</t>
    </r>
    <r>
      <rPr>
        <b/>
        <sz val="9"/>
        <color rgb="FF1F3864"/>
        <rFont val="DejaVu Sans"/>
        <family val="2"/>
      </rPr>
      <t xml:space="preserve"> </t>
    </r>
    <r>
      <rPr>
        <b/>
        <sz val="9"/>
        <color rgb="FF1F3864"/>
        <rFont val="돋움"/>
        <family val="3"/>
        <charset val="129"/>
      </rPr>
      <t>제외</t>
    </r>
    <phoneticPr fontId="40" type="noConversion"/>
  </si>
  <si>
    <r>
      <rPr>
        <b/>
        <sz val="9"/>
        <color rgb="FF1F3864"/>
        <rFont val="돋움"/>
        <family val="3"/>
        <charset val="129"/>
      </rPr>
      <t>▶</t>
    </r>
    <r>
      <rPr>
        <b/>
        <sz val="9"/>
        <color rgb="FF1F3864"/>
        <rFont val="DejaVu Sans"/>
        <family val="2"/>
      </rPr>
      <t xml:space="preserve"> </t>
    </r>
    <r>
      <rPr>
        <b/>
        <sz val="9"/>
        <color rgb="FF1F3864"/>
        <rFont val="돋움"/>
        <family val="3"/>
        <charset val="129"/>
      </rPr>
      <t>평</t>
    </r>
    <r>
      <rPr>
        <b/>
        <sz val="9"/>
        <color rgb="FF1F3864"/>
        <rFont val="DejaVu Sans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(FA) — 4</t>
    </r>
    <r>
      <rPr>
        <b/>
        <sz val="9"/>
        <color rgb="FF1F3864"/>
        <rFont val="돋움"/>
        <family val="3"/>
        <charset val="129"/>
      </rPr>
      <t>날</t>
    </r>
    <r>
      <rPr>
        <b/>
        <sz val="9"/>
        <color rgb="FF1F3864"/>
        <rFont val="DejaVu Sans"/>
        <family val="2"/>
      </rPr>
      <t xml:space="preserve">  </t>
    </r>
    <r>
      <rPr>
        <b/>
        <sz val="9"/>
        <color rgb="FF1F3864"/>
        <rFont val="돋움"/>
        <family val="3"/>
        <charset val="129"/>
      </rPr>
      <t>│</t>
    </r>
    <r>
      <rPr>
        <b/>
        <sz val="9"/>
        <color rgb="FF1F3864"/>
        <rFont val="DejaVu Sans"/>
        <family val="2"/>
      </rPr>
      <t xml:space="preserve">  </t>
    </r>
    <r>
      <rPr>
        <b/>
        <sz val="9"/>
        <color rgb="FF1F3864"/>
        <rFont val="돋움"/>
        <family val="3"/>
        <charset val="129"/>
      </rPr>
      <t>스택</t>
    </r>
    <r>
      <rPr>
        <b/>
        <sz val="9"/>
        <color rgb="FF1F3864"/>
        <rFont val="DejaVu Sans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 xml:space="preserve">1-2  </t>
    </r>
    <r>
      <rPr>
        <b/>
        <sz val="9"/>
        <color rgb="FF1F3864"/>
        <rFont val="돋움"/>
        <family val="3"/>
        <charset val="129"/>
      </rPr>
      <t>│</t>
    </r>
    <r>
      <rPr>
        <b/>
        <sz val="9"/>
        <color rgb="FF1F3864"/>
        <rFont val="DejaVu Sans"/>
        <family val="2"/>
        <charset val="1"/>
      </rPr>
      <t xml:space="preserve">   45° Ø125 #325 Resin Diamond</t>
    </r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</si>
</sst>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4"/>
      <color rgb="FFFFFFFF"/>
      <name val="DejaVu Sans"/>
      <family val="2"/>
    </font>
    <font>
      <sz val="9"/>
      <color rgb="FF595959"/>
      <name val="Arial"/>
      <family val="2"/>
    </font>
    <font>
      <sz val="9"/>
      <color rgb="FF595959"/>
      <name val="DejaVu Sans"/>
      <family val="2"/>
    </font>
    <font>
      <b/>
      <sz val="10"/>
      <color rgb="FFFFFFFF"/>
      <name val="DejaVu Sans"/>
      <family val="2"/>
    </font>
    <font>
      <sz val="10"/>
      <color rgb="FF1F1F1F"/>
      <name val="Arial"/>
      <family val="2"/>
    </font>
    <font>
      <sz val="10"/>
      <color rgb="FF1F1F1F"/>
      <name val="DejaVu Sans"/>
      <family val="2"/>
    </font>
    <font>
      <sz val="10"/>
      <color rgb="FF1F1F1F"/>
      <name val="DejaVu Sans"/>
      <family val="2"/>
      <charset val="1"/>
    </font>
    <font>
      <b/>
      <sz val="10"/>
      <color rgb="FFFFFFFF"/>
      <name val="DejaVu Sans"/>
      <family val="2"/>
      <charset val="1"/>
    </font>
    <font>
      <b/>
      <sz val="12"/>
      <color rgb="FFFFFFFF"/>
      <name val="Arial"/>
      <family val="2"/>
    </font>
    <font>
      <b/>
      <sz val="12"/>
      <color rgb="FFFFFFFF"/>
      <name val="DejaVu Sans"/>
      <family val="2"/>
    </font>
    <font>
      <i/>
      <sz val="8"/>
      <color rgb="FF595959"/>
      <name val="DejaVu Sans"/>
      <family val="2"/>
    </font>
    <font>
      <i/>
      <sz val="8"/>
      <color rgb="FF595959"/>
      <name val="DejaVu Sans"/>
      <family val="2"/>
      <charset val="1"/>
    </font>
    <font>
      <b/>
      <sz val="9"/>
      <color rgb="FFFFFFFF"/>
      <name val="DejaVu Sans"/>
      <family val="2"/>
    </font>
    <font>
      <b/>
      <sz val="9"/>
      <color rgb="FFFFFFFF"/>
      <name val="DejaVu Sans"/>
      <family val="2"/>
      <charset val="1"/>
    </font>
    <font>
      <sz val="10"/>
      <color rgb="FF0000FF"/>
      <name val="Arial"/>
      <family val="2"/>
    </font>
    <font>
      <sz val="8"/>
      <color rgb="FF595959"/>
      <name val="DejaVu Sans"/>
      <family val="2"/>
    </font>
    <font>
      <sz val="8"/>
      <color rgb="FF595959"/>
      <name val="DejaVu Sans"/>
      <family val="2"/>
      <charset val="1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1F1F1F"/>
      <name val="Arial"/>
      <family val="2"/>
    </font>
    <font>
      <b/>
      <sz val="10"/>
      <color rgb="FF0070C0"/>
      <name val="Arial"/>
      <family val="2"/>
    </font>
    <font>
      <b/>
      <sz val="9"/>
      <color rgb="FF1F3864"/>
      <name val="DejaVu Sans"/>
      <family val="2"/>
    </font>
    <font>
      <b/>
      <sz val="9"/>
      <color rgb="FF1F3864"/>
      <name val="DejaVu Sans"/>
      <family val="2"/>
      <charset val="1"/>
    </font>
    <font>
      <i/>
      <sz val="9"/>
      <color rgb="FF909090"/>
      <name val="Arial"/>
      <family val="2"/>
    </font>
    <font>
      <i/>
      <sz val="9"/>
      <color rgb="FF909090"/>
      <name val="DejaVu Sans"/>
      <family val="2"/>
    </font>
    <font>
      <i/>
      <sz val="8"/>
      <color rgb="FF595959"/>
      <name val="Arial"/>
      <family val="2"/>
    </font>
    <font>
      <b/>
      <sz val="12"/>
      <color rgb="FFFFFFFF"/>
      <name val="DejaVu Sans"/>
      <family val="2"/>
      <charset val="1"/>
    </font>
    <font>
      <b/>
      <sz val="10"/>
      <color rgb="FF1F1F1F"/>
      <name val="DejaVu Sans"/>
      <family val="2"/>
    </font>
    <font>
      <b/>
      <sz val="10"/>
      <color rgb="FF1F1F1F"/>
      <name val="DejaVu Sans"/>
      <family val="2"/>
      <charset val="1"/>
    </font>
    <font>
      <b/>
      <sz val="11"/>
      <color rgb="FFFFFFFF"/>
      <name val="DejaVu Sans"/>
      <family val="2"/>
    </font>
    <font>
      <b/>
      <sz val="9"/>
      <color rgb="FF1F1F1F"/>
      <name val="DejaVu Sans"/>
      <family val="2"/>
    </font>
    <font>
      <b/>
      <sz val="9"/>
      <color rgb="FF1F1F1F"/>
      <name val="DejaVu Sans"/>
      <family val="2"/>
      <charset val="1"/>
    </font>
    <font>
      <b/>
      <sz val="9"/>
      <name val="DejaVu Sans"/>
      <family val="2"/>
    </font>
    <font>
      <b/>
      <sz val="11"/>
      <color rgb="FF0000FF"/>
      <name val="Arial"/>
      <family val="2"/>
    </font>
    <font>
      <b/>
      <sz val="11"/>
      <color rgb="FF006400"/>
      <name val="Arial"/>
      <family val="2"/>
    </font>
    <font>
      <b/>
      <sz val="9"/>
      <color rgb="FF1F1F1F"/>
      <name val="Arial"/>
      <family val="2"/>
    </font>
    <font>
      <b/>
      <sz val="8"/>
      <color rgb="FFC00000"/>
      <name val="Arial"/>
      <family val="2"/>
    </font>
    <font>
      <b/>
      <sz val="8"/>
      <color rgb="FFC00000"/>
      <name val="DejaVu Sans"/>
      <family val="2"/>
    </font>
    <font>
      <sz val="8"/>
      <name val="돋움"/>
      <family val="3"/>
      <charset val="129"/>
    </font>
    <font>
      <sz val="10"/>
      <color rgb="FF1F1F1F"/>
      <name val="돋움"/>
      <family val="3"/>
      <charset val="129"/>
    </font>
    <font>
      <b/>
      <sz val="9"/>
      <color rgb="FF1F3864"/>
      <name val="돋움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1B3A5C"/>
      </patternFill>
    </fill>
    <fill>
      <patternFill patternType="solid">
        <fgColor rgb="FFF5F5F5"/>
        <bgColor rgb="FFF4F4F4"/>
      </patternFill>
    </fill>
    <fill>
      <patternFill patternType="solid">
        <fgColor rgb="FF2E5FA3"/>
        <bgColor rgb="FF4A6FA5"/>
      </patternFill>
    </fill>
    <fill>
      <patternFill patternType="solid">
        <fgColor rgb="FFFFFFFF"/>
        <bgColor rgb="FFFAFAFA"/>
      </patternFill>
    </fill>
    <fill>
      <patternFill patternType="solid">
        <fgColor rgb="FFF7FBFF"/>
        <bgColor rgb="FFFAFAFA"/>
      </patternFill>
    </fill>
    <fill>
      <patternFill patternType="solid">
        <fgColor rgb="FFF2F2F2"/>
        <bgColor rgb="FFF4F4F4"/>
      </patternFill>
    </fill>
    <fill>
      <patternFill patternType="solid">
        <fgColor rgb="FFFFF2CC"/>
        <bgColor rgb="FFFFF3CD"/>
      </patternFill>
    </fill>
    <fill>
      <patternFill patternType="solid">
        <fgColor rgb="FFFAFAFA"/>
        <bgColor rgb="FFF7FBFF"/>
      </patternFill>
    </fill>
    <fill>
      <patternFill patternType="solid">
        <fgColor rgb="FFFFF9F0"/>
        <bgColor rgb="FFFAFAFA"/>
      </patternFill>
    </fill>
    <fill>
      <patternFill patternType="solid">
        <fgColor rgb="FF2E7D32"/>
        <bgColor rgb="FF546E7A"/>
      </patternFill>
    </fill>
    <fill>
      <patternFill patternType="solid">
        <fgColor rgb="FF34495E"/>
        <bgColor rgb="FF2E4057"/>
      </patternFill>
    </fill>
    <fill>
      <patternFill patternType="solid">
        <fgColor rgb="FFE2EFDA"/>
        <bgColor rgb="FFD4EDDA"/>
      </patternFill>
    </fill>
    <fill>
      <patternFill patternType="solid">
        <fgColor rgb="FFE67E22"/>
        <bgColor rgb="FFC0392B"/>
      </patternFill>
    </fill>
    <fill>
      <patternFill patternType="solid">
        <fgColor rgb="FFC0392B"/>
        <bgColor rgb="FF993366"/>
      </patternFill>
    </fill>
    <fill>
      <patternFill patternType="solid">
        <fgColor rgb="FF546E7A"/>
        <bgColor rgb="FF4A6FA5"/>
      </patternFill>
    </fill>
    <fill>
      <patternFill patternType="solid">
        <fgColor rgb="FFEEF2F7"/>
        <bgColor rgb="FFF0F4FA"/>
      </patternFill>
    </fill>
    <fill>
      <patternFill patternType="solid">
        <fgColor rgb="FFF4F4F4"/>
        <bgColor rgb="FFF5F5F5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DBEAFE"/>
      </patternFill>
    </fill>
    <fill>
      <patternFill patternType="solid">
        <fgColor rgb="FFDBEAFE"/>
        <bgColor rgb="FFD9E1F2"/>
      </patternFill>
    </fill>
    <fill>
      <patternFill patternType="solid">
        <fgColor rgb="FFF0F4FA"/>
        <bgColor rgb="FFEEF2F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/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0" fillId="7" borderId="0" xfId="0" applyFill="1" applyAlignment="1"/>
    <xf numFmtId="0" fontId="14" fillId="4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20" fillId="12" borderId="2" xfId="0" applyFont="1" applyFill="1" applyBorder="1" applyAlignment="1">
      <alignment horizontal="center" vertical="center" wrapText="1"/>
    </xf>
    <xf numFmtId="0" fontId="21" fillId="13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 wrapText="1"/>
    </xf>
    <xf numFmtId="0" fontId="22" fillId="13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20" fillId="15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22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14" fillId="16" borderId="2" xfId="0" applyFont="1" applyFill="1" applyBorder="1" applyAlignment="1">
      <alignment horizontal="center" vertical="center" wrapText="1"/>
    </xf>
    <xf numFmtId="0" fontId="20" fillId="16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25" fillId="18" borderId="2" xfId="0" applyFont="1" applyFill="1" applyBorder="1" applyAlignment="1">
      <alignment horizontal="center" vertical="center" wrapText="1"/>
    </xf>
    <xf numFmtId="0" fontId="26" fillId="18" borderId="2" xfId="0" applyFont="1" applyFill="1" applyBorder="1" applyAlignment="1">
      <alignment horizontal="center" vertical="center" wrapText="1"/>
    </xf>
    <xf numFmtId="0" fontId="26" fillId="18" borderId="2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16" fillId="19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left" vertical="center" wrapText="1"/>
    </xf>
    <xf numFmtId="0" fontId="29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0" fillId="13" borderId="1" xfId="0" applyFill="1" applyBorder="1" applyAlignment="1"/>
    <xf numFmtId="0" fontId="29" fillId="8" borderId="1" xfId="0" applyFont="1" applyFill="1" applyBorder="1" applyAlignment="1">
      <alignment horizontal="left" vertical="center" wrapText="1"/>
    </xf>
    <xf numFmtId="0" fontId="0" fillId="8" borderId="1" xfId="0" applyFill="1" applyBorder="1" applyAlignment="1"/>
    <xf numFmtId="0" fontId="29" fillId="19" borderId="1" xfId="0" applyFont="1" applyFill="1" applyBorder="1" applyAlignment="1">
      <alignment horizontal="left" vertical="center" wrapText="1"/>
    </xf>
    <xf numFmtId="0" fontId="0" fillId="19" borderId="1" xfId="0" applyFill="1" applyBorder="1" applyAlignment="1"/>
    <xf numFmtId="0" fontId="29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2" fillId="20" borderId="1" xfId="0" applyFont="1" applyFill="1" applyBorder="1" applyAlignment="1">
      <alignment horizontal="center" vertical="center" wrapText="1"/>
    </xf>
    <xf numFmtId="0" fontId="34" fillId="20" borderId="1" xfId="0" applyFont="1" applyFill="1" applyBorder="1" applyAlignment="1">
      <alignment horizontal="center" vertical="center" wrapText="1"/>
    </xf>
    <xf numFmtId="0" fontId="35" fillId="21" borderId="1" xfId="0" applyFont="1" applyFill="1" applyBorder="1" applyAlignment="1">
      <alignment horizontal="center" vertical="center" wrapText="1"/>
    </xf>
    <xf numFmtId="0" fontId="27" fillId="22" borderId="1" xfId="0" applyFont="1" applyFill="1" applyBorder="1" applyAlignment="1">
      <alignment horizontal="center" vertical="center" wrapText="1"/>
    </xf>
    <xf numFmtId="0" fontId="36" fillId="13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37" fillId="20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left" vertical="center" wrapText="1"/>
    </xf>
    <xf numFmtId="0" fontId="12" fillId="10" borderId="0" xfId="0" applyFont="1" applyFill="1" applyBorder="1" applyAlignment="1">
      <alignment horizontal="left" vertical="center" wrapText="1"/>
    </xf>
    <xf numFmtId="0" fontId="27" fillId="3" borderId="0" xfId="0" applyFont="1" applyFill="1" applyBorder="1" applyAlignment="1">
      <alignment horizontal="left" vertical="center" wrapText="1"/>
    </xf>
    <xf numFmtId="0" fontId="27" fillId="10" borderId="0" xfId="0" applyFont="1" applyFill="1" applyBorder="1" applyAlignment="1">
      <alignment horizontal="left" vertical="center" wrapText="1"/>
    </xf>
    <xf numFmtId="0" fontId="23" fillId="17" borderId="0" xfId="0" applyFont="1" applyFill="1" applyBorder="1" applyAlignment="1">
      <alignment horizontal="left" vertical="center" wrapText="1"/>
    </xf>
    <xf numFmtId="0" fontId="23" fillId="17" borderId="3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19" fillId="11" borderId="0" xfId="0" applyFont="1" applyFill="1" applyBorder="1" applyAlignment="1">
      <alignment horizontal="left" vertical="center" wrapText="1"/>
    </xf>
    <xf numFmtId="0" fontId="19" fillId="14" borderId="0" xfId="0" applyFont="1" applyFill="1" applyBorder="1" applyAlignment="1">
      <alignment horizontal="left" vertical="center" wrapText="1"/>
    </xf>
    <xf numFmtId="0" fontId="19" fillId="16" borderId="0" xfId="0" applyFont="1" applyFill="1" applyBorder="1" applyAlignment="1">
      <alignment horizontal="left" vertical="center" wrapText="1"/>
    </xf>
    <xf numFmtId="0" fontId="12" fillId="8" borderId="0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27" fillId="22" borderId="0" xfId="0" applyFont="1" applyFill="1" applyBorder="1" applyAlignment="1">
      <alignment horizontal="center" vertical="center" wrapText="1"/>
    </xf>
    <xf numFmtId="0" fontId="38" fillId="8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31" fillId="2" borderId="0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41" fillId="9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9F0"/>
      <rgbColor rgb="FFFF00FF"/>
      <rgbColor rgb="FF00FFFF"/>
      <rgbColor rgb="FF800000"/>
      <rgbColor rgb="FF006400"/>
      <rgbColor rgb="FF000080"/>
      <rgbColor rgb="FF808000"/>
      <rgbColor rgb="FF800080"/>
      <rgbColor rgb="FF34495E"/>
      <rgbColor rgb="FFC0C0C0"/>
      <rgbColor rgb="FF4A6FA5"/>
      <rgbColor rgb="FFEEF2F7"/>
      <rgbColor rgb="FF595959"/>
      <rgbColor rgb="FFFFF3CD"/>
      <rgbColor rgb="FFDBEAFE"/>
      <rgbColor rgb="FF660066"/>
      <rgbColor rgb="FFF5F5F5"/>
      <rgbColor rgb="FF0070C0"/>
      <rgbColor rgb="FFD0D8E8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8EDF5"/>
      <rgbColor rgb="FFD4EDDA"/>
      <rgbColor rgb="FFFFF2CC"/>
      <rgbColor rgb="FFBFBFBF"/>
      <rgbColor rgb="FFE2EFDA"/>
      <rgbColor rgb="FFD9E1F2"/>
      <rgbColor rgb="FFFCE4D6"/>
      <rgbColor rgb="FF2E5FA3"/>
      <rgbColor rgb="FFF7FBFF"/>
      <rgbColor rgb="FFF0F4FA"/>
      <rgbColor rgb="FFF4F4F4"/>
      <rgbColor rgb="FFFAFAFA"/>
      <rgbColor rgb="FFE67E22"/>
      <rgbColor rgb="FF546E7A"/>
      <rgbColor rgb="FF909090"/>
      <rgbColor rgb="FF1B3A5C"/>
      <rgbColor rgb="FF2E7D32"/>
      <rgbColor rgb="FF1A1A2E"/>
      <rgbColor rgb="FF1F1F1F"/>
      <rgbColor rgb="FFC0392B"/>
      <rgbColor rgb="FF993366"/>
      <rgbColor rgb="FF1F3864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showGridLines="0" zoomScaleNormal="100" workbookViewId="0"/>
  </sheetViews>
  <sheetFormatPr defaultColWidth="8.7109375" defaultRowHeight="15"/>
  <cols>
    <col min="1" max="1" width="4" style="1" customWidth="1"/>
    <col min="2" max="2" width="22" style="1" customWidth="1"/>
    <col min="3" max="3" width="38" style="1" customWidth="1"/>
    <col min="4" max="4" width="24" style="1" customWidth="1"/>
    <col min="5" max="5" width="20" style="1" customWidth="1"/>
  </cols>
  <sheetData>
    <row r="1" spans="2:5" ht="7.5" customHeight="1"/>
    <row r="2" spans="2:5" ht="27.75" customHeight="1">
      <c r="B2" s="67" t="s">
        <v>0</v>
      </c>
      <c r="C2" s="67"/>
      <c r="D2" s="67"/>
      <c r="E2" s="67"/>
    </row>
    <row r="3" spans="2:5" ht="15" customHeight="1">
      <c r="B3" s="68" t="s">
        <v>1</v>
      </c>
      <c r="C3" s="68"/>
      <c r="D3" s="68"/>
      <c r="E3" s="68"/>
    </row>
    <row r="5" spans="2:5" ht="15" customHeight="1">
      <c r="B5" s="2" t="s">
        <v>2</v>
      </c>
      <c r="C5" s="2" t="s">
        <v>3</v>
      </c>
      <c r="D5" s="2" t="s">
        <v>4</v>
      </c>
      <c r="E5" s="2" t="s">
        <v>5</v>
      </c>
    </row>
    <row r="6" spans="2:5" ht="15" customHeight="1">
      <c r="B6" s="3" t="s">
        <v>6</v>
      </c>
      <c r="C6" s="4" t="s">
        <v>7</v>
      </c>
      <c r="D6" s="5" t="s">
        <v>8</v>
      </c>
      <c r="E6" s="5" t="s">
        <v>9</v>
      </c>
    </row>
    <row r="7" spans="2:5" ht="15" customHeight="1">
      <c r="B7" s="6" t="s">
        <v>10</v>
      </c>
      <c r="C7" s="7" t="s">
        <v>11</v>
      </c>
      <c r="D7" s="8" t="s">
        <v>12</v>
      </c>
      <c r="E7" s="8" t="s">
        <v>9</v>
      </c>
    </row>
    <row r="8" spans="2:5" ht="15" customHeight="1">
      <c r="B8" s="3" t="s">
        <v>13</v>
      </c>
      <c r="C8" s="4" t="s">
        <v>14</v>
      </c>
      <c r="D8" s="5" t="s">
        <v>15</v>
      </c>
      <c r="E8" s="5" t="s">
        <v>16</v>
      </c>
    </row>
    <row r="9" spans="2:5" ht="15" customHeight="1">
      <c r="B9" s="9" t="s">
        <v>17</v>
      </c>
      <c r="C9" s="8" t="s">
        <v>18</v>
      </c>
      <c r="D9" s="7" t="s">
        <v>19</v>
      </c>
      <c r="E9" s="8" t="s">
        <v>20</v>
      </c>
    </row>
    <row r="12" spans="2:5" ht="15" customHeight="1">
      <c r="B12" s="69" t="s">
        <v>21</v>
      </c>
      <c r="C12" s="69"/>
      <c r="D12" s="69"/>
      <c r="E12" s="69"/>
    </row>
    <row r="13" spans="2:5" ht="15" customHeight="1">
      <c r="B13" s="10" t="s">
        <v>22</v>
      </c>
      <c r="C13" s="11" t="s">
        <v>23</v>
      </c>
      <c r="D13" s="11" t="s">
        <v>24</v>
      </c>
      <c r="E13" s="12"/>
    </row>
    <row r="14" spans="2:5" ht="15" customHeight="1">
      <c r="B14" s="10" t="s">
        <v>25</v>
      </c>
      <c r="C14" s="11" t="s">
        <v>26</v>
      </c>
      <c r="D14" s="11" t="s">
        <v>27</v>
      </c>
      <c r="E14" s="12"/>
    </row>
    <row r="15" spans="2:5" ht="15" customHeight="1">
      <c r="B15" s="10" t="s">
        <v>28</v>
      </c>
      <c r="C15" s="11" t="s">
        <v>29</v>
      </c>
      <c r="D15" s="11" t="s">
        <v>30</v>
      </c>
      <c r="E15" s="12"/>
    </row>
    <row r="16" spans="2:5" ht="15" customHeight="1">
      <c r="B16" s="10" t="s">
        <v>31</v>
      </c>
      <c r="C16" s="11" t="s">
        <v>32</v>
      </c>
      <c r="D16" s="11" t="s">
        <v>33</v>
      </c>
      <c r="E16" s="12"/>
    </row>
  </sheetData>
  <mergeCells count="3">
    <mergeCell ref="B2:E2"/>
    <mergeCell ref="B3:E3"/>
    <mergeCell ref="B12:E12"/>
  </mergeCells>
  <phoneticPr fontId="4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6"/>
  <sheetViews>
    <sheetView showGridLines="0" zoomScaleNormal="100" workbookViewId="0"/>
  </sheetViews>
  <sheetFormatPr defaultColWidth="8.7109375" defaultRowHeight="15"/>
  <cols>
    <col min="1" max="1" width="4" style="1" customWidth="1"/>
    <col min="2" max="2" width="12" style="1" customWidth="1"/>
    <col min="3" max="4" width="10" style="1" customWidth="1"/>
    <col min="5" max="5" width="14" style="1" customWidth="1"/>
    <col min="6" max="7" width="16" style="1" customWidth="1"/>
    <col min="8" max="10" width="12" style="1" customWidth="1"/>
    <col min="11" max="11" width="18" style="1" customWidth="1"/>
    <col min="12" max="13" width="14" style="1" customWidth="1"/>
  </cols>
  <sheetData>
    <row r="2" spans="2:14" ht="24" customHeight="1">
      <c r="B2" s="70" t="s">
        <v>34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</row>
    <row r="3" spans="2:14" ht="15.75" customHeight="1">
      <c r="B3" s="71" t="s">
        <v>35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</row>
    <row r="5" spans="2:14" ht="36" customHeight="1">
      <c r="B5" s="13" t="s">
        <v>36</v>
      </c>
      <c r="C5" s="13" t="s">
        <v>37</v>
      </c>
      <c r="D5" s="13" t="s">
        <v>38</v>
      </c>
      <c r="E5" s="13" t="s">
        <v>39</v>
      </c>
      <c r="F5" s="13" t="s">
        <v>40</v>
      </c>
      <c r="G5" s="13" t="s">
        <v>41</v>
      </c>
      <c r="H5" s="13" t="s">
        <v>42</v>
      </c>
      <c r="I5" s="13" t="s">
        <v>43</v>
      </c>
      <c r="J5" s="13" t="s">
        <v>44</v>
      </c>
      <c r="K5" s="13" t="s">
        <v>45</v>
      </c>
      <c r="L5" s="13" t="s">
        <v>46</v>
      </c>
      <c r="M5" s="13" t="s">
        <v>47</v>
      </c>
      <c r="N5" s="13" t="s">
        <v>48</v>
      </c>
    </row>
    <row r="6" spans="2:14" ht="18" customHeight="1">
      <c r="B6" s="14" t="s">
        <v>49</v>
      </c>
      <c r="C6" s="15">
        <v>10</v>
      </c>
      <c r="D6" s="15">
        <v>4</v>
      </c>
      <c r="E6" s="15">
        <v>200</v>
      </c>
      <c r="F6" s="16">
        <f t="shared" ref="F6:F12" si="0">ROUND(1000*E6/(PI()*C6),0)</f>
        <v>6366</v>
      </c>
      <c r="G6" s="16">
        <f t="shared" ref="G6:G12" si="1">F6*H6*D6</f>
        <v>5092.8</v>
      </c>
      <c r="H6" s="15">
        <v>0.2</v>
      </c>
      <c r="I6" s="15">
        <v>3</v>
      </c>
      <c r="J6" s="15">
        <v>2</v>
      </c>
      <c r="K6" s="14" t="s">
        <v>50</v>
      </c>
      <c r="L6" s="14" t="s">
        <v>51</v>
      </c>
      <c r="M6" s="14" t="s">
        <v>29</v>
      </c>
      <c r="N6" s="17" t="s">
        <v>52</v>
      </c>
    </row>
    <row r="7" spans="2:14" ht="18" customHeight="1">
      <c r="B7" s="14" t="s">
        <v>53</v>
      </c>
      <c r="C7" s="15">
        <v>10</v>
      </c>
      <c r="D7" s="15">
        <v>4</v>
      </c>
      <c r="E7" s="15">
        <v>250</v>
      </c>
      <c r="F7" s="16">
        <f t="shared" si="0"/>
        <v>7958</v>
      </c>
      <c r="G7" s="16">
        <f t="shared" si="1"/>
        <v>4774.8</v>
      </c>
      <c r="H7" s="15">
        <v>0.15</v>
      </c>
      <c r="I7" s="15">
        <v>1.5</v>
      </c>
      <c r="J7" s="15">
        <v>0.8</v>
      </c>
      <c r="K7" s="14" t="s">
        <v>50</v>
      </c>
      <c r="L7" s="14" t="s">
        <v>51</v>
      </c>
      <c r="M7" s="14" t="s">
        <v>29</v>
      </c>
      <c r="N7" s="14" t="s">
        <v>54</v>
      </c>
    </row>
    <row r="8" spans="2:14" ht="18" customHeight="1">
      <c r="B8" s="14" t="s">
        <v>55</v>
      </c>
      <c r="C8" s="15">
        <v>10</v>
      </c>
      <c r="D8" s="15">
        <v>4</v>
      </c>
      <c r="E8" s="15">
        <v>320</v>
      </c>
      <c r="F8" s="16">
        <f t="shared" si="0"/>
        <v>10186</v>
      </c>
      <c r="G8" s="16">
        <f t="shared" si="1"/>
        <v>3259.52</v>
      </c>
      <c r="H8" s="15">
        <v>0.08</v>
      </c>
      <c r="I8" s="15">
        <v>0.3</v>
      </c>
      <c r="J8" s="15">
        <v>0.3</v>
      </c>
      <c r="K8" s="14" t="s">
        <v>56</v>
      </c>
      <c r="L8" s="14" t="s">
        <v>57</v>
      </c>
      <c r="M8" s="14" t="s">
        <v>29</v>
      </c>
      <c r="N8" s="17" t="s">
        <v>58</v>
      </c>
    </row>
    <row r="9" spans="2:14" ht="18" customHeight="1">
      <c r="B9" s="14" t="s">
        <v>49</v>
      </c>
      <c r="C9" s="15">
        <v>16</v>
      </c>
      <c r="D9" s="15">
        <v>4</v>
      </c>
      <c r="E9" s="15">
        <v>200</v>
      </c>
      <c r="F9" s="16">
        <f t="shared" si="0"/>
        <v>3979</v>
      </c>
      <c r="G9" s="16">
        <f t="shared" si="1"/>
        <v>3183.2000000000003</v>
      </c>
      <c r="H9" s="15">
        <v>0.2</v>
      </c>
      <c r="I9" s="15">
        <v>3</v>
      </c>
      <c r="J9" s="15">
        <v>3.2</v>
      </c>
      <c r="K9" s="14" t="s">
        <v>50</v>
      </c>
      <c r="L9" s="14" t="s">
        <v>51</v>
      </c>
      <c r="M9" s="14" t="s">
        <v>29</v>
      </c>
      <c r="N9" s="17"/>
    </row>
    <row r="10" spans="2:14" ht="18" customHeight="1">
      <c r="B10" s="14" t="s">
        <v>55</v>
      </c>
      <c r="C10" s="15">
        <v>16</v>
      </c>
      <c r="D10" s="15">
        <v>4</v>
      </c>
      <c r="E10" s="15">
        <v>320</v>
      </c>
      <c r="F10" s="16">
        <f t="shared" si="0"/>
        <v>6366</v>
      </c>
      <c r="G10" s="16">
        <f t="shared" si="1"/>
        <v>2037.1200000000001</v>
      </c>
      <c r="H10" s="15">
        <v>0.08</v>
      </c>
      <c r="I10" s="15">
        <v>0.3</v>
      </c>
      <c r="J10" s="15">
        <v>0.5</v>
      </c>
      <c r="K10" s="14" t="s">
        <v>56</v>
      </c>
      <c r="L10" s="14" t="s">
        <v>57</v>
      </c>
      <c r="M10" s="14" t="s">
        <v>29</v>
      </c>
      <c r="N10" s="17" t="s">
        <v>59</v>
      </c>
    </row>
    <row r="11" spans="2:14" ht="18" customHeight="1">
      <c r="B11" s="14" t="s">
        <v>49</v>
      </c>
      <c r="C11" s="15">
        <v>6</v>
      </c>
      <c r="D11" s="15">
        <v>4</v>
      </c>
      <c r="E11" s="15">
        <v>150</v>
      </c>
      <c r="F11" s="16">
        <f t="shared" si="0"/>
        <v>7958</v>
      </c>
      <c r="G11" s="16">
        <f t="shared" si="1"/>
        <v>4774.8</v>
      </c>
      <c r="H11" s="15">
        <v>0.15</v>
      </c>
      <c r="I11" s="15">
        <v>2</v>
      </c>
      <c r="J11" s="15">
        <v>1.2</v>
      </c>
      <c r="K11" s="14" t="s">
        <v>50</v>
      </c>
      <c r="L11" s="14" t="s">
        <v>57</v>
      </c>
      <c r="M11" s="14" t="s">
        <v>29</v>
      </c>
      <c r="N11" s="14" t="s">
        <v>60</v>
      </c>
    </row>
    <row r="12" spans="2:14" ht="18" customHeight="1">
      <c r="B12" s="14" t="s">
        <v>55</v>
      </c>
      <c r="C12" s="15">
        <v>6</v>
      </c>
      <c r="D12" s="15">
        <v>4</v>
      </c>
      <c r="E12" s="15">
        <v>300</v>
      </c>
      <c r="F12" s="16">
        <f t="shared" si="0"/>
        <v>15915</v>
      </c>
      <c r="G12" s="16">
        <f t="shared" si="1"/>
        <v>3819.6</v>
      </c>
      <c r="H12" s="15">
        <v>0.06</v>
      </c>
      <c r="I12" s="15">
        <v>0.2</v>
      </c>
      <c r="J12" s="15">
        <v>0.2</v>
      </c>
      <c r="K12" s="14" t="s">
        <v>56</v>
      </c>
      <c r="L12" s="14" t="s">
        <v>57</v>
      </c>
      <c r="M12" s="14" t="s">
        <v>29</v>
      </c>
      <c r="N12" s="17"/>
    </row>
    <row r="13" spans="2:14" ht="18" customHeight="1">
      <c r="B13" s="18"/>
      <c r="C13" s="19"/>
      <c r="D13" s="19"/>
      <c r="E13" s="19"/>
      <c r="F13" s="20"/>
      <c r="G13" s="20"/>
      <c r="H13" s="19"/>
      <c r="I13" s="19"/>
      <c r="J13" s="19"/>
      <c r="K13" s="18"/>
      <c r="L13" s="18"/>
      <c r="M13" s="18"/>
      <c r="N13" s="21" t="s">
        <v>61</v>
      </c>
    </row>
    <row r="14" spans="2:14" ht="18" customHeight="1">
      <c r="B14" s="18"/>
      <c r="C14" s="19"/>
      <c r="D14" s="19"/>
      <c r="E14" s="19"/>
      <c r="F14" s="20"/>
      <c r="G14" s="20"/>
      <c r="H14" s="19"/>
      <c r="I14" s="19"/>
      <c r="J14" s="19"/>
      <c r="K14" s="18"/>
      <c r="L14" s="18"/>
      <c r="M14" s="18"/>
      <c r="N14" s="21" t="s">
        <v>61</v>
      </c>
    </row>
    <row r="16" spans="2:14" ht="27.75" customHeight="1">
      <c r="B16" s="72" t="s">
        <v>62</v>
      </c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</row>
  </sheetData>
  <mergeCells count="3">
    <mergeCell ref="B2:M2"/>
    <mergeCell ref="B3:M3"/>
    <mergeCell ref="B16:N16"/>
  </mergeCells>
  <phoneticPr fontId="4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showGridLines="0" zoomScaleNormal="100" workbookViewId="0"/>
  </sheetViews>
  <sheetFormatPr defaultColWidth="8.7109375" defaultRowHeight="15"/>
  <cols>
    <col min="1" max="1" width="4" style="1" customWidth="1"/>
    <col min="2" max="2" width="14" style="1" customWidth="1"/>
    <col min="3" max="4" width="10" style="1" customWidth="1"/>
    <col min="5" max="5" width="14" style="1" customWidth="1"/>
    <col min="6" max="7" width="16" style="1" customWidth="1"/>
    <col min="8" max="10" width="12" style="1" customWidth="1"/>
    <col min="11" max="11" width="20" style="1" customWidth="1"/>
    <col min="12" max="13" width="14" style="1" customWidth="1"/>
  </cols>
  <sheetData>
    <row r="2" spans="2:14" ht="24" customHeight="1">
      <c r="B2" s="70" t="s">
        <v>142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</row>
    <row r="3" spans="2:14" ht="15.75" customHeight="1">
      <c r="B3" s="73" t="s">
        <v>143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5" spans="2:14" ht="36" customHeight="1">
      <c r="B5" s="13" t="s">
        <v>144</v>
      </c>
      <c r="C5" s="13" t="s">
        <v>37</v>
      </c>
      <c r="D5" s="13" t="s">
        <v>38</v>
      </c>
      <c r="E5" s="13" t="s">
        <v>39</v>
      </c>
      <c r="F5" s="13" t="s">
        <v>40</v>
      </c>
      <c r="G5" s="13" t="s">
        <v>41</v>
      </c>
      <c r="H5" s="13" t="s">
        <v>42</v>
      </c>
      <c r="I5" s="13" t="s">
        <v>43</v>
      </c>
      <c r="J5" s="13" t="s">
        <v>44</v>
      </c>
      <c r="K5" s="13" t="s">
        <v>45</v>
      </c>
      <c r="L5" s="13" t="s">
        <v>46</v>
      </c>
      <c r="M5" s="13" t="s">
        <v>47</v>
      </c>
      <c r="N5" s="13" t="s">
        <v>48</v>
      </c>
    </row>
    <row r="6" spans="2:14" ht="18" customHeight="1">
      <c r="B6" s="17" t="s">
        <v>145</v>
      </c>
      <c r="C6" s="15">
        <v>10</v>
      </c>
      <c r="D6" s="15">
        <v>4</v>
      </c>
      <c r="E6" s="15">
        <v>400</v>
      </c>
      <c r="F6" s="16">
        <f t="shared" ref="F6:F13" si="0">ROUND(1000*E6/(PI()*C6),0)</f>
        <v>12732</v>
      </c>
      <c r="G6" s="16">
        <f t="shared" ref="G6:G13" si="1">F6*H6*D6</f>
        <v>10185.6</v>
      </c>
      <c r="H6" s="15">
        <v>0.2</v>
      </c>
      <c r="I6" s="15">
        <v>5</v>
      </c>
      <c r="J6" s="15">
        <v>2</v>
      </c>
      <c r="K6" s="14" t="s">
        <v>146</v>
      </c>
      <c r="L6" s="14" t="s">
        <v>147</v>
      </c>
      <c r="M6" s="14" t="s">
        <v>29</v>
      </c>
      <c r="N6" s="17" t="s">
        <v>148</v>
      </c>
    </row>
    <row r="7" spans="2:14" ht="18" customHeight="1">
      <c r="B7" s="17" t="s">
        <v>149</v>
      </c>
      <c r="C7" s="15">
        <v>10</v>
      </c>
      <c r="D7" s="15">
        <v>4</v>
      </c>
      <c r="E7" s="15">
        <v>800</v>
      </c>
      <c r="F7" s="16">
        <f t="shared" si="0"/>
        <v>25465</v>
      </c>
      <c r="G7" s="16">
        <f t="shared" si="1"/>
        <v>10186</v>
      </c>
      <c r="H7" s="15">
        <v>0.1</v>
      </c>
      <c r="I7" s="15">
        <v>0.5</v>
      </c>
      <c r="J7" s="15">
        <v>0.3</v>
      </c>
      <c r="K7" s="14" t="s">
        <v>150</v>
      </c>
      <c r="L7" s="14" t="s">
        <v>151</v>
      </c>
      <c r="M7" s="14" t="s">
        <v>29</v>
      </c>
      <c r="N7" s="17" t="s">
        <v>152</v>
      </c>
    </row>
    <row r="8" spans="2:14" ht="18" customHeight="1">
      <c r="B8" s="46" t="s">
        <v>153</v>
      </c>
      <c r="C8" s="47">
        <v>10</v>
      </c>
      <c r="D8" s="47">
        <v>4</v>
      </c>
      <c r="E8" s="47">
        <v>1500</v>
      </c>
      <c r="F8" s="48">
        <f t="shared" si="0"/>
        <v>47746</v>
      </c>
      <c r="G8" s="48">
        <f t="shared" si="1"/>
        <v>15278.720000000001</v>
      </c>
      <c r="H8" s="47">
        <v>0.08</v>
      </c>
      <c r="I8" s="47">
        <v>0.2</v>
      </c>
      <c r="J8" s="47">
        <v>0.1</v>
      </c>
      <c r="K8" s="46" t="s">
        <v>154</v>
      </c>
      <c r="L8" s="49" t="s">
        <v>155</v>
      </c>
      <c r="M8" s="49" t="s">
        <v>32</v>
      </c>
      <c r="N8" s="49" t="s">
        <v>156</v>
      </c>
    </row>
    <row r="9" spans="2:14" ht="18" customHeight="1">
      <c r="B9" s="17" t="s">
        <v>157</v>
      </c>
      <c r="C9" s="15">
        <v>10</v>
      </c>
      <c r="D9" s="15">
        <v>4</v>
      </c>
      <c r="E9" s="15">
        <v>300</v>
      </c>
      <c r="F9" s="16">
        <f t="shared" si="0"/>
        <v>9549</v>
      </c>
      <c r="G9" s="16">
        <f t="shared" si="1"/>
        <v>5729.4</v>
      </c>
      <c r="H9" s="15">
        <v>0.15</v>
      </c>
      <c r="I9" s="15">
        <v>3</v>
      </c>
      <c r="J9" s="15">
        <v>1.5</v>
      </c>
      <c r="K9" s="14" t="s">
        <v>158</v>
      </c>
      <c r="L9" s="14" t="s">
        <v>147</v>
      </c>
      <c r="M9" s="14" t="s">
        <v>29</v>
      </c>
      <c r="N9" s="14" t="s">
        <v>159</v>
      </c>
    </row>
    <row r="10" spans="2:14" ht="18" customHeight="1">
      <c r="B10" s="46" t="s">
        <v>160</v>
      </c>
      <c r="C10" s="47">
        <v>10</v>
      </c>
      <c r="D10" s="47">
        <v>4</v>
      </c>
      <c r="E10" s="47">
        <v>500</v>
      </c>
      <c r="F10" s="48">
        <f t="shared" si="0"/>
        <v>15915</v>
      </c>
      <c r="G10" s="48">
        <f t="shared" si="1"/>
        <v>5092.8</v>
      </c>
      <c r="H10" s="47">
        <v>0.08</v>
      </c>
      <c r="I10" s="47">
        <v>0.3</v>
      </c>
      <c r="J10" s="47">
        <v>0.2</v>
      </c>
      <c r="K10" s="46" t="s">
        <v>161</v>
      </c>
      <c r="L10" s="49" t="s">
        <v>151</v>
      </c>
      <c r="M10" s="49" t="s">
        <v>32</v>
      </c>
      <c r="N10" s="46" t="s">
        <v>162</v>
      </c>
    </row>
    <row r="11" spans="2:14" ht="18" customHeight="1">
      <c r="B11" s="46" t="s">
        <v>163</v>
      </c>
      <c r="C11" s="47">
        <v>10</v>
      </c>
      <c r="D11" s="47">
        <v>4</v>
      </c>
      <c r="E11" s="47">
        <v>250</v>
      </c>
      <c r="F11" s="48">
        <f t="shared" si="0"/>
        <v>7958</v>
      </c>
      <c r="G11" s="48">
        <f t="shared" si="1"/>
        <v>5729.76</v>
      </c>
      <c r="H11" s="47">
        <v>0.18</v>
      </c>
      <c r="I11" s="47">
        <v>2</v>
      </c>
      <c r="J11" s="47">
        <v>1.5</v>
      </c>
      <c r="K11" s="49" t="s">
        <v>164</v>
      </c>
      <c r="L11" s="49" t="s">
        <v>147</v>
      </c>
      <c r="M11" s="49" t="s">
        <v>32</v>
      </c>
      <c r="N11" s="49" t="s">
        <v>165</v>
      </c>
    </row>
    <row r="12" spans="2:14" ht="18" customHeight="1">
      <c r="B12" s="46" t="s">
        <v>166</v>
      </c>
      <c r="C12" s="47">
        <v>10</v>
      </c>
      <c r="D12" s="47">
        <v>4</v>
      </c>
      <c r="E12" s="47">
        <v>400</v>
      </c>
      <c r="F12" s="48">
        <f t="shared" si="0"/>
        <v>12732</v>
      </c>
      <c r="G12" s="48">
        <f t="shared" si="1"/>
        <v>4074.2400000000002</v>
      </c>
      <c r="H12" s="47">
        <v>0.08</v>
      </c>
      <c r="I12" s="47">
        <v>0.2</v>
      </c>
      <c r="J12" s="47">
        <v>0.2</v>
      </c>
      <c r="K12" s="49" t="s">
        <v>167</v>
      </c>
      <c r="L12" s="49" t="s">
        <v>147</v>
      </c>
      <c r="M12" s="49" t="s">
        <v>32</v>
      </c>
      <c r="N12" s="46"/>
    </row>
    <row r="13" spans="2:14" ht="18" customHeight="1">
      <c r="B13" s="46" t="s">
        <v>145</v>
      </c>
      <c r="C13" s="47">
        <v>16</v>
      </c>
      <c r="D13" s="47">
        <v>4</v>
      </c>
      <c r="E13" s="47">
        <v>400</v>
      </c>
      <c r="F13" s="48">
        <f t="shared" si="0"/>
        <v>7958</v>
      </c>
      <c r="G13" s="48">
        <f t="shared" si="1"/>
        <v>6366.4000000000005</v>
      </c>
      <c r="H13" s="47">
        <v>0.2</v>
      </c>
      <c r="I13" s="47">
        <v>6</v>
      </c>
      <c r="J13" s="47">
        <v>3.2</v>
      </c>
      <c r="K13" s="49" t="s">
        <v>146</v>
      </c>
      <c r="L13" s="49" t="s">
        <v>147</v>
      </c>
      <c r="M13" s="49" t="s">
        <v>32</v>
      </c>
      <c r="N13" s="46"/>
    </row>
    <row r="14" spans="2:14" ht="18" customHeight="1">
      <c r="B14" s="18"/>
      <c r="C14" s="19"/>
      <c r="D14" s="19"/>
      <c r="E14" s="19"/>
      <c r="F14" s="20"/>
      <c r="G14" s="20"/>
      <c r="H14" s="19"/>
      <c r="I14" s="19"/>
      <c r="J14" s="19"/>
      <c r="K14" s="18"/>
      <c r="L14" s="18"/>
      <c r="M14" s="18"/>
      <c r="N14" s="21" t="s">
        <v>61</v>
      </c>
    </row>
    <row r="15" spans="2:14" ht="18" customHeight="1">
      <c r="B15" s="18"/>
      <c r="C15" s="19"/>
      <c r="D15" s="19"/>
      <c r="E15" s="19"/>
      <c r="F15" s="20"/>
      <c r="G15" s="20"/>
      <c r="H15" s="19"/>
      <c r="I15" s="19"/>
      <c r="J15" s="19"/>
      <c r="K15" s="18"/>
      <c r="L15" s="18"/>
      <c r="M15" s="18"/>
      <c r="N15" s="21" t="s">
        <v>61</v>
      </c>
    </row>
    <row r="17" spans="2:14" ht="27.75" customHeight="1">
      <c r="B17" s="74" t="s">
        <v>168</v>
      </c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</row>
  </sheetData>
  <mergeCells count="3">
    <mergeCell ref="B2:M2"/>
    <mergeCell ref="B3:M3"/>
    <mergeCell ref="B17:N17"/>
  </mergeCells>
  <phoneticPr fontId="4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81"/>
  <sheetViews>
    <sheetView showGridLines="0" tabSelected="1" topLeftCell="A19" zoomScaleNormal="100" workbookViewId="0">
      <selection activeCell="I32" sqref="I32"/>
    </sheetView>
  </sheetViews>
  <sheetFormatPr defaultColWidth="8.7109375" defaultRowHeight="15"/>
  <cols>
    <col min="1" max="1" width="4" style="1" customWidth="1"/>
    <col min="2" max="2" width="11" style="1" customWidth="1"/>
    <col min="3" max="3" width="9" style="1" customWidth="1"/>
    <col min="4" max="4" width="10" style="1" customWidth="1"/>
    <col min="5" max="5" width="18.42578125" style="1" bestFit="1" customWidth="1"/>
    <col min="6" max="6" width="7" style="1" customWidth="1"/>
    <col min="7" max="7" width="12" style="1" customWidth="1"/>
    <col min="8" max="8" width="20.42578125" style="1" bestFit="1" customWidth="1"/>
    <col min="9" max="9" width="10" style="1" customWidth="1"/>
    <col min="10" max="10" width="12" style="1" customWidth="1"/>
    <col min="11" max="11" width="11" style="1" customWidth="1"/>
    <col min="12" max="13" width="12" style="1" customWidth="1"/>
    <col min="14" max="14" width="10" style="1" customWidth="1"/>
    <col min="15" max="15" width="14" style="1" customWidth="1"/>
    <col min="16" max="16" width="38" style="1" customWidth="1"/>
  </cols>
  <sheetData>
    <row r="2" spans="2:16" ht="25.5" customHeight="1">
      <c r="B2" s="77" t="s">
        <v>63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</row>
    <row r="3" spans="2:16" ht="15" customHeight="1">
      <c r="B3" s="78" t="s">
        <v>64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</row>
    <row r="5" spans="2:16" ht="21" customHeight="1">
      <c r="B5" s="79" t="s">
        <v>65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2:16" ht="33.75" customHeight="1">
      <c r="B6" s="22" t="s">
        <v>66</v>
      </c>
      <c r="C6" s="22" t="s">
        <v>67</v>
      </c>
      <c r="D6" s="22" t="s">
        <v>68</v>
      </c>
      <c r="E6" s="22" t="s">
        <v>69</v>
      </c>
      <c r="F6" s="22" t="s">
        <v>38</v>
      </c>
      <c r="G6" s="22" t="s">
        <v>70</v>
      </c>
      <c r="H6" s="22" t="s">
        <v>71</v>
      </c>
      <c r="I6" s="23" t="s">
        <v>72</v>
      </c>
      <c r="J6" s="22" t="s">
        <v>73</v>
      </c>
      <c r="K6" s="23" t="s">
        <v>74</v>
      </c>
      <c r="L6" s="23" t="s">
        <v>75</v>
      </c>
      <c r="M6" s="23" t="s">
        <v>76</v>
      </c>
      <c r="N6" s="23" t="s">
        <v>77</v>
      </c>
      <c r="O6" s="22" t="s">
        <v>47</v>
      </c>
      <c r="P6" s="22" t="s">
        <v>48</v>
      </c>
    </row>
    <row r="7" spans="2:16" ht="19.5" customHeight="1">
      <c r="B7" s="24" t="s">
        <v>78</v>
      </c>
      <c r="C7" s="25" t="s">
        <v>79</v>
      </c>
      <c r="D7" s="26" t="s">
        <v>80</v>
      </c>
      <c r="E7" s="27" t="s">
        <v>81</v>
      </c>
      <c r="F7" s="27">
        <v>4</v>
      </c>
      <c r="G7" s="26" t="s">
        <v>82</v>
      </c>
      <c r="H7" s="27" t="s">
        <v>83</v>
      </c>
      <c r="I7" s="28">
        <v>3850</v>
      </c>
      <c r="J7" s="29">
        <f>ROUND(PI()*125*I7/60000,2)</f>
        <v>25.2</v>
      </c>
      <c r="K7" s="27">
        <v>25</v>
      </c>
      <c r="L7" s="27">
        <v>28</v>
      </c>
      <c r="M7" s="27">
        <v>18</v>
      </c>
      <c r="N7" s="27">
        <v>0.3</v>
      </c>
      <c r="O7" s="26" t="s">
        <v>26</v>
      </c>
      <c r="P7" s="30" t="s">
        <v>84</v>
      </c>
    </row>
    <row r="8" spans="2:16" ht="19.5" customHeight="1">
      <c r="B8" s="24" t="s">
        <v>85</v>
      </c>
      <c r="C8" s="25" t="s">
        <v>86</v>
      </c>
      <c r="D8" s="26" t="s">
        <v>87</v>
      </c>
      <c r="E8" s="27" t="s">
        <v>88</v>
      </c>
      <c r="F8" s="27">
        <v>2</v>
      </c>
      <c r="G8" s="26" t="s">
        <v>89</v>
      </c>
      <c r="H8" s="27" t="s">
        <v>90</v>
      </c>
      <c r="I8" s="28">
        <v>3200</v>
      </c>
      <c r="J8" s="29">
        <f>ROUND(PI()*125*I8/60000,2)</f>
        <v>20.94</v>
      </c>
      <c r="K8" s="27">
        <v>100</v>
      </c>
      <c r="L8" s="27">
        <v>180</v>
      </c>
      <c r="M8" s="27" t="s">
        <v>91</v>
      </c>
      <c r="N8" s="27">
        <v>0.38</v>
      </c>
      <c r="O8" s="26" t="s">
        <v>26</v>
      </c>
      <c r="P8" s="30" t="s">
        <v>92</v>
      </c>
    </row>
    <row r="10" spans="2:16" ht="21" customHeight="1">
      <c r="B10" s="80" t="s">
        <v>93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</row>
    <row r="11" spans="2:16" ht="33.75" customHeight="1">
      <c r="B11" s="31" t="s">
        <v>66</v>
      </c>
      <c r="C11" s="31" t="s">
        <v>67</v>
      </c>
      <c r="D11" s="31" t="s">
        <v>68</v>
      </c>
      <c r="E11" s="31" t="s">
        <v>69</v>
      </c>
      <c r="F11" s="31" t="s">
        <v>38</v>
      </c>
      <c r="G11" s="31" t="s">
        <v>70</v>
      </c>
      <c r="H11" s="31" t="s">
        <v>71</v>
      </c>
      <c r="I11" s="32" t="s">
        <v>72</v>
      </c>
      <c r="J11" s="31" t="s">
        <v>73</v>
      </c>
      <c r="K11" s="32" t="s">
        <v>74</v>
      </c>
      <c r="L11" s="32" t="s">
        <v>75</v>
      </c>
      <c r="M11" s="32" t="s">
        <v>76</v>
      </c>
      <c r="N11" s="32" t="s">
        <v>77</v>
      </c>
      <c r="O11" s="31" t="s">
        <v>47</v>
      </c>
      <c r="P11" s="31" t="s">
        <v>48</v>
      </c>
    </row>
    <row r="12" spans="2:16" ht="19.5" customHeight="1">
      <c r="B12" s="33" t="s">
        <v>94</v>
      </c>
      <c r="C12" s="33" t="s">
        <v>86</v>
      </c>
      <c r="D12" s="34" t="s">
        <v>80</v>
      </c>
      <c r="E12" s="35" t="s">
        <v>81</v>
      </c>
      <c r="F12" s="35">
        <v>4</v>
      </c>
      <c r="G12" s="34" t="s">
        <v>82</v>
      </c>
      <c r="H12" s="35" t="s">
        <v>83</v>
      </c>
      <c r="I12" s="35">
        <v>3200</v>
      </c>
      <c r="J12" s="36">
        <f>ROUND(PI()*125*I12/60000,2)</f>
        <v>20.94</v>
      </c>
      <c r="K12" s="35">
        <v>25</v>
      </c>
      <c r="L12" s="35">
        <v>22</v>
      </c>
      <c r="M12" s="35">
        <v>18</v>
      </c>
      <c r="N12" s="35">
        <v>0.32</v>
      </c>
      <c r="O12" s="34" t="s">
        <v>29</v>
      </c>
      <c r="P12" s="37" t="s">
        <v>95</v>
      </c>
    </row>
    <row r="14" spans="2:16" ht="21" customHeight="1">
      <c r="B14" s="81" t="s">
        <v>96</v>
      </c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</row>
    <row r="15" spans="2:16" ht="16.5" customHeight="1">
      <c r="B15" s="75" t="s">
        <v>97</v>
      </c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</row>
    <row r="16" spans="2:16" ht="33.75" customHeight="1">
      <c r="B16" s="38" t="s">
        <v>66</v>
      </c>
      <c r="C16" s="38" t="s">
        <v>67</v>
      </c>
      <c r="D16" s="38" t="s">
        <v>68</v>
      </c>
      <c r="E16" s="38" t="s">
        <v>69</v>
      </c>
      <c r="F16" s="38" t="s">
        <v>38</v>
      </c>
      <c r="G16" s="38" t="s">
        <v>70</v>
      </c>
      <c r="H16" s="38" t="s">
        <v>71</v>
      </c>
      <c r="I16" s="39" t="s">
        <v>72</v>
      </c>
      <c r="J16" s="38" t="s">
        <v>73</v>
      </c>
      <c r="K16" s="39" t="s">
        <v>74</v>
      </c>
      <c r="L16" s="39" t="s">
        <v>75</v>
      </c>
      <c r="M16" s="39" t="s">
        <v>76</v>
      </c>
      <c r="N16" s="39" t="s">
        <v>77</v>
      </c>
      <c r="O16" s="38" t="s">
        <v>47</v>
      </c>
      <c r="P16" s="38" t="s">
        <v>48</v>
      </c>
    </row>
    <row r="17" spans="2:16" ht="18.75" customHeight="1">
      <c r="B17" s="40" t="s">
        <v>98</v>
      </c>
      <c r="C17" s="40" t="s">
        <v>99</v>
      </c>
      <c r="D17" s="41" t="s">
        <v>87</v>
      </c>
      <c r="E17" s="42" t="s">
        <v>88</v>
      </c>
      <c r="F17" s="42">
        <v>2</v>
      </c>
      <c r="G17" s="41" t="s">
        <v>267</v>
      </c>
      <c r="H17" s="42" t="s">
        <v>100</v>
      </c>
      <c r="I17" s="43"/>
      <c r="J17" s="43"/>
      <c r="K17" s="43"/>
      <c r="L17" s="43"/>
      <c r="M17" s="43"/>
      <c r="N17" s="43"/>
      <c r="O17" s="44" t="s">
        <v>32</v>
      </c>
      <c r="P17" s="45" t="s">
        <v>101</v>
      </c>
    </row>
    <row r="18" spans="2:16" ht="18.75" customHeight="1">
      <c r="B18" s="40" t="s">
        <v>102</v>
      </c>
      <c r="C18" s="40" t="s">
        <v>103</v>
      </c>
      <c r="D18" s="41" t="s">
        <v>87</v>
      </c>
      <c r="E18" s="42" t="s">
        <v>88</v>
      </c>
      <c r="F18" s="42">
        <v>2</v>
      </c>
      <c r="G18" s="41" t="s">
        <v>267</v>
      </c>
      <c r="H18" s="42" t="s">
        <v>100</v>
      </c>
      <c r="I18" s="43"/>
      <c r="J18" s="43"/>
      <c r="K18" s="43"/>
      <c r="L18" s="43"/>
      <c r="M18" s="43"/>
      <c r="N18" s="43"/>
      <c r="O18" s="44" t="s">
        <v>32</v>
      </c>
      <c r="P18" s="45" t="s">
        <v>101</v>
      </c>
    </row>
    <row r="19" spans="2:16" ht="18.75" customHeight="1">
      <c r="B19" s="40" t="s">
        <v>104</v>
      </c>
      <c r="C19" s="40" t="s">
        <v>105</v>
      </c>
      <c r="D19" s="41" t="s">
        <v>87</v>
      </c>
      <c r="E19" s="42" t="s">
        <v>88</v>
      </c>
      <c r="F19" s="42">
        <v>2</v>
      </c>
      <c r="G19" s="41" t="s">
        <v>267</v>
      </c>
      <c r="H19" s="42" t="s">
        <v>100</v>
      </c>
      <c r="I19" s="43"/>
      <c r="J19" s="43"/>
      <c r="K19" s="43"/>
      <c r="L19" s="43"/>
      <c r="M19" s="43"/>
      <c r="N19" s="43"/>
      <c r="O19" s="44" t="s">
        <v>32</v>
      </c>
      <c r="P19" s="45" t="s">
        <v>101</v>
      </c>
    </row>
    <row r="20" spans="2:16" ht="18.75" customHeight="1">
      <c r="B20" s="40" t="s">
        <v>106</v>
      </c>
      <c r="C20" s="40" t="s">
        <v>79</v>
      </c>
      <c r="D20" s="41" t="s">
        <v>87</v>
      </c>
      <c r="E20" s="42" t="s">
        <v>88</v>
      </c>
      <c r="F20" s="42">
        <v>2</v>
      </c>
      <c r="G20" s="41" t="s">
        <v>267</v>
      </c>
      <c r="H20" s="42" t="s">
        <v>100</v>
      </c>
      <c r="I20" s="43"/>
      <c r="J20" s="43"/>
      <c r="K20" s="43"/>
      <c r="L20" s="43"/>
      <c r="M20" s="43"/>
      <c r="N20" s="43"/>
      <c r="O20" s="44" t="s">
        <v>32</v>
      </c>
      <c r="P20" s="45" t="s">
        <v>101</v>
      </c>
    </row>
    <row r="21" spans="2:16" ht="18.75" customHeight="1">
      <c r="B21" s="40" t="s">
        <v>107</v>
      </c>
      <c r="C21" s="40" t="s">
        <v>108</v>
      </c>
      <c r="D21" s="41" t="s">
        <v>87</v>
      </c>
      <c r="E21" s="42" t="s">
        <v>88</v>
      </c>
      <c r="F21" s="42">
        <v>2</v>
      </c>
      <c r="G21" s="41" t="s">
        <v>267</v>
      </c>
      <c r="H21" s="42" t="s">
        <v>100</v>
      </c>
      <c r="I21" s="43"/>
      <c r="J21" s="43"/>
      <c r="K21" s="43"/>
      <c r="L21" s="43"/>
      <c r="M21" s="43"/>
      <c r="N21" s="43"/>
      <c r="O21" s="44" t="s">
        <v>32</v>
      </c>
      <c r="P21" s="45" t="s">
        <v>101</v>
      </c>
    </row>
    <row r="22" spans="2:16" ht="18.75" customHeight="1">
      <c r="B22" s="40" t="s">
        <v>109</v>
      </c>
      <c r="C22" s="40" t="s">
        <v>110</v>
      </c>
      <c r="D22" s="41" t="s">
        <v>87</v>
      </c>
      <c r="E22" s="42" t="s">
        <v>88</v>
      </c>
      <c r="F22" s="42">
        <v>2</v>
      </c>
      <c r="G22" s="41" t="s">
        <v>267</v>
      </c>
      <c r="H22" s="42" t="s">
        <v>100</v>
      </c>
      <c r="I22" s="43"/>
      <c r="J22" s="43"/>
      <c r="K22" s="43"/>
      <c r="L22" s="43"/>
      <c r="M22" s="43"/>
      <c r="N22" s="43"/>
      <c r="O22" s="44" t="s">
        <v>32</v>
      </c>
      <c r="P22" s="45" t="s">
        <v>101</v>
      </c>
    </row>
    <row r="23" spans="2:16" ht="18.75" customHeight="1">
      <c r="B23" s="40" t="s">
        <v>111</v>
      </c>
      <c r="C23" s="40" t="s">
        <v>112</v>
      </c>
      <c r="D23" s="41" t="s">
        <v>87</v>
      </c>
      <c r="E23" s="42" t="s">
        <v>88</v>
      </c>
      <c r="F23" s="42">
        <v>2</v>
      </c>
      <c r="G23" s="41" t="s">
        <v>267</v>
      </c>
      <c r="H23" s="42" t="s">
        <v>100</v>
      </c>
      <c r="I23" s="43"/>
      <c r="J23" s="43"/>
      <c r="K23" s="43"/>
      <c r="L23" s="43"/>
      <c r="M23" s="43"/>
      <c r="N23" s="43"/>
      <c r="O23" s="44" t="s">
        <v>32</v>
      </c>
      <c r="P23" s="45" t="s">
        <v>101</v>
      </c>
    </row>
    <row r="24" spans="2:16" ht="18.75" customHeight="1">
      <c r="B24" s="40" t="s">
        <v>113</v>
      </c>
      <c r="C24" s="40" t="s">
        <v>114</v>
      </c>
      <c r="D24" s="41" t="s">
        <v>87</v>
      </c>
      <c r="E24" s="42" t="s">
        <v>88</v>
      </c>
      <c r="F24" s="42">
        <v>2</v>
      </c>
      <c r="G24" s="41" t="s">
        <v>267</v>
      </c>
      <c r="H24" s="42" t="s">
        <v>100</v>
      </c>
      <c r="I24" s="43"/>
      <c r="J24" s="43"/>
      <c r="K24" s="43"/>
      <c r="L24" s="43"/>
      <c r="M24" s="43"/>
      <c r="N24" s="43"/>
      <c r="O24" s="44" t="s">
        <v>32</v>
      </c>
      <c r="P24" s="45" t="s">
        <v>101</v>
      </c>
    </row>
    <row r="25" spans="2:16" ht="18.75" customHeight="1">
      <c r="B25" s="40" t="s">
        <v>115</v>
      </c>
      <c r="C25" s="40" t="s">
        <v>116</v>
      </c>
      <c r="D25" s="41" t="s">
        <v>87</v>
      </c>
      <c r="E25" s="42" t="s">
        <v>88</v>
      </c>
      <c r="F25" s="42">
        <v>2</v>
      </c>
      <c r="G25" s="41" t="s">
        <v>267</v>
      </c>
      <c r="H25" s="42" t="s">
        <v>100</v>
      </c>
      <c r="I25" s="43"/>
      <c r="J25" s="43"/>
      <c r="K25" s="43"/>
      <c r="L25" s="43"/>
      <c r="M25" s="43"/>
      <c r="N25" s="43"/>
      <c r="O25" s="44" t="s">
        <v>32</v>
      </c>
      <c r="P25" s="45" t="s">
        <v>101</v>
      </c>
    </row>
    <row r="26" spans="2:16" ht="18.75" customHeight="1">
      <c r="B26" s="75" t="s">
        <v>264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</row>
    <row r="27" spans="2:16" ht="18.75" customHeight="1">
      <c r="B27" s="38" t="s">
        <v>66</v>
      </c>
      <c r="C27" s="38" t="s">
        <v>67</v>
      </c>
      <c r="D27" s="38" t="s">
        <v>68</v>
      </c>
      <c r="E27" s="38" t="s">
        <v>69</v>
      </c>
      <c r="F27" s="38" t="s">
        <v>38</v>
      </c>
      <c r="G27" s="38" t="s">
        <v>70</v>
      </c>
      <c r="H27" s="38" t="s">
        <v>71</v>
      </c>
      <c r="I27" s="39" t="s">
        <v>72</v>
      </c>
      <c r="J27" s="38" t="s">
        <v>73</v>
      </c>
      <c r="K27" s="39" t="s">
        <v>74</v>
      </c>
      <c r="L27" s="39" t="s">
        <v>75</v>
      </c>
      <c r="M27" s="39" t="s">
        <v>76</v>
      </c>
      <c r="N27" s="39" t="s">
        <v>77</v>
      </c>
      <c r="O27" s="38" t="s">
        <v>47</v>
      </c>
      <c r="P27" s="38" t="s">
        <v>48</v>
      </c>
    </row>
    <row r="28" spans="2:16" ht="18.75" customHeight="1">
      <c r="B28" s="40" t="s">
        <v>98</v>
      </c>
      <c r="C28" s="40" t="s">
        <v>99</v>
      </c>
      <c r="D28" s="41" t="s">
        <v>87</v>
      </c>
      <c r="E28" s="42" t="s">
        <v>269</v>
      </c>
      <c r="F28" s="42">
        <v>2</v>
      </c>
      <c r="G28" s="41" t="s">
        <v>265</v>
      </c>
      <c r="H28" s="89" t="s">
        <v>268</v>
      </c>
      <c r="I28" s="43"/>
      <c r="J28" s="43"/>
      <c r="K28" s="43"/>
      <c r="L28" s="43"/>
      <c r="M28" s="43"/>
      <c r="N28" s="43"/>
      <c r="O28" s="44" t="s">
        <v>32</v>
      </c>
      <c r="P28" s="45" t="s">
        <v>101</v>
      </c>
    </row>
    <row r="29" spans="2:16" ht="18.75" customHeight="1">
      <c r="B29" s="40" t="s">
        <v>102</v>
      </c>
      <c r="C29" s="40" t="s">
        <v>103</v>
      </c>
      <c r="D29" s="41" t="s">
        <v>87</v>
      </c>
      <c r="E29" s="42" t="s">
        <v>269</v>
      </c>
      <c r="F29" s="42">
        <v>2</v>
      </c>
      <c r="G29" s="41" t="s">
        <v>265</v>
      </c>
      <c r="H29" s="89" t="s">
        <v>268</v>
      </c>
      <c r="I29" s="43"/>
      <c r="J29" s="43"/>
      <c r="K29" s="43"/>
      <c r="L29" s="43"/>
      <c r="M29" s="43"/>
      <c r="N29" s="43"/>
      <c r="O29" s="44" t="s">
        <v>32</v>
      </c>
      <c r="P29" s="45" t="s">
        <v>101</v>
      </c>
    </row>
    <row r="30" spans="2:16" ht="18.75" customHeight="1">
      <c r="B30" s="40" t="s">
        <v>104</v>
      </c>
      <c r="C30" s="40" t="s">
        <v>105</v>
      </c>
      <c r="D30" s="41" t="s">
        <v>87</v>
      </c>
      <c r="E30" s="42" t="s">
        <v>269</v>
      </c>
      <c r="F30" s="42">
        <v>2</v>
      </c>
      <c r="G30" s="41" t="s">
        <v>266</v>
      </c>
      <c r="H30" s="89" t="s">
        <v>268</v>
      </c>
      <c r="I30" s="43"/>
      <c r="J30" s="43"/>
      <c r="K30" s="43"/>
      <c r="L30" s="43"/>
      <c r="M30" s="43"/>
      <c r="N30" s="43"/>
      <c r="O30" s="44" t="s">
        <v>32</v>
      </c>
      <c r="P30" s="45" t="s">
        <v>101</v>
      </c>
    </row>
    <row r="31" spans="2:16" ht="18.75" customHeight="1">
      <c r="B31" s="40" t="s">
        <v>106</v>
      </c>
      <c r="C31" s="40" t="s">
        <v>79</v>
      </c>
      <c r="D31" s="41" t="s">
        <v>87</v>
      </c>
      <c r="E31" s="42" t="s">
        <v>269</v>
      </c>
      <c r="F31" s="42">
        <v>2</v>
      </c>
      <c r="G31" s="41" t="s">
        <v>265</v>
      </c>
      <c r="H31" s="89" t="s">
        <v>268</v>
      </c>
      <c r="I31" s="43"/>
      <c r="J31" s="43"/>
      <c r="K31" s="43"/>
      <c r="L31" s="43"/>
      <c r="M31" s="43"/>
      <c r="N31" s="43"/>
      <c r="O31" s="44" t="s">
        <v>32</v>
      </c>
      <c r="P31" s="45" t="s">
        <v>101</v>
      </c>
    </row>
    <row r="32" spans="2:16" ht="18.75" customHeight="1">
      <c r="B32" s="40" t="s">
        <v>107</v>
      </c>
      <c r="C32" s="40" t="s">
        <v>108</v>
      </c>
      <c r="D32" s="41" t="s">
        <v>87</v>
      </c>
      <c r="E32" s="42" t="s">
        <v>269</v>
      </c>
      <c r="F32" s="42">
        <v>2</v>
      </c>
      <c r="G32" s="41" t="s">
        <v>265</v>
      </c>
      <c r="H32" s="89" t="s">
        <v>268</v>
      </c>
      <c r="I32" s="43"/>
      <c r="J32" s="43"/>
      <c r="K32" s="43"/>
      <c r="L32" s="43"/>
      <c r="M32" s="43"/>
      <c r="N32" s="43"/>
      <c r="O32" s="44" t="s">
        <v>32</v>
      </c>
      <c r="P32" s="45" t="s">
        <v>101</v>
      </c>
    </row>
    <row r="33" spans="2:16" ht="18.75" customHeight="1">
      <c r="B33" s="40" t="s">
        <v>109</v>
      </c>
      <c r="C33" s="40" t="s">
        <v>110</v>
      </c>
      <c r="D33" s="41" t="s">
        <v>87</v>
      </c>
      <c r="E33" s="42" t="s">
        <v>269</v>
      </c>
      <c r="F33" s="42">
        <v>2</v>
      </c>
      <c r="G33" s="41" t="s">
        <v>266</v>
      </c>
      <c r="H33" s="89" t="s">
        <v>268</v>
      </c>
      <c r="I33" s="43"/>
      <c r="J33" s="43"/>
      <c r="K33" s="43"/>
      <c r="L33" s="43"/>
      <c r="M33" s="43"/>
      <c r="N33" s="43"/>
      <c r="O33" s="44" t="s">
        <v>32</v>
      </c>
      <c r="P33" s="45" t="s">
        <v>101</v>
      </c>
    </row>
    <row r="34" spans="2:16" ht="18.75" customHeight="1">
      <c r="B34" s="40" t="s">
        <v>111</v>
      </c>
      <c r="C34" s="40" t="s">
        <v>112</v>
      </c>
      <c r="D34" s="41" t="s">
        <v>87</v>
      </c>
      <c r="E34" s="42" t="s">
        <v>269</v>
      </c>
      <c r="F34" s="42">
        <v>2</v>
      </c>
      <c r="G34" s="41" t="s">
        <v>265</v>
      </c>
      <c r="H34" s="89" t="s">
        <v>268</v>
      </c>
      <c r="I34" s="43"/>
      <c r="J34" s="43"/>
      <c r="K34" s="43"/>
      <c r="L34" s="43"/>
      <c r="M34" s="43"/>
      <c r="N34" s="43"/>
      <c r="O34" s="44" t="s">
        <v>32</v>
      </c>
      <c r="P34" s="45" t="s">
        <v>101</v>
      </c>
    </row>
    <row r="35" spans="2:16" ht="18.75" customHeight="1">
      <c r="B35" s="40" t="s">
        <v>113</v>
      </c>
      <c r="C35" s="40" t="s">
        <v>114</v>
      </c>
      <c r="D35" s="41" t="s">
        <v>87</v>
      </c>
      <c r="E35" s="42" t="s">
        <v>269</v>
      </c>
      <c r="F35" s="42">
        <v>2</v>
      </c>
      <c r="G35" s="41" t="s">
        <v>265</v>
      </c>
      <c r="H35" s="89" t="s">
        <v>268</v>
      </c>
      <c r="I35" s="43"/>
      <c r="J35" s="43"/>
      <c r="K35" s="43"/>
      <c r="L35" s="43"/>
      <c r="M35" s="43"/>
      <c r="N35" s="43"/>
      <c r="O35" s="44" t="s">
        <v>32</v>
      </c>
      <c r="P35" s="45" t="s">
        <v>101</v>
      </c>
    </row>
    <row r="36" spans="2:16" ht="18.75" customHeight="1">
      <c r="B36" s="40" t="s">
        <v>115</v>
      </c>
      <c r="C36" s="40" t="s">
        <v>116</v>
      </c>
      <c r="D36" s="41" t="s">
        <v>87</v>
      </c>
      <c r="E36" s="42" t="s">
        <v>269</v>
      </c>
      <c r="F36" s="42">
        <v>2</v>
      </c>
      <c r="G36" s="41" t="s">
        <v>266</v>
      </c>
      <c r="H36" s="89" t="s">
        <v>268</v>
      </c>
      <c r="I36" s="43"/>
      <c r="J36" s="43"/>
      <c r="K36" s="43"/>
      <c r="L36" s="43"/>
      <c r="M36" s="43"/>
      <c r="N36" s="43"/>
      <c r="O36" s="44" t="s">
        <v>32</v>
      </c>
      <c r="P36" s="45" t="s">
        <v>101</v>
      </c>
    </row>
    <row r="37" spans="2:16" ht="18.75" customHeight="1">
      <c r="B37" s="75" t="s">
        <v>273</v>
      </c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</row>
    <row r="38" spans="2:16" ht="18.75" customHeight="1">
      <c r="B38" s="38" t="s">
        <v>66</v>
      </c>
      <c r="C38" s="38" t="s">
        <v>67</v>
      </c>
      <c r="D38" s="38" t="s">
        <v>68</v>
      </c>
      <c r="E38" s="38" t="s">
        <v>69</v>
      </c>
      <c r="F38" s="38" t="s">
        <v>38</v>
      </c>
      <c r="G38" s="38" t="s">
        <v>70</v>
      </c>
      <c r="H38" s="38" t="s">
        <v>71</v>
      </c>
      <c r="I38" s="39" t="s">
        <v>72</v>
      </c>
      <c r="J38" s="38" t="s">
        <v>73</v>
      </c>
      <c r="K38" s="39" t="s">
        <v>74</v>
      </c>
      <c r="L38" s="39" t="s">
        <v>75</v>
      </c>
      <c r="M38" s="39" t="s">
        <v>76</v>
      </c>
      <c r="N38" s="39" t="s">
        <v>77</v>
      </c>
      <c r="O38" s="38" t="s">
        <v>47</v>
      </c>
      <c r="P38" s="38" t="s">
        <v>48</v>
      </c>
    </row>
    <row r="39" spans="2:16" ht="18.75" customHeight="1">
      <c r="B39" s="40" t="s">
        <v>134</v>
      </c>
      <c r="C39" s="40" t="s">
        <v>99</v>
      </c>
      <c r="D39" s="41" t="s">
        <v>274</v>
      </c>
      <c r="E39" s="42" t="s">
        <v>270</v>
      </c>
      <c r="F39" s="42">
        <v>2</v>
      </c>
      <c r="G39" s="41" t="s">
        <v>271</v>
      </c>
      <c r="H39" s="42" t="s">
        <v>272</v>
      </c>
      <c r="I39" s="43"/>
      <c r="J39" s="43"/>
      <c r="K39" s="43"/>
      <c r="L39" s="43"/>
      <c r="M39" s="43"/>
      <c r="N39" s="43"/>
      <c r="O39" s="44" t="s">
        <v>32</v>
      </c>
      <c r="P39" s="45" t="s">
        <v>101</v>
      </c>
    </row>
    <row r="40" spans="2:16" ht="18.75" customHeight="1">
      <c r="B40" s="40" t="s">
        <v>135</v>
      </c>
      <c r="C40" s="40" t="s">
        <v>103</v>
      </c>
      <c r="D40" s="41" t="s">
        <v>274</v>
      </c>
      <c r="E40" s="42" t="s">
        <v>270</v>
      </c>
      <c r="F40" s="42">
        <v>2</v>
      </c>
      <c r="G40" s="41" t="s">
        <v>271</v>
      </c>
      <c r="H40" s="42" t="s">
        <v>272</v>
      </c>
      <c r="I40" s="43"/>
      <c r="J40" s="43"/>
      <c r="K40" s="43"/>
      <c r="L40" s="43"/>
      <c r="M40" s="43"/>
      <c r="N40" s="43"/>
      <c r="O40" s="44" t="s">
        <v>32</v>
      </c>
      <c r="P40" s="45" t="s">
        <v>101</v>
      </c>
    </row>
    <row r="41" spans="2:16" ht="18.75" customHeight="1">
      <c r="B41" s="40" t="s">
        <v>136</v>
      </c>
      <c r="C41" s="40" t="s">
        <v>105</v>
      </c>
      <c r="D41" s="41" t="s">
        <v>274</v>
      </c>
      <c r="E41" s="42" t="s">
        <v>270</v>
      </c>
      <c r="F41" s="42">
        <v>2</v>
      </c>
      <c r="G41" s="41" t="s">
        <v>271</v>
      </c>
      <c r="H41" s="42" t="s">
        <v>272</v>
      </c>
      <c r="I41" s="43"/>
      <c r="J41" s="43"/>
      <c r="K41" s="43"/>
      <c r="L41" s="43"/>
      <c r="M41" s="43"/>
      <c r="N41" s="43"/>
      <c r="O41" s="44" t="s">
        <v>32</v>
      </c>
      <c r="P41" s="45" t="s">
        <v>101</v>
      </c>
    </row>
    <row r="42" spans="2:16" ht="18.75" customHeight="1">
      <c r="B42" s="40" t="s">
        <v>137</v>
      </c>
      <c r="C42" s="40" t="s">
        <v>79</v>
      </c>
      <c r="D42" s="41" t="s">
        <v>274</v>
      </c>
      <c r="E42" s="42" t="s">
        <v>270</v>
      </c>
      <c r="F42" s="42">
        <v>2</v>
      </c>
      <c r="G42" s="41" t="s">
        <v>271</v>
      </c>
      <c r="H42" s="42" t="s">
        <v>272</v>
      </c>
      <c r="I42" s="43"/>
      <c r="J42" s="43"/>
      <c r="K42" s="43"/>
      <c r="L42" s="43"/>
      <c r="M42" s="43"/>
      <c r="N42" s="43"/>
      <c r="O42" s="44" t="s">
        <v>32</v>
      </c>
      <c r="P42" s="45" t="s">
        <v>101</v>
      </c>
    </row>
    <row r="43" spans="2:16" ht="18.75" customHeight="1">
      <c r="B43" s="40" t="s">
        <v>138</v>
      </c>
      <c r="C43" s="40" t="s">
        <v>108</v>
      </c>
      <c r="D43" s="41" t="s">
        <v>274</v>
      </c>
      <c r="E43" s="42" t="s">
        <v>270</v>
      </c>
      <c r="F43" s="42">
        <v>2</v>
      </c>
      <c r="G43" s="41" t="s">
        <v>271</v>
      </c>
      <c r="H43" s="42" t="s">
        <v>272</v>
      </c>
      <c r="I43" s="43"/>
      <c r="J43" s="43"/>
      <c r="K43" s="43"/>
      <c r="L43" s="43"/>
      <c r="M43" s="43"/>
      <c r="N43" s="43"/>
      <c r="O43" s="44" t="s">
        <v>32</v>
      </c>
      <c r="P43" s="45" t="s">
        <v>101</v>
      </c>
    </row>
    <row r="44" spans="2:16" ht="18.75" customHeight="1">
      <c r="B44" s="40" t="s">
        <v>139</v>
      </c>
      <c r="C44" s="40" t="s">
        <v>110</v>
      </c>
      <c r="D44" s="41" t="s">
        <v>274</v>
      </c>
      <c r="E44" s="42" t="s">
        <v>270</v>
      </c>
      <c r="F44" s="42">
        <v>2</v>
      </c>
      <c r="G44" s="41" t="s">
        <v>271</v>
      </c>
      <c r="H44" s="42" t="s">
        <v>272</v>
      </c>
      <c r="I44" s="43"/>
      <c r="J44" s="43"/>
      <c r="K44" s="43"/>
      <c r="L44" s="43"/>
      <c r="M44" s="43"/>
      <c r="N44" s="43"/>
      <c r="O44" s="44" t="s">
        <v>32</v>
      </c>
      <c r="P44" s="45" t="s">
        <v>101</v>
      </c>
    </row>
    <row r="45" spans="2:16" ht="18.75" customHeight="1">
      <c r="B45" s="40" t="s">
        <v>261</v>
      </c>
      <c r="C45" s="40" t="s">
        <v>112</v>
      </c>
      <c r="D45" s="41" t="s">
        <v>274</v>
      </c>
      <c r="E45" s="42" t="s">
        <v>270</v>
      </c>
      <c r="F45" s="42">
        <v>2</v>
      </c>
      <c r="G45" s="41" t="s">
        <v>271</v>
      </c>
      <c r="H45" s="42" t="s">
        <v>272</v>
      </c>
      <c r="I45" s="43"/>
      <c r="J45" s="43"/>
      <c r="K45" s="43"/>
      <c r="L45" s="43"/>
      <c r="M45" s="43"/>
      <c r="N45" s="43"/>
      <c r="O45" s="44" t="s">
        <v>32</v>
      </c>
      <c r="P45" s="45" t="s">
        <v>101</v>
      </c>
    </row>
    <row r="46" spans="2:16" ht="18.75" customHeight="1">
      <c r="B46" s="40" t="s">
        <v>140</v>
      </c>
      <c r="C46" s="40" t="s">
        <v>114</v>
      </c>
      <c r="D46" s="41" t="s">
        <v>274</v>
      </c>
      <c r="E46" s="42" t="s">
        <v>270</v>
      </c>
      <c r="F46" s="42">
        <v>2</v>
      </c>
      <c r="G46" s="41" t="s">
        <v>271</v>
      </c>
      <c r="H46" s="42" t="s">
        <v>272</v>
      </c>
      <c r="I46" s="43"/>
      <c r="J46" s="43"/>
      <c r="K46" s="43"/>
      <c r="L46" s="43"/>
      <c r="M46" s="43"/>
      <c r="N46" s="43"/>
      <c r="O46" s="44" t="s">
        <v>32</v>
      </c>
      <c r="P46" s="45" t="s">
        <v>101</v>
      </c>
    </row>
    <row r="47" spans="2:16" ht="18.75" customHeight="1">
      <c r="B47" s="40" t="s">
        <v>141</v>
      </c>
      <c r="C47" s="40" t="s">
        <v>116</v>
      </c>
      <c r="D47" s="41" t="s">
        <v>274</v>
      </c>
      <c r="E47" s="42" t="s">
        <v>270</v>
      </c>
      <c r="F47" s="42">
        <v>2</v>
      </c>
      <c r="G47" s="41" t="s">
        <v>271</v>
      </c>
      <c r="H47" s="42" t="s">
        <v>272</v>
      </c>
      <c r="I47" s="43"/>
      <c r="J47" s="43"/>
      <c r="K47" s="43"/>
      <c r="L47" s="43"/>
      <c r="M47" s="43"/>
      <c r="N47" s="43"/>
      <c r="O47" s="44" t="s">
        <v>32</v>
      </c>
      <c r="P47" s="45" t="s">
        <v>101</v>
      </c>
    </row>
    <row r="48" spans="2:16" ht="18.75" customHeight="1">
      <c r="B48" s="76" t="s">
        <v>263</v>
      </c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</row>
    <row r="49" spans="2:16" ht="18.75" customHeight="1">
      <c r="B49" s="38" t="s">
        <v>66</v>
      </c>
      <c r="C49" s="38" t="s">
        <v>67</v>
      </c>
      <c r="D49" s="38" t="s">
        <v>68</v>
      </c>
      <c r="E49" s="38" t="s">
        <v>69</v>
      </c>
      <c r="F49" s="38" t="s">
        <v>38</v>
      </c>
      <c r="G49" s="38" t="s">
        <v>70</v>
      </c>
      <c r="H49" s="38" t="s">
        <v>71</v>
      </c>
      <c r="I49" s="39" t="s">
        <v>72</v>
      </c>
      <c r="J49" s="38" t="s">
        <v>73</v>
      </c>
      <c r="K49" s="39" t="s">
        <v>74</v>
      </c>
      <c r="L49" s="39" t="s">
        <v>75</v>
      </c>
      <c r="M49" s="39" t="s">
        <v>76</v>
      </c>
      <c r="N49" s="39" t="s">
        <v>77</v>
      </c>
      <c r="O49" s="38" t="s">
        <v>47</v>
      </c>
      <c r="P49" s="38" t="s">
        <v>48</v>
      </c>
    </row>
    <row r="50" spans="2:16" ht="18.75" customHeight="1">
      <c r="B50" s="40" t="s">
        <v>126</v>
      </c>
      <c r="C50" s="40" t="s">
        <v>99</v>
      </c>
      <c r="D50" s="41" t="s">
        <v>275</v>
      </c>
      <c r="E50" s="42" t="s">
        <v>270</v>
      </c>
      <c r="F50" s="42">
        <v>2</v>
      </c>
      <c r="G50" s="41" t="s">
        <v>271</v>
      </c>
      <c r="H50" s="42" t="s">
        <v>272</v>
      </c>
      <c r="I50" s="43"/>
      <c r="J50" s="43"/>
      <c r="K50" s="43"/>
      <c r="L50" s="43"/>
      <c r="M50" s="43"/>
      <c r="N50" s="43"/>
      <c r="O50" s="44" t="s">
        <v>32</v>
      </c>
      <c r="P50" s="45" t="s">
        <v>101</v>
      </c>
    </row>
    <row r="51" spans="2:16" ht="18.75" customHeight="1">
      <c r="B51" s="40" t="s">
        <v>127</v>
      </c>
      <c r="C51" s="40" t="s">
        <v>103</v>
      </c>
      <c r="D51" s="41" t="s">
        <v>275</v>
      </c>
      <c r="E51" s="42" t="s">
        <v>270</v>
      </c>
      <c r="F51" s="42">
        <v>2</v>
      </c>
      <c r="G51" s="41" t="s">
        <v>271</v>
      </c>
      <c r="H51" s="42" t="s">
        <v>272</v>
      </c>
      <c r="I51" s="43"/>
      <c r="J51" s="43"/>
      <c r="K51" s="43"/>
      <c r="L51" s="43"/>
      <c r="M51" s="43"/>
      <c r="N51" s="43"/>
      <c r="O51" s="44" t="s">
        <v>32</v>
      </c>
      <c r="P51" s="45" t="s">
        <v>101</v>
      </c>
    </row>
    <row r="52" spans="2:16" ht="18.75" customHeight="1">
      <c r="B52" s="40" t="s">
        <v>128</v>
      </c>
      <c r="C52" s="40" t="s">
        <v>105</v>
      </c>
      <c r="D52" s="41" t="s">
        <v>275</v>
      </c>
      <c r="E52" s="42" t="s">
        <v>270</v>
      </c>
      <c r="F52" s="42">
        <v>2</v>
      </c>
      <c r="G52" s="41" t="s">
        <v>271</v>
      </c>
      <c r="H52" s="42" t="s">
        <v>272</v>
      </c>
      <c r="I52" s="43"/>
      <c r="J52" s="43"/>
      <c r="K52" s="43"/>
      <c r="L52" s="43"/>
      <c r="M52" s="43"/>
      <c r="N52" s="43"/>
      <c r="O52" s="44" t="s">
        <v>32</v>
      </c>
      <c r="P52" s="45" t="s">
        <v>101</v>
      </c>
    </row>
    <row r="53" spans="2:16" ht="18.75" customHeight="1">
      <c r="B53" s="40" t="s">
        <v>129</v>
      </c>
      <c r="C53" s="40" t="s">
        <v>79</v>
      </c>
      <c r="D53" s="41" t="s">
        <v>275</v>
      </c>
      <c r="E53" s="42" t="s">
        <v>270</v>
      </c>
      <c r="F53" s="42">
        <v>2</v>
      </c>
      <c r="G53" s="41" t="s">
        <v>271</v>
      </c>
      <c r="H53" s="42" t="s">
        <v>272</v>
      </c>
      <c r="I53" s="43"/>
      <c r="J53" s="43"/>
      <c r="K53" s="43"/>
      <c r="L53" s="43"/>
      <c r="M53" s="43"/>
      <c r="N53" s="43"/>
      <c r="O53" s="44" t="s">
        <v>32</v>
      </c>
      <c r="P53" s="45" t="s">
        <v>101</v>
      </c>
    </row>
    <row r="54" spans="2:16" ht="18.75" customHeight="1">
      <c r="B54" s="40" t="s">
        <v>130</v>
      </c>
      <c r="C54" s="40" t="s">
        <v>108</v>
      </c>
      <c r="D54" s="41" t="s">
        <v>275</v>
      </c>
      <c r="E54" s="42" t="s">
        <v>270</v>
      </c>
      <c r="F54" s="42">
        <v>2</v>
      </c>
      <c r="G54" s="41" t="s">
        <v>271</v>
      </c>
      <c r="H54" s="42" t="s">
        <v>272</v>
      </c>
      <c r="I54" s="43"/>
      <c r="J54" s="43"/>
      <c r="K54" s="43"/>
      <c r="L54" s="43"/>
      <c r="M54" s="43"/>
      <c r="N54" s="43"/>
      <c r="O54" s="44" t="s">
        <v>32</v>
      </c>
      <c r="P54" s="45" t="s">
        <v>101</v>
      </c>
    </row>
    <row r="55" spans="2:16" ht="18.75" customHeight="1">
      <c r="B55" s="40" t="s">
        <v>131</v>
      </c>
      <c r="C55" s="40" t="s">
        <v>110</v>
      </c>
      <c r="D55" s="41" t="s">
        <v>275</v>
      </c>
      <c r="E55" s="42" t="s">
        <v>270</v>
      </c>
      <c r="F55" s="42">
        <v>2</v>
      </c>
      <c r="G55" s="41" t="s">
        <v>271</v>
      </c>
      <c r="H55" s="42" t="s">
        <v>272</v>
      </c>
      <c r="I55" s="43"/>
      <c r="J55" s="43"/>
      <c r="K55" s="43"/>
      <c r="L55" s="43"/>
      <c r="M55" s="43"/>
      <c r="N55" s="43"/>
      <c r="O55" s="44" t="s">
        <v>32</v>
      </c>
      <c r="P55" s="45" t="s">
        <v>101</v>
      </c>
    </row>
    <row r="56" spans="2:16" ht="18.75" customHeight="1">
      <c r="B56" s="40" t="s">
        <v>262</v>
      </c>
      <c r="C56" s="40" t="s">
        <v>112</v>
      </c>
      <c r="D56" s="41" t="s">
        <v>275</v>
      </c>
      <c r="E56" s="42" t="s">
        <v>270</v>
      </c>
      <c r="F56" s="42">
        <v>2</v>
      </c>
      <c r="G56" s="41" t="s">
        <v>271</v>
      </c>
      <c r="H56" s="42" t="s">
        <v>272</v>
      </c>
      <c r="I56" s="43"/>
      <c r="J56" s="43"/>
      <c r="K56" s="43"/>
      <c r="L56" s="43"/>
      <c r="M56" s="43"/>
      <c r="N56" s="43"/>
      <c r="O56" s="44" t="s">
        <v>32</v>
      </c>
      <c r="P56" s="45" t="s">
        <v>101</v>
      </c>
    </row>
    <row r="57" spans="2:16" ht="18.75" customHeight="1">
      <c r="B57" s="40" t="s">
        <v>132</v>
      </c>
      <c r="C57" s="40" t="s">
        <v>114</v>
      </c>
      <c r="D57" s="41" t="s">
        <v>275</v>
      </c>
      <c r="E57" s="42" t="s">
        <v>270</v>
      </c>
      <c r="F57" s="42">
        <v>2</v>
      </c>
      <c r="G57" s="41" t="s">
        <v>271</v>
      </c>
      <c r="H57" s="42" t="s">
        <v>272</v>
      </c>
      <c r="I57" s="43"/>
      <c r="J57" s="43"/>
      <c r="K57" s="43"/>
      <c r="L57" s="43"/>
      <c r="M57" s="43"/>
      <c r="N57" s="43"/>
      <c r="O57" s="44" t="s">
        <v>32</v>
      </c>
      <c r="P57" s="45" t="s">
        <v>101</v>
      </c>
    </row>
    <row r="58" spans="2:16" ht="18.75" customHeight="1">
      <c r="B58" s="40" t="s">
        <v>133</v>
      </c>
      <c r="C58" s="40" t="s">
        <v>116</v>
      </c>
      <c r="D58" s="41" t="s">
        <v>275</v>
      </c>
      <c r="E58" s="42" t="s">
        <v>270</v>
      </c>
      <c r="F58" s="42">
        <v>2</v>
      </c>
      <c r="G58" s="41" t="s">
        <v>271</v>
      </c>
      <c r="H58" s="42" t="s">
        <v>272</v>
      </c>
      <c r="I58" s="43"/>
      <c r="J58" s="43"/>
      <c r="K58" s="43"/>
      <c r="L58" s="43"/>
      <c r="M58" s="43"/>
      <c r="N58" s="43"/>
      <c r="O58" s="44" t="s">
        <v>32</v>
      </c>
      <c r="P58" s="45" t="s">
        <v>101</v>
      </c>
    </row>
    <row r="59" spans="2:16" ht="16.5" customHeight="1">
      <c r="B59" s="76" t="s">
        <v>278</v>
      </c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</row>
    <row r="60" spans="2:16" ht="33.75" customHeight="1">
      <c r="B60" s="38" t="s">
        <v>66</v>
      </c>
      <c r="C60" s="38" t="s">
        <v>67</v>
      </c>
      <c r="D60" s="38" t="s">
        <v>68</v>
      </c>
      <c r="E60" s="38" t="s">
        <v>69</v>
      </c>
      <c r="F60" s="38" t="s">
        <v>38</v>
      </c>
      <c r="G60" s="38" t="s">
        <v>70</v>
      </c>
      <c r="H60" s="38" t="s">
        <v>71</v>
      </c>
      <c r="I60" s="39" t="s">
        <v>72</v>
      </c>
      <c r="J60" s="38" t="s">
        <v>73</v>
      </c>
      <c r="K60" s="39" t="s">
        <v>74</v>
      </c>
      <c r="L60" s="39" t="s">
        <v>75</v>
      </c>
      <c r="M60" s="39" t="s">
        <v>76</v>
      </c>
      <c r="N60" s="39" t="s">
        <v>77</v>
      </c>
      <c r="O60" s="38" t="s">
        <v>47</v>
      </c>
      <c r="P60" s="38" t="s">
        <v>48</v>
      </c>
    </row>
    <row r="61" spans="2:16" ht="18.75" customHeight="1">
      <c r="B61" s="40" t="s">
        <v>242</v>
      </c>
      <c r="C61" s="40" t="s">
        <v>241</v>
      </c>
      <c r="D61" s="41" t="s">
        <v>80</v>
      </c>
      <c r="E61" s="42" t="s">
        <v>81</v>
      </c>
      <c r="F61" s="42">
        <v>4</v>
      </c>
      <c r="G61" s="41" t="s">
        <v>276</v>
      </c>
      <c r="H61" s="42" t="s">
        <v>118</v>
      </c>
      <c r="I61" s="43"/>
      <c r="J61" s="43"/>
      <c r="K61" s="43"/>
      <c r="L61" s="43"/>
      <c r="M61" s="43"/>
      <c r="N61" s="43"/>
      <c r="O61" s="44" t="s">
        <v>32</v>
      </c>
      <c r="P61" s="45" t="s">
        <v>101</v>
      </c>
    </row>
    <row r="62" spans="2:16" ht="18.75" customHeight="1">
      <c r="B62" s="40" t="s">
        <v>117</v>
      </c>
      <c r="C62" s="40" t="s">
        <v>105</v>
      </c>
      <c r="D62" s="41" t="s">
        <v>80</v>
      </c>
      <c r="E62" s="42" t="s">
        <v>81</v>
      </c>
      <c r="F62" s="42">
        <v>4</v>
      </c>
      <c r="G62" s="41" t="s">
        <v>276</v>
      </c>
      <c r="H62" s="42" t="s">
        <v>118</v>
      </c>
      <c r="I62" s="43"/>
      <c r="J62" s="43"/>
      <c r="K62" s="43"/>
      <c r="L62" s="43"/>
      <c r="M62" s="43"/>
      <c r="N62" s="43"/>
      <c r="O62" s="44" t="s">
        <v>32</v>
      </c>
      <c r="P62" s="45" t="s">
        <v>101</v>
      </c>
    </row>
    <row r="63" spans="2:16" ht="18.75" customHeight="1">
      <c r="B63" s="40" t="s">
        <v>247</v>
      </c>
      <c r="C63" s="40" t="s">
        <v>243</v>
      </c>
      <c r="D63" s="41" t="s">
        <v>80</v>
      </c>
      <c r="E63" s="42" t="s">
        <v>81</v>
      </c>
      <c r="F63" s="42">
        <v>4</v>
      </c>
      <c r="G63" s="41" t="s">
        <v>276</v>
      </c>
      <c r="H63" s="42" t="s">
        <v>118</v>
      </c>
      <c r="I63" s="43"/>
      <c r="J63" s="43"/>
      <c r="K63" s="43"/>
      <c r="L63" s="43"/>
      <c r="M63" s="43"/>
      <c r="N63" s="43"/>
      <c r="O63" s="44" t="s">
        <v>32</v>
      </c>
      <c r="P63" s="45" t="s">
        <v>101</v>
      </c>
    </row>
    <row r="64" spans="2:16" ht="18.75" customHeight="1">
      <c r="B64" s="40" t="s">
        <v>248</v>
      </c>
      <c r="C64" s="40" t="s">
        <v>244</v>
      </c>
      <c r="D64" s="41" t="s">
        <v>80</v>
      </c>
      <c r="E64" s="42" t="s">
        <v>81</v>
      </c>
      <c r="F64" s="42">
        <v>4</v>
      </c>
      <c r="G64" s="41" t="s">
        <v>276</v>
      </c>
      <c r="H64" s="42" t="s">
        <v>118</v>
      </c>
      <c r="I64" s="43"/>
      <c r="J64" s="43"/>
      <c r="K64" s="43"/>
      <c r="L64" s="43"/>
      <c r="M64" s="43"/>
      <c r="N64" s="43"/>
      <c r="O64" s="44" t="s">
        <v>32</v>
      </c>
      <c r="P64" s="45" t="s">
        <v>101</v>
      </c>
    </row>
    <row r="65" spans="2:16" ht="18.75" customHeight="1">
      <c r="B65" s="40" t="s">
        <v>119</v>
      </c>
      <c r="C65" s="40" t="s">
        <v>108</v>
      </c>
      <c r="D65" s="41" t="s">
        <v>80</v>
      </c>
      <c r="E65" s="42" t="s">
        <v>81</v>
      </c>
      <c r="F65" s="42">
        <v>4</v>
      </c>
      <c r="G65" s="41" t="s">
        <v>276</v>
      </c>
      <c r="H65" s="42" t="s">
        <v>118</v>
      </c>
      <c r="I65" s="43"/>
      <c r="J65" s="43"/>
      <c r="K65" s="43"/>
      <c r="L65" s="43"/>
      <c r="M65" s="43"/>
      <c r="N65" s="43"/>
      <c r="O65" s="44" t="s">
        <v>32</v>
      </c>
      <c r="P65" s="45" t="s">
        <v>101</v>
      </c>
    </row>
    <row r="66" spans="2:16" ht="18.75" customHeight="1">
      <c r="B66" s="40" t="s">
        <v>120</v>
      </c>
      <c r="C66" s="40" t="s">
        <v>110</v>
      </c>
      <c r="D66" s="41" t="s">
        <v>80</v>
      </c>
      <c r="E66" s="42" t="s">
        <v>81</v>
      </c>
      <c r="F66" s="42">
        <v>4</v>
      </c>
      <c r="G66" s="41" t="s">
        <v>276</v>
      </c>
      <c r="H66" s="42" t="s">
        <v>118</v>
      </c>
      <c r="I66" s="43"/>
      <c r="J66" s="43"/>
      <c r="K66" s="43"/>
      <c r="L66" s="43"/>
      <c r="M66" s="43"/>
      <c r="N66" s="43"/>
      <c r="O66" s="44" t="s">
        <v>32</v>
      </c>
      <c r="P66" s="45" t="s">
        <v>101</v>
      </c>
    </row>
    <row r="67" spans="2:16" ht="18.75" customHeight="1">
      <c r="B67" s="40" t="s">
        <v>249</v>
      </c>
      <c r="C67" s="40" t="s">
        <v>245</v>
      </c>
      <c r="D67" s="41" t="s">
        <v>80</v>
      </c>
      <c r="E67" s="42" t="s">
        <v>81</v>
      </c>
      <c r="F67" s="42">
        <v>4</v>
      </c>
      <c r="G67" s="41" t="s">
        <v>276</v>
      </c>
      <c r="H67" s="42" t="s">
        <v>118</v>
      </c>
      <c r="I67" s="43"/>
      <c r="J67" s="43"/>
      <c r="K67" s="43"/>
      <c r="L67" s="43"/>
      <c r="M67" s="43"/>
      <c r="N67" s="43"/>
      <c r="O67" s="44" t="s">
        <v>32</v>
      </c>
      <c r="P67" s="45" t="s">
        <v>101</v>
      </c>
    </row>
    <row r="68" spans="2:16" ht="18.75" customHeight="1">
      <c r="B68" s="40" t="s">
        <v>250</v>
      </c>
      <c r="C68" s="40" t="s">
        <v>246</v>
      </c>
      <c r="D68" s="41" t="s">
        <v>80</v>
      </c>
      <c r="E68" s="42" t="s">
        <v>81</v>
      </c>
      <c r="F68" s="42">
        <v>4</v>
      </c>
      <c r="G68" s="41" t="s">
        <v>276</v>
      </c>
      <c r="H68" s="42" t="s">
        <v>118</v>
      </c>
      <c r="I68" s="43"/>
      <c r="J68" s="43"/>
      <c r="K68" s="43"/>
      <c r="L68" s="43"/>
      <c r="M68" s="43"/>
      <c r="N68" s="43"/>
      <c r="O68" s="44" t="s">
        <v>32</v>
      </c>
      <c r="P68" s="45" t="s">
        <v>101</v>
      </c>
    </row>
    <row r="69" spans="2:16" ht="18.75" customHeight="1">
      <c r="B69" s="40" t="s">
        <v>121</v>
      </c>
      <c r="C69" s="40" t="s">
        <v>116</v>
      </c>
      <c r="D69" s="41" t="s">
        <v>80</v>
      </c>
      <c r="E69" s="42" t="s">
        <v>81</v>
      </c>
      <c r="F69" s="42">
        <v>4</v>
      </c>
      <c r="G69" s="41" t="s">
        <v>276</v>
      </c>
      <c r="H69" s="42" t="s">
        <v>118</v>
      </c>
      <c r="I69" s="43"/>
      <c r="J69" s="43"/>
      <c r="K69" s="43"/>
      <c r="L69" s="43"/>
      <c r="M69" s="43"/>
      <c r="N69" s="43"/>
      <c r="O69" s="44" t="s">
        <v>32</v>
      </c>
      <c r="P69" s="45" t="s">
        <v>101</v>
      </c>
    </row>
    <row r="70" spans="2:16" ht="16.5" customHeight="1">
      <c r="B70" s="75" t="s">
        <v>279</v>
      </c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</row>
    <row r="71" spans="2:16" ht="33.75" customHeight="1">
      <c r="B71" s="38" t="s">
        <v>66</v>
      </c>
      <c r="C71" s="38" t="s">
        <v>67</v>
      </c>
      <c r="D71" s="38" t="s">
        <v>68</v>
      </c>
      <c r="E71" s="38" t="s">
        <v>69</v>
      </c>
      <c r="F71" s="38" t="s">
        <v>38</v>
      </c>
      <c r="G71" s="38" t="s">
        <v>70</v>
      </c>
      <c r="H71" s="38" t="s">
        <v>71</v>
      </c>
      <c r="I71" s="39" t="s">
        <v>72</v>
      </c>
      <c r="J71" s="38" t="s">
        <v>73</v>
      </c>
      <c r="K71" s="39" t="s">
        <v>74</v>
      </c>
      <c r="L71" s="39" t="s">
        <v>75</v>
      </c>
      <c r="M71" s="39" t="s">
        <v>76</v>
      </c>
      <c r="N71" s="39" t="s">
        <v>77</v>
      </c>
      <c r="O71" s="38" t="s">
        <v>47</v>
      </c>
      <c r="P71" s="38" t="s">
        <v>48</v>
      </c>
    </row>
    <row r="72" spans="2:16" ht="18.75" customHeight="1">
      <c r="B72" s="40" t="s">
        <v>251</v>
      </c>
      <c r="C72" s="40" t="s">
        <v>241</v>
      </c>
      <c r="D72" s="41" t="s">
        <v>122</v>
      </c>
      <c r="E72" s="42" t="s">
        <v>81</v>
      </c>
      <c r="F72" s="42">
        <v>4</v>
      </c>
      <c r="G72" s="41" t="s">
        <v>277</v>
      </c>
      <c r="H72" s="42" t="s">
        <v>118</v>
      </c>
      <c r="I72" s="43"/>
      <c r="J72" s="43"/>
      <c r="K72" s="43"/>
      <c r="L72" s="43"/>
      <c r="M72" s="43"/>
      <c r="N72" s="43"/>
      <c r="O72" s="44" t="s">
        <v>32</v>
      </c>
      <c r="P72" s="45" t="s">
        <v>101</v>
      </c>
    </row>
    <row r="73" spans="2:16" ht="18.75" customHeight="1">
      <c r="B73" s="40" t="s">
        <v>252</v>
      </c>
      <c r="C73" s="40" t="s">
        <v>258</v>
      </c>
      <c r="D73" s="41" t="s">
        <v>122</v>
      </c>
      <c r="E73" s="42" t="s">
        <v>81</v>
      </c>
      <c r="F73" s="42">
        <v>4</v>
      </c>
      <c r="G73" s="41" t="s">
        <v>277</v>
      </c>
      <c r="H73" s="42" t="s">
        <v>118</v>
      </c>
      <c r="I73" s="43"/>
      <c r="J73" s="43"/>
      <c r="K73" s="43"/>
      <c r="L73" s="43"/>
      <c r="M73" s="43"/>
      <c r="N73" s="43"/>
      <c r="O73" s="44" t="s">
        <v>32</v>
      </c>
      <c r="P73" s="45" t="s">
        <v>101</v>
      </c>
    </row>
    <row r="74" spans="2:16" ht="18.75" customHeight="1">
      <c r="B74" s="40" t="s">
        <v>253</v>
      </c>
      <c r="C74" s="40" t="s">
        <v>243</v>
      </c>
      <c r="D74" s="41" t="s">
        <v>122</v>
      </c>
      <c r="E74" s="42" t="s">
        <v>81</v>
      </c>
      <c r="F74" s="42">
        <v>4</v>
      </c>
      <c r="G74" s="41" t="s">
        <v>277</v>
      </c>
      <c r="H74" s="42" t="s">
        <v>118</v>
      </c>
      <c r="I74" s="43"/>
      <c r="J74" s="43"/>
      <c r="K74" s="43"/>
      <c r="L74" s="43"/>
      <c r="M74" s="43"/>
      <c r="N74" s="43"/>
      <c r="O74" s="44" t="s">
        <v>32</v>
      </c>
      <c r="P74" s="45" t="s">
        <v>101</v>
      </c>
    </row>
    <row r="75" spans="2:16" ht="18.75" customHeight="1">
      <c r="B75" s="40" t="s">
        <v>254</v>
      </c>
      <c r="C75" s="40" t="s">
        <v>244</v>
      </c>
      <c r="D75" s="41" t="s">
        <v>122</v>
      </c>
      <c r="E75" s="42" t="s">
        <v>81</v>
      </c>
      <c r="F75" s="42">
        <v>4</v>
      </c>
      <c r="G75" s="41" t="s">
        <v>277</v>
      </c>
      <c r="H75" s="42" t="s">
        <v>118</v>
      </c>
      <c r="I75" s="43"/>
      <c r="J75" s="43"/>
      <c r="K75" s="43"/>
      <c r="L75" s="43"/>
      <c r="M75" s="43"/>
      <c r="N75" s="43"/>
      <c r="O75" s="44" t="s">
        <v>32</v>
      </c>
      <c r="P75" s="45" t="s">
        <v>101</v>
      </c>
    </row>
    <row r="76" spans="2:16" ht="18.75" customHeight="1">
      <c r="B76" s="40" t="s">
        <v>255</v>
      </c>
      <c r="C76" s="40" t="s">
        <v>259</v>
      </c>
      <c r="D76" s="41" t="s">
        <v>122</v>
      </c>
      <c r="E76" s="42" t="s">
        <v>81</v>
      </c>
      <c r="F76" s="42">
        <v>4</v>
      </c>
      <c r="G76" s="41" t="s">
        <v>277</v>
      </c>
      <c r="H76" s="42" t="s">
        <v>118</v>
      </c>
      <c r="I76" s="43"/>
      <c r="J76" s="43"/>
      <c r="K76" s="43"/>
      <c r="L76" s="43"/>
      <c r="M76" s="43"/>
      <c r="N76" s="43"/>
      <c r="O76" s="44" t="s">
        <v>32</v>
      </c>
      <c r="P76" s="45" t="s">
        <v>101</v>
      </c>
    </row>
    <row r="77" spans="2:16" ht="18.75" customHeight="1">
      <c r="B77" s="40" t="s">
        <v>256</v>
      </c>
      <c r="C77" s="40" t="s">
        <v>260</v>
      </c>
      <c r="D77" s="41" t="s">
        <v>122</v>
      </c>
      <c r="E77" s="42" t="s">
        <v>81</v>
      </c>
      <c r="F77" s="42">
        <v>4</v>
      </c>
      <c r="G77" s="41" t="s">
        <v>277</v>
      </c>
      <c r="H77" s="42" t="s">
        <v>118</v>
      </c>
      <c r="I77" s="43"/>
      <c r="J77" s="43"/>
      <c r="K77" s="43"/>
      <c r="L77" s="43"/>
      <c r="M77" s="43"/>
      <c r="N77" s="43"/>
      <c r="O77" s="44" t="s">
        <v>32</v>
      </c>
      <c r="P77" s="45" t="s">
        <v>101</v>
      </c>
    </row>
    <row r="78" spans="2:16" ht="18.75" customHeight="1">
      <c r="B78" s="40" t="s">
        <v>257</v>
      </c>
      <c r="C78" s="40" t="s">
        <v>245</v>
      </c>
      <c r="D78" s="41" t="s">
        <v>122</v>
      </c>
      <c r="E78" s="42" t="s">
        <v>81</v>
      </c>
      <c r="F78" s="42">
        <v>4</v>
      </c>
      <c r="G78" s="41" t="s">
        <v>277</v>
      </c>
      <c r="H78" s="42" t="s">
        <v>118</v>
      </c>
      <c r="I78" s="43"/>
      <c r="J78" s="43"/>
      <c r="K78" s="43"/>
      <c r="L78" s="43"/>
      <c r="M78" s="43"/>
      <c r="N78" s="43"/>
      <c r="O78" s="44" t="s">
        <v>32</v>
      </c>
      <c r="P78" s="45" t="s">
        <v>101</v>
      </c>
    </row>
    <row r="79" spans="2:16" ht="18.75" customHeight="1">
      <c r="B79" s="40" t="s">
        <v>123</v>
      </c>
      <c r="C79" s="40" t="s">
        <v>246</v>
      </c>
      <c r="D79" s="41" t="s">
        <v>122</v>
      </c>
      <c r="E79" s="42" t="s">
        <v>81</v>
      </c>
      <c r="F79" s="42">
        <v>4</v>
      </c>
      <c r="G79" s="41" t="s">
        <v>277</v>
      </c>
      <c r="H79" s="42" t="s">
        <v>118</v>
      </c>
      <c r="I79" s="43"/>
      <c r="J79" s="43"/>
      <c r="K79" s="43"/>
      <c r="L79" s="43"/>
      <c r="M79" s="43"/>
      <c r="N79" s="43"/>
      <c r="O79" s="44" t="s">
        <v>32</v>
      </c>
      <c r="P79" s="45" t="s">
        <v>101</v>
      </c>
    </row>
    <row r="80" spans="2:16" ht="18.75" customHeight="1">
      <c r="B80" s="40" t="s">
        <v>124</v>
      </c>
      <c r="C80" s="40" t="s">
        <v>116</v>
      </c>
      <c r="D80" s="41" t="s">
        <v>122</v>
      </c>
      <c r="E80" s="42" t="s">
        <v>81</v>
      </c>
      <c r="F80" s="42">
        <v>4</v>
      </c>
      <c r="G80" s="41" t="s">
        <v>277</v>
      </c>
      <c r="H80" s="42" t="s">
        <v>118</v>
      </c>
      <c r="I80" s="43"/>
      <c r="J80" s="43"/>
      <c r="K80" s="43"/>
      <c r="L80" s="43"/>
      <c r="M80" s="43"/>
      <c r="N80" s="43"/>
      <c r="O80" s="44" t="s">
        <v>32</v>
      </c>
      <c r="P80" s="45" t="s">
        <v>101</v>
      </c>
    </row>
    <row r="81" spans="2:16" ht="19.5" customHeight="1">
      <c r="B81" s="72" t="s">
        <v>125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</row>
  </sheetData>
  <mergeCells count="12">
    <mergeCell ref="B2:P2"/>
    <mergeCell ref="B3:P3"/>
    <mergeCell ref="B5:P5"/>
    <mergeCell ref="B10:P10"/>
    <mergeCell ref="B14:P14"/>
    <mergeCell ref="B15:P15"/>
    <mergeCell ref="B59:P59"/>
    <mergeCell ref="B70:P70"/>
    <mergeCell ref="B81:P81"/>
    <mergeCell ref="B37:P37"/>
    <mergeCell ref="B48:P48"/>
    <mergeCell ref="B26:P26"/>
  </mergeCells>
  <phoneticPr fontId="4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2"/>
  <sheetViews>
    <sheetView showGridLines="0" zoomScaleNormal="100" workbookViewId="0"/>
  </sheetViews>
  <sheetFormatPr defaultColWidth="8.7109375" defaultRowHeight="15"/>
  <cols>
    <col min="1" max="1" width="4" style="1" customWidth="1"/>
    <col min="2" max="2" width="22" style="1" customWidth="1"/>
    <col min="3" max="7" width="18" style="1" customWidth="1"/>
  </cols>
  <sheetData>
    <row r="2" spans="2:5" ht="24" customHeight="1">
      <c r="B2" s="86" t="s">
        <v>169</v>
      </c>
      <c r="C2" s="86"/>
      <c r="D2" s="86"/>
      <c r="E2" s="86"/>
    </row>
    <row r="4" spans="2:5" ht="15" customHeight="1">
      <c r="B4" s="2" t="s">
        <v>47</v>
      </c>
      <c r="C4" s="2" t="s">
        <v>170</v>
      </c>
      <c r="D4" s="2" t="s">
        <v>171</v>
      </c>
      <c r="E4" s="2" t="s">
        <v>172</v>
      </c>
    </row>
    <row r="5" spans="2:5" ht="19.5" customHeight="1">
      <c r="B5" s="50" t="s">
        <v>23</v>
      </c>
      <c r="C5" s="51" t="s">
        <v>173</v>
      </c>
      <c r="D5" s="51" t="s">
        <v>174</v>
      </c>
      <c r="E5" s="52"/>
    </row>
    <row r="6" spans="2:5" ht="19.5" customHeight="1">
      <c r="B6" s="50" t="s">
        <v>26</v>
      </c>
      <c r="C6" s="51" t="s">
        <v>175</v>
      </c>
      <c r="D6" s="51" t="s">
        <v>176</v>
      </c>
      <c r="E6" s="52"/>
    </row>
    <row r="7" spans="2:5" ht="19.5" customHeight="1">
      <c r="B7" s="53" t="s">
        <v>29</v>
      </c>
      <c r="C7" s="14" t="s">
        <v>177</v>
      </c>
      <c r="D7" s="14" t="s">
        <v>178</v>
      </c>
      <c r="E7" s="54"/>
    </row>
    <row r="8" spans="2:5" ht="19.5" customHeight="1">
      <c r="B8" s="55" t="s">
        <v>32</v>
      </c>
      <c r="C8" s="49" t="s">
        <v>179</v>
      </c>
      <c r="D8" s="49" t="s">
        <v>180</v>
      </c>
      <c r="E8" s="56"/>
    </row>
    <row r="11" spans="2:5" ht="19.5" customHeight="1">
      <c r="B11" s="83" t="s">
        <v>181</v>
      </c>
      <c r="C11" s="83"/>
      <c r="D11" s="83"/>
      <c r="E11" s="83"/>
    </row>
    <row r="12" spans="2:5" ht="15" customHeight="1">
      <c r="B12" s="2" t="s">
        <v>182</v>
      </c>
      <c r="C12" s="2" t="s">
        <v>183</v>
      </c>
      <c r="D12" s="2" t="s">
        <v>184</v>
      </c>
      <c r="E12" s="2"/>
    </row>
    <row r="13" spans="2:5" ht="18" customHeight="1">
      <c r="B13" s="57" t="s">
        <v>185</v>
      </c>
      <c r="C13" s="58" t="s">
        <v>186</v>
      </c>
      <c r="D13" s="58" t="s">
        <v>187</v>
      </c>
      <c r="E13" s="58"/>
    </row>
    <row r="14" spans="2:5" ht="18" customHeight="1">
      <c r="B14" s="57" t="s">
        <v>188</v>
      </c>
      <c r="C14" s="58" t="s">
        <v>189</v>
      </c>
      <c r="D14" s="58" t="s">
        <v>190</v>
      </c>
      <c r="E14" s="58"/>
    </row>
    <row r="15" spans="2:5" ht="18" customHeight="1">
      <c r="B15" s="57" t="s">
        <v>191</v>
      </c>
      <c r="C15" s="58" t="s">
        <v>192</v>
      </c>
      <c r="D15" s="58" t="s">
        <v>193</v>
      </c>
      <c r="E15" s="58"/>
    </row>
    <row r="16" spans="2:5" ht="18" customHeight="1">
      <c r="B16" s="57" t="s">
        <v>194</v>
      </c>
      <c r="C16" s="58" t="s">
        <v>195</v>
      </c>
      <c r="D16" s="58" t="s">
        <v>196</v>
      </c>
      <c r="E16" s="58"/>
    </row>
    <row r="19" spans="2:7" ht="25.5" customHeight="1">
      <c r="B19" s="87" t="s">
        <v>197</v>
      </c>
      <c r="C19" s="87"/>
      <c r="D19" s="87"/>
      <c r="E19" s="87"/>
      <c r="F19" s="87"/>
      <c r="G19" s="87"/>
    </row>
    <row r="20" spans="2:7" ht="13.5" customHeight="1">
      <c r="B20" s="88" t="s">
        <v>198</v>
      </c>
      <c r="C20" s="88"/>
      <c r="D20" s="88"/>
      <c r="E20" s="88"/>
      <c r="F20" s="88"/>
      <c r="G20" s="88"/>
    </row>
    <row r="21" spans="2:7" ht="19.5" customHeight="1">
      <c r="B21" s="83" t="s">
        <v>199</v>
      </c>
      <c r="C21" s="83"/>
      <c r="D21" s="83"/>
      <c r="E21" s="83"/>
      <c r="F21" s="83"/>
      <c r="G21" s="83"/>
    </row>
    <row r="22" spans="2:7" ht="18" customHeight="1">
      <c r="B22" s="59" t="s">
        <v>200</v>
      </c>
      <c r="C22" s="59" t="s">
        <v>201</v>
      </c>
      <c r="D22" s="59" t="s">
        <v>202</v>
      </c>
      <c r="E22" s="59" t="s">
        <v>203</v>
      </c>
      <c r="F22" s="59" t="s">
        <v>202</v>
      </c>
      <c r="G22" s="59" t="s">
        <v>204</v>
      </c>
    </row>
    <row r="23" spans="2:7" ht="27.75" customHeight="1">
      <c r="B23" s="60" t="s">
        <v>205</v>
      </c>
      <c r="C23" s="61">
        <v>200</v>
      </c>
      <c r="D23" s="62" t="s">
        <v>206</v>
      </c>
      <c r="E23" s="61">
        <v>10</v>
      </c>
      <c r="F23" s="62" t="s">
        <v>207</v>
      </c>
      <c r="G23" s="63">
        <f>ROUND(1000*C23/(PI()*E23),0)</f>
        <v>6366</v>
      </c>
    </row>
    <row r="24" spans="2:7" ht="12.75" customHeight="1">
      <c r="B24" s="64"/>
      <c r="C24" s="64" t="s">
        <v>208</v>
      </c>
      <c r="D24" s="64"/>
      <c r="E24" s="64" t="s">
        <v>209</v>
      </c>
      <c r="F24" s="64"/>
      <c r="G24" s="64" t="s">
        <v>210</v>
      </c>
    </row>
    <row r="26" spans="2:7" ht="19.5" customHeight="1">
      <c r="B26" s="83" t="s">
        <v>211</v>
      </c>
      <c r="C26" s="83"/>
      <c r="D26" s="83"/>
      <c r="E26" s="83"/>
      <c r="F26" s="83"/>
      <c r="G26" s="83"/>
    </row>
    <row r="27" spans="2:7" ht="18" customHeight="1">
      <c r="B27" s="59" t="s">
        <v>200</v>
      </c>
      <c r="C27" s="59" t="s">
        <v>212</v>
      </c>
      <c r="D27" s="59" t="s">
        <v>202</v>
      </c>
      <c r="E27" s="59" t="s">
        <v>213</v>
      </c>
      <c r="F27" s="59" t="s">
        <v>214</v>
      </c>
      <c r="G27" s="59" t="s">
        <v>215</v>
      </c>
    </row>
    <row r="28" spans="2:7" ht="27.75" customHeight="1">
      <c r="B28" s="60" t="s">
        <v>205</v>
      </c>
      <c r="C28" s="61">
        <v>6366</v>
      </c>
      <c r="D28" s="62" t="s">
        <v>72</v>
      </c>
      <c r="E28" s="61">
        <v>0.15</v>
      </c>
      <c r="F28" s="61">
        <v>4</v>
      </c>
      <c r="G28" s="63">
        <f>ROUND(C28*E28*F28,1)</f>
        <v>3819.6</v>
      </c>
    </row>
    <row r="29" spans="2:7" ht="12.75" customHeight="1">
      <c r="B29" s="64"/>
      <c r="C29" s="64" t="s">
        <v>216</v>
      </c>
      <c r="D29" s="64"/>
      <c r="E29" s="64" t="s">
        <v>217</v>
      </c>
      <c r="F29" s="64" t="s">
        <v>218</v>
      </c>
      <c r="G29" s="64" t="s">
        <v>219</v>
      </c>
    </row>
    <row r="31" spans="2:7" ht="19.5" customHeight="1">
      <c r="B31" s="83" t="s">
        <v>220</v>
      </c>
      <c r="C31" s="83"/>
      <c r="D31" s="83"/>
      <c r="E31" s="83"/>
      <c r="F31" s="83"/>
      <c r="G31" s="83"/>
    </row>
    <row r="32" spans="2:7" ht="13.5" customHeight="1">
      <c r="B32" s="84" t="s">
        <v>221</v>
      </c>
      <c r="C32" s="84"/>
      <c r="D32" s="84"/>
      <c r="E32" s="84"/>
      <c r="F32" s="84"/>
      <c r="G32" s="84"/>
    </row>
    <row r="33" spans="2:7" ht="18" customHeight="1">
      <c r="B33" s="59" t="s">
        <v>200</v>
      </c>
      <c r="C33" s="59" t="s">
        <v>222</v>
      </c>
      <c r="D33" s="65" t="s">
        <v>223</v>
      </c>
      <c r="E33" s="59" t="s">
        <v>224</v>
      </c>
      <c r="F33" s="65" t="s">
        <v>225</v>
      </c>
      <c r="G33" s="59" t="s">
        <v>226</v>
      </c>
    </row>
    <row r="34" spans="2:7" ht="27.75" customHeight="1">
      <c r="B34" s="60" t="s">
        <v>205</v>
      </c>
      <c r="C34" s="61">
        <v>125</v>
      </c>
      <c r="D34" s="61">
        <v>3850</v>
      </c>
      <c r="E34" s="63">
        <f>ROUND(PI()*C34*D34/60000,2)</f>
        <v>25.2</v>
      </c>
      <c r="F34" s="61">
        <v>25</v>
      </c>
      <c r="G34" s="63">
        <f>ROUND(60000*F34/(PI()*C34),0)</f>
        <v>3820</v>
      </c>
    </row>
    <row r="35" spans="2:7" ht="12.75" customHeight="1">
      <c r="B35" s="64"/>
      <c r="C35" s="66" t="s">
        <v>227</v>
      </c>
      <c r="D35" s="64" t="s">
        <v>228</v>
      </c>
      <c r="E35" s="64" t="s">
        <v>229</v>
      </c>
      <c r="F35" s="64" t="s">
        <v>230</v>
      </c>
      <c r="G35" s="64" t="s">
        <v>210</v>
      </c>
    </row>
    <row r="36" spans="2:7" ht="15.75" customHeight="1">
      <c r="B36" s="85" t="s">
        <v>231</v>
      </c>
      <c r="C36" s="85"/>
      <c r="D36" s="85"/>
      <c r="E36" s="85"/>
      <c r="F36" s="85"/>
      <c r="G36" s="85"/>
    </row>
    <row r="38" spans="2:7" ht="19.5" customHeight="1">
      <c r="B38" s="83" t="s">
        <v>232</v>
      </c>
      <c r="C38" s="83"/>
      <c r="D38" s="83"/>
      <c r="E38" s="83"/>
      <c r="F38" s="83"/>
      <c r="G38" s="83"/>
    </row>
    <row r="39" spans="2:7" ht="18" customHeight="1">
      <c r="B39" s="59" t="s">
        <v>200</v>
      </c>
      <c r="C39" s="59" t="s">
        <v>233</v>
      </c>
      <c r="D39" s="59" t="s">
        <v>202</v>
      </c>
      <c r="E39" s="59" t="s">
        <v>234</v>
      </c>
      <c r="F39" s="59" t="s">
        <v>202</v>
      </c>
      <c r="G39" s="59" t="s">
        <v>235</v>
      </c>
    </row>
    <row r="40" spans="2:7" ht="27.75" customHeight="1">
      <c r="B40" s="60" t="s">
        <v>205</v>
      </c>
      <c r="C40" s="61">
        <v>500</v>
      </c>
      <c r="D40" s="62" t="s">
        <v>236</v>
      </c>
      <c r="E40" s="61">
        <v>0.3</v>
      </c>
      <c r="F40" s="62" t="s">
        <v>207</v>
      </c>
      <c r="G40" s="63">
        <f>ROUND(C40*E40/1000,2)</f>
        <v>0.15</v>
      </c>
    </row>
    <row r="41" spans="2:7" ht="12.75" customHeight="1">
      <c r="B41" s="66"/>
      <c r="C41" s="64" t="s">
        <v>237</v>
      </c>
      <c r="D41" s="66"/>
      <c r="E41" s="64" t="s">
        <v>238</v>
      </c>
      <c r="F41" s="66"/>
      <c r="G41" s="64" t="s">
        <v>239</v>
      </c>
    </row>
    <row r="42" spans="2:7" ht="13.5" customHeight="1">
      <c r="B42" s="82" t="s">
        <v>240</v>
      </c>
      <c r="C42" s="82"/>
      <c r="D42" s="82"/>
      <c r="E42" s="82"/>
      <c r="F42" s="82"/>
      <c r="G42" s="82"/>
    </row>
  </sheetData>
  <mergeCells count="11">
    <mergeCell ref="B2:E2"/>
    <mergeCell ref="B11:E11"/>
    <mergeCell ref="B19:G19"/>
    <mergeCell ref="B20:G20"/>
    <mergeCell ref="B21:G21"/>
    <mergeCell ref="B42:G42"/>
    <mergeCell ref="B26:G26"/>
    <mergeCell ref="B31:G31"/>
    <mergeCell ref="B32:G32"/>
    <mergeCell ref="B36:G36"/>
    <mergeCell ref="B38:G38"/>
  </mergeCells>
  <phoneticPr fontId="4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📋 INDEX</vt:lpstr>
      <vt:lpstr>① MCT_S45C</vt:lpstr>
      <vt:lpstr>② MCT_Al</vt:lpstr>
      <vt:lpstr>③ GRIND_조건</vt:lpstr>
      <vt:lpstr>④ 신뢰도_범례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TOOLKOREA</cp:lastModifiedBy>
  <cp:revision>0</cp:revision>
  <dcterms:created xsi:type="dcterms:W3CDTF">2026-05-28T01:21:51Z</dcterms:created>
  <dcterms:modified xsi:type="dcterms:W3CDTF">2026-05-28T06:48:07Z</dcterms:modified>
  <dc:language>en-US</dc:language>
</cp:coreProperties>
</file>