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테스트보고서" sheetId="1" state="visible" r:id="rId1"/>
    <sheet xmlns:r="http://schemas.openxmlformats.org/officeDocument/2006/relationships" name="양식 설계 노트" sheetId="2" state="visible" r:id="rId2"/>
    <sheet xmlns:r="http://schemas.openxmlformats.org/officeDocument/2006/relationships" name="치수측정비교" sheetId="3" state="visible" r:id="rId3"/>
    <sheet xmlns:r="http://schemas.openxmlformats.org/officeDocument/2006/relationships" name="도입검토평가" sheetId="4" state="visible" r:id="rId4"/>
  </sheets>
  <definedNames>
    <definedName name="_xlnm.Print_Area" localSheetId="0">'테스트보고서'!$A$1:$H$72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"/>
    <numFmt numFmtId="166" formatCode="0.0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theme="1"/>
      <sz val="12"/>
    </font>
    <font>
      <name val="Noto Sans CJK SC"/>
      <charset val="1"/>
      <family val="2"/>
      <b val="1"/>
      <color rgb="FFFFFFFF"/>
      <sz val="22"/>
    </font>
    <font>
      <name val="맑은 고딕"/>
      <charset val="1"/>
      <family val="0"/>
      <i val="1"/>
      <color rgb="FF404040"/>
      <sz val="13"/>
    </font>
    <font>
      <name val="Noto Sans CJK SC"/>
      <family val="2"/>
      <i val="1"/>
      <color rgb="FF404040"/>
      <sz val="13"/>
    </font>
    <font>
      <name val="Noto Sans CJK SC"/>
      <charset val="1"/>
      <family val="2"/>
      <b val="1"/>
      <color rgb="FFFFFFFF"/>
      <sz val="15"/>
    </font>
    <font>
      <name val="Noto Sans CJK SC"/>
      <charset val="1"/>
      <family val="2"/>
      <b val="1"/>
      <color rgb="FF000000"/>
      <sz val="13"/>
    </font>
    <font>
      <name val="맑은 고딕"/>
      <charset val="129"/>
      <family val="3"/>
      <sz val="12"/>
    </font>
    <font>
      <name val="Noto Sans CJK SC"/>
      <charset val="1"/>
      <family val="2"/>
      <sz val="13"/>
    </font>
    <font>
      <name val="Noto Sans CJK SC"/>
      <charset val="1"/>
      <family val="2"/>
      <color rgb="FF000000"/>
      <sz val="13"/>
    </font>
    <font>
      <name val="맑은 고딕"/>
      <charset val="129"/>
      <family val="3"/>
      <color rgb="FF0000FF"/>
      <sz val="12"/>
    </font>
    <font>
      <name val="Noto Sans CJK SC"/>
      <charset val="1"/>
      <family val="2"/>
      <b val="1"/>
      <sz val="13"/>
    </font>
    <font>
      <name val="맑은 고딕"/>
      <charset val="1"/>
      <family val="0"/>
      <color rgb="FF000000"/>
      <sz val="13"/>
    </font>
    <font>
      <name val="Noto Sans CJK SC"/>
      <charset val="1"/>
      <family val="2"/>
      <i val="1"/>
      <color rgb="FF808080"/>
      <sz val="13"/>
    </font>
    <font>
      <name val="맑은 고딕"/>
      <charset val="1"/>
      <family val="0"/>
      <b val="1"/>
      <color rgb="FF000000"/>
      <sz val="13"/>
    </font>
    <font>
      <name val="Noto Sans CJK SC"/>
      <family val="2"/>
      <b val="1"/>
      <color rgb="FF000000"/>
      <sz val="13"/>
    </font>
    <font>
      <name val="맑은 고딕"/>
      <charset val="1"/>
      <family val="0"/>
      <b val="1"/>
      <sz val="13"/>
    </font>
    <font>
      <name val="Noto Sans CJK SC"/>
      <family val="2"/>
      <color rgb="FF000000"/>
      <sz val="13"/>
    </font>
    <font>
      <name val="맑은 고딕"/>
      <charset val="1"/>
      <family val="0"/>
      <i val="1"/>
      <color rgb="FF808080"/>
      <sz val="13"/>
    </font>
    <font>
      <name val="Noto Sans CJK SC"/>
      <family val="2"/>
      <i val="1"/>
      <color rgb="FF808080"/>
      <sz val="13"/>
    </font>
    <font>
      <name val="Noto Sans CJK SC"/>
      <charset val="1"/>
      <family val="2"/>
      <b val="1"/>
      <sz val="14"/>
    </font>
    <font>
      <name val="Noto Sans CJK SC"/>
      <charset val="1"/>
      <family val="2"/>
      <sz val="12"/>
    </font>
    <font>
      <name val="맑은 고딕"/>
      <charset val="1"/>
      <family val="0"/>
      <sz val="12"/>
    </font>
    <font>
      <name val="Noto Sans CJK SC"/>
      <family val="2"/>
      <sz val="12"/>
    </font>
    <font>
      <name val="맑은 고딕"/>
      <charset val="1"/>
      <family val="0"/>
      <b val="1"/>
      <sz val="12"/>
    </font>
    <font>
      <name val="Noto Sans CJK SC"/>
      <family val="2"/>
      <b val="1"/>
      <sz val="12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i val="1"/>
      <color rgb="FF808080"/>
      <sz val="12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sz val="12"/>
    </font>
    <font>
      <name val="맑은 고딕"/>
      <charset val="1"/>
      <family val="0"/>
      <color theme="1"/>
      <sz val="12"/>
    </font>
    <font>
      <name val="Noto Sans CJK SC"/>
      <charset val="1"/>
      <family val="2"/>
      <color theme="1"/>
      <sz val="12"/>
    </font>
    <font>
      <name val="맑은 고딕"/>
      <b val="1"/>
      <color rgb="FFFFFFFF"/>
      <sz val="22"/>
    </font>
    <font>
      <name val="맑은 고딕"/>
      <color theme="1"/>
      <sz val="11"/>
    </font>
    <font>
      <name val="맑은 고딕"/>
      <b val="1"/>
      <color rgb="FFFFFFFF"/>
      <sz val="15"/>
    </font>
    <font>
      <name val="맑은 고딕"/>
      <b val="1"/>
      <color rgb="FF000000"/>
      <sz val="13"/>
    </font>
    <font>
      <name val="맑은 고딕"/>
      <sz val="13"/>
    </font>
    <font>
      <name val="맑은 고딕"/>
      <color rgb="FF000000"/>
      <sz val="13"/>
    </font>
    <font>
      <name val="맑은 고딕"/>
      <b val="1"/>
      <sz val="13"/>
    </font>
    <font>
      <name val="맑은 고딕"/>
      <i val="1"/>
      <color rgb="FF808080"/>
      <sz val="13"/>
    </font>
    <font>
      <name val="맑은 고딕"/>
      <b val="1"/>
      <sz val="14"/>
    </font>
    <font>
      <name val="맑은 고딕"/>
      <sz val="12"/>
    </font>
    <font>
      <name val="맑은 고딕"/>
      <b val="1"/>
      <color rgb="FFFFFFFF"/>
      <sz val="14"/>
    </font>
    <font>
      <name val="맑은 고딕"/>
      <i val="1"/>
      <color rgb="FF808080"/>
      <sz val="12"/>
    </font>
    <font>
      <name val="맑은 고딕"/>
      <b val="1"/>
      <color rgb="FFFFFFFF"/>
      <sz val="12"/>
    </font>
    <font>
      <name val="맑은 고딕"/>
      <b val="1"/>
      <sz val="12"/>
    </font>
    <font>
      <name val="맑은 고딕"/>
      <color theme="1"/>
      <sz val="12"/>
    </font>
  </fonts>
  <fills count="16">
    <fill>
      <patternFill/>
    </fill>
    <fill>
      <patternFill patternType="gray125"/>
    </fill>
    <fill>
      <patternFill patternType="solid">
        <fgColor rgb="FF1F3864"/>
        <bgColor rgb="FF2E2E2E"/>
      </patternFill>
    </fill>
    <fill>
      <patternFill patternType="solid">
        <fgColor rgb="FFD9D9D9"/>
        <bgColor rgb="FFF2F2F2"/>
      </patternFill>
    </fill>
    <fill>
      <patternFill patternType="solid">
        <fgColor rgb="FF2E75B6"/>
        <bgColor rgb="FF31859C"/>
      </patternFill>
    </fill>
    <fill>
      <patternFill patternType="solid">
        <fgColor rgb="FF548235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FF6600"/>
      </patternFill>
    </fill>
    <fill>
      <patternFill patternType="solid">
        <fgColor rgb="FF833C0C"/>
        <bgColor rgb="FF7F6000"/>
      </patternFill>
    </fill>
    <fill>
      <patternFill patternType="solid">
        <fgColor rgb="FF375623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3B3838"/>
        <bgColor rgb="FF404040"/>
      </patternFill>
    </fill>
    <fill>
      <patternFill patternType="solid">
        <fgColor rgb="FF2E2E2E"/>
        <bgColor rgb="FF3B3838"/>
      </patternFill>
    </fill>
    <fill>
      <patternFill patternType="solid">
        <fgColor rgb="FF31859C"/>
        <bgColor rgb="FF2E75B6"/>
      </patternFill>
    </fill>
    <fill>
      <patternFill patternType="solid">
        <fgColor rgb="FF7F6000"/>
        <bgColor rgb="FF833C0C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center"/>
    </xf>
    <xf numFmtId="2" fontId="15" fillId="7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17" fillId="0" borderId="1" applyAlignment="1" pivotButton="0" quotePrefix="0" xfId="0">
      <alignment horizontal="left" vertical="center" wrapText="1"/>
    </xf>
    <xf numFmtId="2" fontId="13" fillId="7" borderId="1" applyAlignment="1" pivotButton="0" quotePrefix="0" xfId="0">
      <alignment horizontal="center" vertical="center"/>
    </xf>
    <xf numFmtId="1" fontId="19" fillId="0" borderId="1" applyAlignment="1" pivotButton="0" quotePrefix="0" xfId="0">
      <alignment horizontal="center" vertical="bottom"/>
    </xf>
    <xf numFmtId="1" fontId="13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bottom"/>
    </xf>
    <xf numFmtId="165" fontId="19" fillId="0" borderId="1" applyAlignment="1" pivotButton="0" quotePrefix="0" xfId="0">
      <alignment horizontal="center" vertical="bottom"/>
    </xf>
    <xf numFmtId="2" fontId="19" fillId="0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27" fillId="0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bottom"/>
    </xf>
    <xf numFmtId="0" fontId="31" fillId="4" borderId="1" applyAlignment="1" pivotButton="0" quotePrefix="0" xfId="0">
      <alignment horizontal="left" vertical="center" indent="1"/>
    </xf>
    <xf numFmtId="0" fontId="32" fillId="0" borderId="1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31" fillId="14" borderId="1" applyAlignment="1" pivotButton="0" quotePrefix="0" xfId="0">
      <alignment horizontal="left" vertical="center" indent="1"/>
    </xf>
    <xf numFmtId="0" fontId="32" fillId="6" borderId="1" applyAlignment="1" pivotButton="0" quotePrefix="0" xfId="0">
      <alignment horizontal="center" vertical="bottom"/>
    </xf>
    <xf numFmtId="0" fontId="27" fillId="6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33" fillId="0" borderId="1" applyAlignment="1" pivotButton="0" quotePrefix="0" xfId="0">
      <alignment horizontal="general" vertical="bottom"/>
    </xf>
    <xf numFmtId="0" fontId="31" fillId="15" borderId="1" applyAlignment="1" pivotButton="0" quotePrefix="0" xfId="0">
      <alignment horizontal="left" vertical="center" indent="1"/>
    </xf>
    <xf numFmtId="0" fontId="32" fillId="6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8" fillId="8" borderId="1" applyAlignment="1" pivotButton="0" quotePrefix="0" xfId="0">
      <alignment horizontal="center" vertical="center"/>
    </xf>
    <xf numFmtId="2" fontId="15" fillId="7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17" fillId="0" borderId="1" applyAlignment="1" pivotButton="0" quotePrefix="0" xfId="0">
      <alignment horizontal="left" vertical="center" wrapText="1"/>
    </xf>
    <xf numFmtId="2" fontId="13" fillId="7" borderId="1" applyAlignment="1" pivotButton="0" quotePrefix="0" xfId="0">
      <alignment horizontal="center" vertical="center"/>
    </xf>
    <xf numFmtId="1" fontId="19" fillId="0" borderId="1" applyAlignment="1" pivotButton="0" quotePrefix="0" xfId="0">
      <alignment horizontal="center" vertical="bottom"/>
    </xf>
    <xf numFmtId="1" fontId="13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bottom"/>
    </xf>
    <xf numFmtId="165" fontId="19" fillId="0" borderId="1" applyAlignment="1" pivotButton="0" quotePrefix="0" xfId="0">
      <alignment horizontal="center" vertical="bottom"/>
    </xf>
    <xf numFmtId="2" fontId="19" fillId="0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wrapText="1"/>
    </xf>
    <xf numFmtId="0" fontId="8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  <xf numFmtId="0" fontId="27" fillId="0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general" vertical="bottom"/>
    </xf>
    <xf numFmtId="0" fontId="31" fillId="4" borderId="1" applyAlignment="1" pivotButton="0" quotePrefix="0" xfId="0">
      <alignment horizontal="left" vertical="center" indent="1"/>
    </xf>
    <xf numFmtId="0" fontId="32" fillId="0" borderId="1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31" fillId="14" borderId="1" applyAlignment="1" pivotButton="0" quotePrefix="0" xfId="0">
      <alignment horizontal="left" vertical="center" indent="1"/>
    </xf>
    <xf numFmtId="0" fontId="32" fillId="6" borderId="1" applyAlignment="1" pivotButton="0" quotePrefix="0" xfId="0">
      <alignment horizontal="center" vertical="bottom"/>
    </xf>
    <xf numFmtId="0" fontId="27" fillId="6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33" fillId="0" borderId="1" applyAlignment="1" pivotButton="0" quotePrefix="0" xfId="0">
      <alignment horizontal="general" vertical="bottom"/>
    </xf>
    <xf numFmtId="0" fontId="31" fillId="15" borderId="1" applyAlignment="1" pivotButton="0" quotePrefix="0" xfId="0">
      <alignment horizontal="left" vertical="center" indent="1"/>
    </xf>
    <xf numFmtId="0" fontId="32" fillId="6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35" fillId="2" borderId="1" applyAlignment="1" pivotButton="0" quotePrefix="0" xfId="0">
      <alignment horizontal="center" vertical="center" wrapText="1"/>
    </xf>
    <xf numFmtId="0" fontId="36" fillId="0" borderId="3" pivotButton="0" quotePrefix="0" xfId="0"/>
    <xf numFmtId="0" fontId="36" fillId="0" borderId="2" pivotButton="0" quotePrefix="0" xfId="0"/>
    <xf numFmtId="0" fontId="37" fillId="4" borderId="1" applyAlignment="1" pivotButton="0" quotePrefix="0" xfId="0">
      <alignment horizontal="left" vertical="center" inden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36" fillId="0" borderId="0" pivotButton="0" quotePrefix="0" xfId="0"/>
    <xf numFmtId="0" fontId="36" fillId="0" borderId="2" applyAlignment="1" pivotButton="0" quotePrefix="0" xfId="0">
      <alignment horizontal="general" vertical="bottom"/>
    </xf>
    <xf numFmtId="0" fontId="37" fillId="5" borderId="1" applyAlignment="1" pivotButton="0" quotePrefix="0" xfId="0">
      <alignment horizontal="left" vertical="center" indent="1"/>
    </xf>
    <xf numFmtId="0" fontId="38" fillId="6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center" vertical="center"/>
    </xf>
    <xf numFmtId="0" fontId="37" fillId="12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left" vertical="center" wrapText="1"/>
    </xf>
    <xf numFmtId="0" fontId="40" fillId="7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top" wrapText="1"/>
    </xf>
    <xf numFmtId="0" fontId="44" fillId="0" borderId="0" applyAlignment="1" pivotButton="0" quotePrefix="0" xfId="0">
      <alignment horizontal="general" vertical="top" wrapText="1"/>
    </xf>
    <xf numFmtId="0" fontId="44" fillId="0" borderId="0" applyAlignment="1" pivotButton="0" quotePrefix="0" xfId="0">
      <alignment horizontal="general" vertical="bottom"/>
    </xf>
    <xf numFmtId="0" fontId="45" fillId="2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general" vertical="bottom"/>
    </xf>
    <xf numFmtId="0" fontId="47" fillId="4" borderId="1" applyAlignment="1" pivotButton="0" quotePrefix="0" xfId="0">
      <alignment horizontal="left" vertical="center" indent="1"/>
    </xf>
    <xf numFmtId="0" fontId="48" fillId="0" borderId="1" applyAlignment="1" pivotButton="0" quotePrefix="0" xfId="0">
      <alignment horizontal="general" vertical="bottom"/>
    </xf>
    <xf numFmtId="0" fontId="47" fillId="14" borderId="1" applyAlignment="1" pivotButton="0" quotePrefix="0" xfId="0">
      <alignment horizontal="left" vertical="center" indent="1"/>
    </xf>
    <xf numFmtId="0" fontId="48" fillId="6" borderId="1" applyAlignment="1" pivotButton="0" quotePrefix="0" xfId="0">
      <alignment horizontal="center" vertical="bottom"/>
    </xf>
    <xf numFmtId="0" fontId="47" fillId="15" borderId="1" applyAlignment="1" pivotButton="0" quotePrefix="0" xfId="0">
      <alignment horizontal="left" vertical="center" indent="1"/>
    </xf>
    <xf numFmtId="0" fontId="48" fillId="6" borderId="1" applyAlignment="1" pivotButton="0" quotePrefix="0" xfId="0">
      <alignment horizontal="general" vertical="bottom"/>
    </xf>
    <xf numFmtId="0" fontId="4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48235"/>
      <rgbColor rgb="FF969696"/>
      <rgbColor rgb="FF1F3864"/>
      <rgbColor rgb="FF31859C"/>
      <rgbColor rgb="FF375623"/>
      <rgbColor rgb="FF3B3838"/>
      <rgbColor rgb="FF833C0C"/>
      <rgbColor rgb="FF993366"/>
      <rgbColor rgb="FF404040"/>
      <rgbColor rgb="FF2E2E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76"/>
  <sheetViews>
    <sheetView showFormulas="0" showGridLines="0" showRowColHeaders="1" showZeros="1" rightToLeft="0" tabSelected="1" showOutlineSymbols="1" defaultGridColor="1" view="normal" topLeftCell="A28" colorId="64" zoomScale="100" zoomScaleNormal="100" zoomScalePageLayoutView="100" workbookViewId="0">
      <selection pane="topLeft" activeCell="K37" activeCellId="0" sqref="K37"/>
    </sheetView>
  </sheetViews>
  <sheetFormatPr baseColWidth="8" defaultColWidth="8.71484375" defaultRowHeight="15" customHeight="0" zeroHeight="0" outlineLevelRow="0"/>
  <cols>
    <col width="2.42" customWidth="1" style="64" min="1" max="1"/>
    <col width="48.71" customWidth="1" style="64" min="2" max="2"/>
    <col width="20" customWidth="1" style="64" min="3" max="4"/>
    <col width="22" customWidth="1" style="64" min="5" max="5"/>
    <col width="19" customWidth="1" style="64" min="6" max="6"/>
    <col width="20" customWidth="1" style="64" min="7" max="7"/>
    <col width="2.42" customWidth="1" style="64" min="8" max="8"/>
  </cols>
  <sheetData>
    <row r="1" ht="30" customHeight="1" s="65">
      <c r="A1" s="66" t="n"/>
      <c r="B1" s="129" t="inlineStr">
        <is>
          <t>가공·연삭 테스트 보고서 (표준양식 v1.2)</t>
        </is>
      </c>
      <c r="C1" s="130" t="n"/>
      <c r="D1" s="130" t="n"/>
      <c r="E1" s="130" t="n"/>
      <c r="F1" s="130" t="n"/>
      <c r="G1" s="131" t="n"/>
    </row>
    <row r="2" ht="46" customHeight="1" s="65">
      <c r="A2" s="66" t="n"/>
      <c r="B2" s="70" t="inlineStr">
        <is>
          <t>TOOLKOREA cnc-wiki 표준 · CLAUDE.md §9 / test-record 스킬 정합 · 단가·금액 기재 금지 · ⚠️ 재현성 원칙: 대조군과 비교 시 변수는 1개만 변경(1회 1변수, Walter Graf 2011)</t>
        </is>
      </c>
      <c r="C2" s="130" t="n"/>
      <c r="D2" s="130" t="n"/>
      <c r="E2" s="130" t="n"/>
      <c r="F2" s="130" t="n"/>
      <c r="G2" s="131" t="n"/>
    </row>
    <row r="3" ht="17.25" customHeight="1" s="65">
      <c r="A3" s="66" t="n"/>
      <c r="B3" s="66" t="n"/>
      <c r="C3" s="66" t="n"/>
      <c r="D3" s="66" t="n"/>
      <c r="E3" s="66" t="n"/>
      <c r="F3" s="66" t="n"/>
      <c r="G3" s="66" t="n"/>
    </row>
    <row r="4" ht="21" customHeight="1" s="65">
      <c r="A4" s="66" t="n"/>
      <c r="B4" s="132" t="inlineStr">
        <is>
          <t>① 기본 정보 — 테스트 목적을 먼저 명확히 합니다 (Walter Graf 6단계: 목적→준비→테스트→평가→기록→공유)</t>
        </is>
      </c>
      <c r="C4" s="130" t="n"/>
      <c r="D4" s="130" t="n"/>
      <c r="E4" s="130" t="n"/>
      <c r="F4" s="130" t="n"/>
      <c r="G4" s="131" t="n"/>
    </row>
    <row r="5" ht="25.5" customHeight="1" s="65">
      <c r="A5" s="66" t="n"/>
      <c r="B5" s="133" t="inlineStr">
        <is>
          <t>테스트 번호</t>
        </is>
      </c>
      <c r="C5" s="73" t="n"/>
      <c r="D5" s="131" t="n"/>
      <c r="E5" s="133" t="inlineStr">
        <is>
          <t>작성일</t>
        </is>
      </c>
      <c r="F5" s="74" t="n"/>
      <c r="G5" s="131" t="n"/>
    </row>
    <row r="6" ht="25.5" customHeight="1" s="65">
      <c r="A6" s="66" t="n"/>
      <c r="B6" s="133" t="inlineStr">
        <is>
          <t>부서</t>
        </is>
      </c>
      <c r="C6" s="134" t="inlineStr">
        <is>
          <t>생산팀</t>
        </is>
      </c>
      <c r="D6" s="131" t="n"/>
      <c r="E6" s="133" t="inlineStr">
        <is>
          <t>작성자</t>
        </is>
      </c>
      <c r="F6" s="73" t="n"/>
      <c r="G6" s="131" t="n"/>
    </row>
    <row r="7" ht="45.75" customHeight="1" s="65">
      <c r="A7" s="135" t="n"/>
      <c r="B7" s="133" t="inlineStr">
        <is>
          <t>실험 구분</t>
        </is>
      </c>
      <c r="C7" s="134" t="inlineStr">
        <is>
          <t>자체 실험 / 수요처 실험 (택1)</t>
        </is>
      </c>
      <c r="D7" s="136" t="n"/>
      <c r="E7" s="133" t="inlineStr">
        <is>
          <t>승인자</t>
        </is>
      </c>
      <c r="F7" s="73" t="n"/>
      <c r="G7" s="136" t="n"/>
    </row>
    <row r="8" ht="26.25" customHeight="1" s="65">
      <c r="A8" s="66" t="n"/>
      <c r="B8" s="133" t="inlineStr">
        <is>
          <t>테스트 목적 (한 줄)</t>
        </is>
      </c>
      <c r="C8" s="73" t="n"/>
      <c r="D8" s="130" t="n"/>
      <c r="E8" s="130" t="n"/>
      <c r="F8" s="130" t="n"/>
      <c r="G8" s="131" t="n"/>
    </row>
    <row r="9" ht="29.25" customHeight="1" s="65">
      <c r="A9" s="66" t="n"/>
      <c r="B9" s="133" t="inlineStr">
        <is>
          <t>신뢰도 수준</t>
        </is>
      </c>
      <c r="C9" s="134" t="inlineStr">
        <is>
          <t>추정값</t>
        </is>
      </c>
      <c r="D9" s="131" t="n"/>
      <c r="E9" s="133" t="inlineStr">
        <is>
          <t>출처 ID (sources.md)</t>
        </is>
      </c>
      <c r="F9" s="73" t="n"/>
      <c r="G9" s="131" t="n"/>
    </row>
    <row r="10" ht="25.5" customHeight="1" s="65">
      <c r="A10" s="66" t="n"/>
      <c r="B10" s="133" t="inlineStr">
        <is>
          <t>장비 모델(제조사)</t>
        </is>
      </c>
      <c r="C10" s="73" t="n"/>
      <c r="D10" s="131" t="n"/>
      <c r="E10" s="133" t="inlineStr">
        <is>
          <t>컨트롤러 / 스핀들파워</t>
        </is>
      </c>
      <c r="F10" s="73" t="n"/>
      <c r="G10" s="131" t="n"/>
    </row>
    <row r="11" ht="25.5" customHeight="1" s="65">
      <c r="A11" s="66" t="n"/>
      <c r="B11" s="133" t="inlineStr">
        <is>
          <t>홀더</t>
        </is>
      </c>
      <c r="C11" s="73" t="n"/>
      <c r="D11" s="131" t="n"/>
      <c r="E11" s="133" t="inlineStr">
        <is>
          <t>홀더 메이커</t>
        </is>
      </c>
      <c r="F11" s="73" t="n"/>
      <c r="G11" s="131" t="n"/>
    </row>
    <row r="12" ht="29.25" customHeight="1" s="65">
      <c r="A12" s="66" t="n"/>
      <c r="B12" s="133" t="inlineStr">
        <is>
          <t>피삭재</t>
        </is>
      </c>
      <c r="C12" s="73" t="n"/>
      <c r="D12" s="131" t="n"/>
      <c r="E12" s="133" t="inlineStr">
        <is>
          <t>소재등급 / 경도</t>
        </is>
      </c>
      <c r="F12" s="73" t="n"/>
      <c r="G12" s="131" t="n"/>
    </row>
    <row r="13" ht="45.75" customHeight="1" s="65">
      <c r="A13" s="66" t="n"/>
      <c r="B13" s="133" t="inlineStr">
        <is>
          <t>냉각방식</t>
        </is>
      </c>
      <c r="C13" s="134" t="inlineStr">
        <is>
          <t>습식</t>
        </is>
      </c>
      <c r="D13" s="131" t="n"/>
      <c r="E13" s="133" t="inlineStr">
        <is>
          <t>조도 요구사항(황삭/정삭)</t>
        </is>
      </c>
      <c r="F13" s="73" t="n"/>
      <c r="G13" s="131" t="n"/>
    </row>
    <row r="14" ht="21" customHeight="1" s="65">
      <c r="A14" s="66" t="n"/>
      <c r="B14" s="66" t="n"/>
      <c r="C14" s="66" t="n"/>
      <c r="D14" s="66" t="n"/>
      <c r="E14" s="66" t="n"/>
      <c r="F14" s="66" t="n"/>
      <c r="G14" s="66" t="n"/>
    </row>
    <row r="15" ht="29.25" customHeight="1" s="65">
      <c r="A15" s="66" t="n"/>
      <c r="B15" s="137" t="inlineStr">
        <is>
          <t>② 비교 대상 공구  ⚠️ 단가·금액 기재 금지 (정보 분류 원칙 — 대외비)</t>
        </is>
      </c>
      <c r="C15" s="130" t="n"/>
      <c r="D15" s="130" t="n"/>
      <c r="E15" s="130" t="n"/>
      <c r="F15" s="130" t="n"/>
      <c r="G15" s="131" t="n"/>
    </row>
    <row r="16" ht="30" customHeight="1" s="65">
      <c r="A16" s="66" t="n"/>
      <c r="B16" s="138" t="inlineStr">
        <is>
          <t>항목</t>
        </is>
      </c>
      <c r="C16" s="138" t="inlineStr">
        <is>
          <t>대상 1</t>
        </is>
      </c>
      <c r="D16" s="138" t="inlineStr">
        <is>
          <t>대상 2</t>
        </is>
      </c>
      <c r="E16" s="138" t="inlineStr">
        <is>
          <t>대상 3</t>
        </is>
      </c>
      <c r="F16" s="138" t="inlineStr">
        <is>
          <t>대상 4</t>
        </is>
      </c>
      <c r="G16" s="138" t="inlineStr">
        <is>
          <t>비고</t>
        </is>
      </c>
    </row>
    <row r="17" ht="33.75" customHeight="1" s="65">
      <c r="A17" s="66" t="n"/>
      <c r="B17" s="139" t="inlineStr">
        <is>
          <t>제조사</t>
        </is>
      </c>
      <c r="C17" s="80" t="n"/>
      <c r="D17" s="80" t="n"/>
      <c r="E17" s="80" t="n"/>
      <c r="F17" s="80" t="n"/>
      <c r="G17" s="73" t="n"/>
    </row>
    <row r="18" ht="33.75" customHeight="1" s="65">
      <c r="A18" s="66" t="n"/>
      <c r="B18" s="139" t="inlineStr">
        <is>
          <t>모델명 / 사양</t>
        </is>
      </c>
      <c r="C18" s="80" t="n"/>
      <c r="D18" s="80" t="n"/>
      <c r="E18" s="80" t="n"/>
      <c r="F18" s="80" t="n"/>
      <c r="G18" s="73" t="n"/>
    </row>
    <row r="19" ht="30" customHeight="1" s="65">
      <c r="A19" s="66" t="n"/>
      <c r="B19" s="139" t="inlineStr">
        <is>
          <t>코팅</t>
        </is>
      </c>
      <c r="C19" s="80" t="n"/>
      <c r="D19" s="80" t="n"/>
      <c r="E19" s="80" t="n"/>
      <c r="F19" s="80" t="n"/>
      <c r="G19" s="73" t="n"/>
    </row>
    <row r="20" ht="30" customHeight="1" s="65">
      <c r="A20" s="66" t="n"/>
      <c r="B20" s="139" t="inlineStr">
        <is>
          <t>직경 D (mm)</t>
        </is>
      </c>
      <c r="C20" s="80" t="n"/>
      <c r="D20" s="80" t="n"/>
      <c r="E20" s="80" t="n"/>
      <c r="F20" s="80" t="n"/>
      <c r="G20" s="73" t="n"/>
    </row>
    <row r="21" ht="30" customHeight="1" s="65">
      <c r="A21" s="66" t="n"/>
      <c r="B21" s="139" t="inlineStr">
        <is>
          <t>날수</t>
        </is>
      </c>
      <c r="C21" s="80" t="n"/>
      <c r="D21" s="80" t="n"/>
      <c r="E21" s="80" t="n"/>
      <c r="F21" s="80" t="n"/>
      <c r="G21" s="73" t="n"/>
    </row>
    <row r="22" ht="30" customHeight="1" s="65">
      <c r="A22" s="66" t="n"/>
      <c r="B22" s="139" t="inlineStr">
        <is>
          <t>오버행 Overhang (mm)</t>
        </is>
      </c>
      <c r="C22" s="80" t="n"/>
      <c r="D22" s="80" t="n"/>
      <c r="E22" s="80" t="n"/>
      <c r="F22" s="80" t="n"/>
      <c r="G22" s="73" t="n"/>
    </row>
    <row r="23" ht="25.5" customHeight="1" s="65">
      <c r="A23" s="66" t="n"/>
      <c r="B23" s="140" t="inlineStr">
        <is>
          <t>조건 신규실측 여부 ⚠️</t>
        </is>
      </c>
      <c r="C23" s="141" t="inlineStr">
        <is>
          <t>신규</t>
        </is>
      </c>
      <c r="D23" s="141" t="inlineStr">
        <is>
          <t>신규</t>
        </is>
      </c>
      <c r="E23" s="141" t="inlineStr">
        <is>
          <t>신규</t>
        </is>
      </c>
      <c r="F23" s="141" t="inlineStr">
        <is>
          <t>신규</t>
        </is>
      </c>
      <c r="G23" s="83" t="n"/>
    </row>
    <row r="24" ht="21" customHeight="1" s="65">
      <c r="A24" s="66" t="n"/>
      <c r="B24" s="66" t="n"/>
      <c r="C24" s="135" t="n"/>
      <c r="D24" s="135" t="n"/>
      <c r="E24" s="135" t="n"/>
      <c r="F24" s="135" t="n"/>
      <c r="G24" s="135" t="n"/>
    </row>
    <row r="25" ht="29.25" customHeight="1" s="65">
      <c r="A25" s="66" t="n"/>
      <c r="B25" s="142" t="inlineStr">
        <is>
          <t>③ 절삭조건 (공통 계산기 — 수식 자동계산, 검산 가능)</t>
        </is>
      </c>
      <c r="C25" s="130" t="n"/>
      <c r="D25" s="130" t="n"/>
      <c r="E25" s="130" t="n"/>
      <c r="F25" s="130" t="n"/>
      <c r="G25" s="131" t="n"/>
    </row>
    <row r="26" ht="62" customHeight="1" s="65">
      <c r="A26" s="66" t="n"/>
      <c r="B26" s="133" t="inlineStr">
        <is>
          <t>직경 D (mm)</t>
        </is>
      </c>
      <c r="C26" s="85" t="n">
        <v>10</v>
      </c>
      <c r="D26" s="143" t="inlineStr">
        <is>
          <t>※ 대상별 조건이 다르면 아래 결과표 '비고'란에 개별 기재 · 연삭(휠) 테스트 시 hm(평균칩두께)·Fa(공격성인자)·qd(드레싱비율) 추가 검토 — [[templates/테스트-보고서-표준양식]] §8-3 참조</t>
        </is>
      </c>
      <c r="E26" s="130" t="n"/>
      <c r="F26" s="130" t="n"/>
      <c r="G26" s="131" t="n"/>
    </row>
    <row r="27" ht="25.5" customHeight="1" s="65">
      <c r="A27" s="66" t="n"/>
      <c r="B27" s="89" t="inlineStr">
        <is>
          <t>Vc 목표 절삭속도 (m/min)</t>
        </is>
      </c>
      <c r="C27" s="90" t="n"/>
      <c r="D27" s="66" t="n"/>
      <c r="E27" s="66" t="n"/>
      <c r="F27" s="66" t="n"/>
      <c r="G27" s="66" t="n"/>
    </row>
    <row r="28" ht="45.75" customHeight="1" s="65">
      <c r="A28" s="66" t="n"/>
      <c r="B28" s="89" t="inlineStr">
        <is>
          <t>N 회전수 (rpm) = 1000×Vc÷(π×D)</t>
        </is>
      </c>
      <c r="C28" s="91">
        <f>IFERROR(1000*C27/(PI()*C26),"")</f>
        <v/>
      </c>
      <c r="D28" s="66" t="n"/>
      <c r="E28" s="66" t="n"/>
      <c r="F28" s="66" t="n"/>
      <c r="G28" s="66" t="n"/>
    </row>
    <row r="29" ht="26.25" customHeight="1" s="65">
      <c r="A29" s="66" t="n"/>
      <c r="B29" s="133" t="inlineStr">
        <is>
          <t>날수 Z</t>
        </is>
      </c>
      <c r="C29" s="92" t="n"/>
      <c r="D29" s="66" t="n"/>
      <c r="E29" s="66" t="n"/>
      <c r="F29" s="66" t="n"/>
      <c r="G29" s="66" t="n"/>
    </row>
    <row r="30" ht="26.25" customHeight="1" s="65">
      <c r="A30" s="66" t="n"/>
      <c r="B30" s="89" t="inlineStr">
        <is>
          <t>fz 날당이송 (mm/tooth)</t>
        </is>
      </c>
      <c r="C30" s="93" t="n"/>
      <c r="D30" s="66" t="n"/>
      <c r="E30" s="66" t="n"/>
      <c r="F30" s="66" t="n"/>
      <c r="G30" s="66" t="n"/>
    </row>
    <row r="31" ht="45.75" customHeight="1" s="65">
      <c r="A31" s="66" t="n"/>
      <c r="B31" s="89" t="inlineStr">
        <is>
          <t>Vf 이송속도 (mm/min) = N×Z×fz</t>
        </is>
      </c>
      <c r="C31" s="94">
        <f>IFERROR(C28*C29*C30,"")</f>
        <v/>
      </c>
      <c r="D31" s="66" t="n"/>
      <c r="E31" s="66" t="n"/>
      <c r="F31" s="66" t="n"/>
      <c r="G31" s="66" t="n"/>
    </row>
    <row r="32" ht="45.75" customHeight="1" s="65">
      <c r="A32" s="66" t="n"/>
      <c r="B32" s="89" t="inlineStr">
        <is>
          <t>fr 회전당이송 (mm/rev) = Z×fz</t>
        </is>
      </c>
      <c r="C32" s="95">
        <f>IFERROR(C29*C30,"")</f>
        <v/>
      </c>
      <c r="D32" s="66" t="n"/>
      <c r="E32" s="66" t="n"/>
      <c r="F32" s="66" t="n"/>
      <c r="G32" s="66" t="n"/>
    </row>
    <row r="33" ht="37.5" customHeight="1" s="65">
      <c r="A33" s="66" t="n"/>
      <c r="B33" s="89" t="inlineStr">
        <is>
          <t>ap 절입깊이 축방향 (mm)</t>
        </is>
      </c>
      <c r="C33" s="90" t="n"/>
      <c r="D33" s="66" t="n"/>
      <c r="E33" s="66" t="n"/>
      <c r="F33" s="66" t="n"/>
      <c r="G33" s="66" t="n"/>
    </row>
    <row r="34" ht="40.5" customHeight="1" s="65">
      <c r="A34" s="66" t="n"/>
      <c r="B34" s="89" t="inlineStr">
        <is>
          <t>ae 절입폭 반경방향 (mm)</t>
        </is>
      </c>
      <c r="C34" s="90" t="n"/>
      <c r="D34" s="66" t="n"/>
      <c r="E34" s="66" t="n"/>
      <c r="F34" s="66" t="n"/>
      <c r="G34" s="66" t="n"/>
    </row>
    <row r="35" ht="45.75" customHeight="1" s="65">
      <c r="A35" s="66" t="n"/>
      <c r="B35" s="89" t="inlineStr">
        <is>
          <t>MRR 재료제거율 
(mm³/min) = Vf×ap×ae</t>
        </is>
      </c>
      <c r="C35" s="94">
        <f>IFERROR(C31*C33*C34,"")</f>
        <v/>
      </c>
      <c r="D35" s="66" t="n"/>
      <c r="E35" s="66" t="n"/>
      <c r="F35" s="66" t="n"/>
      <c r="G35" s="66" t="n"/>
    </row>
    <row r="36" ht="45.75" customHeight="1" s="65">
      <c r="A36" s="66" t="n"/>
      <c r="B36" s="89" t="inlineStr">
        <is>
          <t>Q'w 단위폭당 연삭량 
(mm³/(mm·s)) [연삭 전용] = Vf×ae÷60</t>
        </is>
      </c>
      <c r="C36" s="96">
        <f>IFERROR(C31*C34/60,"")</f>
        <v/>
      </c>
      <c r="D36" s="66" t="n"/>
      <c r="E36" s="66" t="n"/>
      <c r="F36" s="66" t="n"/>
      <c r="G36" s="66" t="n"/>
    </row>
    <row r="37" ht="21" customHeight="1" s="65">
      <c r="A37" s="66" t="n"/>
      <c r="B37" s="66" t="n"/>
      <c r="C37" s="135" t="n"/>
      <c r="D37" s="135" t="n"/>
      <c r="E37" s="135" t="n"/>
      <c r="F37" s="135" t="n"/>
      <c r="G37" s="135" t="n"/>
    </row>
    <row r="38" ht="30" customHeight="1" s="65">
      <c r="A38" s="66" t="n"/>
      <c r="B38" s="144" t="inlineStr">
        <is>
          <t>④ 설비 상태 (CLAUDE.md §9-2 — 결과에 영향 주는 조건)</t>
        </is>
      </c>
      <c r="C38" s="130" t="n"/>
      <c r="D38" s="130" t="n"/>
      <c r="E38" s="130" t="n"/>
      <c r="F38" s="130" t="n"/>
      <c r="G38" s="131" t="n"/>
    </row>
    <row r="39" ht="30" customHeight="1" s="65">
      <c r="A39" s="66" t="n"/>
      <c r="B39" s="133" t="inlineStr">
        <is>
          <t>스핀들 런아웃 (mm)</t>
        </is>
      </c>
      <c r="C39" s="73" t="n"/>
      <c r="D39" s="131" t="n"/>
      <c r="E39" s="133" t="inlineStr">
        <is>
          <t>휠/공구 밸런스</t>
        </is>
      </c>
      <c r="F39" s="73" t="n"/>
      <c r="G39" s="131" t="n"/>
    </row>
    <row r="40" ht="30" customHeight="1" s="65">
      <c r="A40" s="66" t="n"/>
      <c r="B40" s="133" t="inlineStr">
        <is>
          <t>드레싱 상태 (최종시점/횟수)</t>
        </is>
      </c>
      <c r="C40" s="73" t="n"/>
      <c r="D40" s="131" t="n"/>
      <c r="E40" s="133" t="inlineStr">
        <is>
          <t>쿨런트 농도(%) / pH</t>
        </is>
      </c>
      <c r="F40" s="73" t="n"/>
      <c r="G40" s="131" t="n"/>
    </row>
    <row r="41" ht="25.5" customHeight="1" s="65">
      <c r="A41" s="66" t="n"/>
      <c r="B41" s="133" t="inlineStr">
        <is>
          <t>예열 여부</t>
        </is>
      </c>
      <c r="C41" s="134" t="inlineStr">
        <is>
          <t>미확인</t>
        </is>
      </c>
      <c r="D41" s="98" t="n"/>
      <c r="E41" s="133" t="inlineStr">
        <is>
          <t>장비 가동 연수(추정)</t>
        </is>
      </c>
      <c r="F41" s="73" t="n"/>
      <c r="G41" s="98" t="n"/>
    </row>
    <row r="42" ht="21" customHeight="1" s="65">
      <c r="A42" s="66" t="n"/>
      <c r="B42" s="66" t="n"/>
      <c r="C42" s="135" t="n"/>
      <c r="D42" s="135" t="n"/>
      <c r="E42" s="135" t="n"/>
      <c r="F42" s="135" t="n"/>
      <c r="G42" s="135" t="n"/>
    </row>
    <row r="43" ht="29.25" customHeight="1" s="65">
      <c r="A43" s="66" t="n"/>
      <c r="B43" s="145" t="inlineStr">
        <is>
          <t>⑤ 결과 기록 (비교대상별)</t>
        </is>
      </c>
      <c r="C43" s="130" t="n"/>
      <c r="D43" s="130" t="n"/>
      <c r="E43" s="130" t="n"/>
      <c r="F43" s="130" t="n"/>
      <c r="G43" s="131" t="n"/>
    </row>
    <row r="44" ht="33.75" customHeight="1" s="65">
      <c r="A44" s="135" t="n"/>
      <c r="B44" s="146" t="inlineStr">
        <is>
          <t>항목</t>
        </is>
      </c>
      <c r="C44" s="146" t="inlineStr">
        <is>
          <t>대상 1</t>
        </is>
      </c>
      <c r="D44" s="146" t="inlineStr">
        <is>
          <t>대상 2</t>
        </is>
      </c>
      <c r="E44" s="146" t="inlineStr">
        <is>
          <t>대상 3</t>
        </is>
      </c>
      <c r="F44" s="146" t="inlineStr">
        <is>
          <t>대상 4</t>
        </is>
      </c>
      <c r="G44" s="146" t="inlineStr">
        <is>
          <t>비고</t>
        </is>
      </c>
    </row>
    <row r="45" ht="43.5" customHeight="1" s="65">
      <c r="A45" s="66" t="n"/>
      <c r="B45" s="146" t="inlineStr">
        <is>
          <t>수명 (정성적 결과)</t>
        </is>
      </c>
      <c r="C45" s="146" t="n"/>
      <c r="D45" s="146" t="n"/>
      <c r="E45" s="146" t="n"/>
      <c r="F45" s="146" t="n"/>
      <c r="G45" s="146" t="n"/>
    </row>
    <row r="46" ht="30" customHeight="1" s="65">
      <c r="A46" s="135" t="n"/>
      <c r="B46" s="139" t="inlineStr">
        <is>
          <t>부하량 (%)</t>
        </is>
      </c>
      <c r="C46" s="80" t="n"/>
      <c r="D46" s="80" t="n"/>
      <c r="E46" s="80" t="n"/>
      <c r="F46" s="80" t="n"/>
      <c r="G46" s="73" t="n"/>
    </row>
    <row r="47" ht="43.5" customHeight="1" s="65">
      <c r="A47" s="66" t="n"/>
      <c r="B47" s="139" t="inlineStr">
        <is>
          <t>소음</t>
        </is>
      </c>
      <c r="C47" s="80" t="n"/>
      <c r="D47" s="80" t="n"/>
      <c r="E47" s="80" t="n"/>
      <c r="F47" s="80" t="n"/>
      <c r="G47" s="73" t="n"/>
    </row>
    <row r="48" ht="30" customHeight="1" s="65">
      <c r="A48" s="135" t="n"/>
      <c r="B48" s="139" t="inlineStr">
        <is>
          <t>파손 형태</t>
        </is>
      </c>
      <c r="C48" s="80" t="n"/>
      <c r="D48" s="80" t="n"/>
      <c r="E48" s="80" t="n"/>
      <c r="F48" s="80" t="n"/>
      <c r="G48" s="73" t="n"/>
    </row>
    <row r="49" ht="43.5" customHeight="1" s="65">
      <c r="A49" s="66" t="n"/>
      <c r="B49" s="139" t="inlineStr">
        <is>
          <t>마모 부위 (치즐에지·씨닝·외주코너·절삭날 등)</t>
        </is>
      </c>
      <c r="C49" s="80" t="n"/>
      <c r="D49" s="80" t="n"/>
      <c r="E49" s="80" t="n"/>
      <c r="F49" s="80" t="n"/>
      <c r="G49" s="73" t="n"/>
    </row>
    <row r="50" ht="30" customHeight="1" s="65">
      <c r="A50" s="66" t="n"/>
      <c r="B50" s="139" t="inlineStr">
        <is>
          <t>가공수량 / 절삭시간</t>
        </is>
      </c>
      <c r="C50" s="80" t="n"/>
      <c r="D50" s="80" t="n"/>
      <c r="E50" s="80" t="n"/>
      <c r="F50" s="80" t="n"/>
      <c r="G50" s="73" t="n"/>
    </row>
    <row r="51" ht="25.5" customHeight="1" s="65">
      <c r="A51" s="66" t="n"/>
      <c r="B51" s="139" t="inlineStr">
        <is>
          <t>칩 형태</t>
        </is>
      </c>
      <c r="C51" s="80" t="n"/>
      <c r="D51" s="80" t="n"/>
      <c r="E51" s="80" t="n"/>
      <c r="F51" s="80" t="n"/>
      <c r="G51" s="73" t="n"/>
    </row>
    <row r="52" ht="31.5" customHeight="1" s="65">
      <c r="A52" s="66" t="n"/>
      <c r="B52" s="101" t="inlineStr">
        <is>
          <t>Ra 표면조도 (μm)</t>
        </is>
      </c>
      <c r="C52" s="80" t="n"/>
      <c r="D52" s="80" t="n"/>
      <c r="E52" s="80" t="n"/>
      <c r="F52" s="80" t="n"/>
      <c r="G52" s="73" t="n"/>
    </row>
    <row r="53" ht="25.5" customHeight="1" s="65">
      <c r="A53" s="66" t="n"/>
      <c r="B53" s="139" t="inlineStr">
        <is>
          <t>순위</t>
        </is>
      </c>
      <c r="C53" s="80" t="n"/>
      <c r="D53" s="130" t="n"/>
      <c r="E53" s="130" t="n"/>
      <c r="F53" s="130" t="n"/>
      <c r="G53" s="131" t="n"/>
    </row>
    <row r="54" ht="25.5" customHeight="1" s="65">
      <c r="A54" s="66" t="n"/>
      <c r="B54" s="133" t="inlineStr">
        <is>
          <t>원인 / 총평</t>
        </is>
      </c>
      <c r="C54" s="73" t="n"/>
      <c r="D54" s="102" t="n"/>
      <c r="E54" s="102" t="n"/>
      <c r="F54" s="102" t="n"/>
      <c r="G54" s="98" t="n"/>
    </row>
    <row r="55" ht="18" customHeight="1" s="65">
      <c r="A55" s="66" t="n"/>
      <c r="B55" s="66" t="n"/>
      <c r="C55" s="135" t="n"/>
      <c r="D55" s="135" t="n"/>
      <c r="E55" s="135" t="n"/>
      <c r="F55" s="135" t="n"/>
      <c r="G55" s="135" t="n"/>
    </row>
    <row r="56" ht="29.25" customHeight="1" s="65">
      <c r="A56" s="66" t="n"/>
      <c r="B56" s="147" t="inlineStr">
        <is>
          <t>⑥ 불량 발생 시 기록 (해당 시에만 작성)</t>
        </is>
      </c>
      <c r="C56" s="130" t="n"/>
      <c r="D56" s="130" t="n"/>
      <c r="E56" s="130" t="n"/>
      <c r="F56" s="130" t="n"/>
      <c r="G56" s="131" t="n"/>
    </row>
    <row r="57" ht="25.5" customHeight="1" s="65">
      <c r="A57" s="66" t="n"/>
      <c r="B57" s="133" t="inlineStr">
        <is>
          <t>증상</t>
        </is>
      </c>
      <c r="C57" s="73" t="n"/>
      <c r="D57" s="130" t="n"/>
      <c r="E57" s="130" t="n"/>
      <c r="F57" s="130" t="n"/>
      <c r="G57" s="131" t="n"/>
    </row>
    <row r="58" ht="25.5" customHeight="1" s="65">
      <c r="A58" s="66" t="n"/>
      <c r="B58" s="133" t="inlineStr">
        <is>
          <t>발생 위치</t>
        </is>
      </c>
      <c r="C58" s="73" t="n"/>
      <c r="D58" s="130" t="n"/>
      <c r="E58" s="130" t="n"/>
      <c r="F58" s="130" t="n"/>
      <c r="G58" s="131" t="n"/>
    </row>
    <row r="59" ht="25.5" customHeight="1" s="65">
      <c r="A59" s="66" t="n"/>
      <c r="B59" s="133" t="inlineStr">
        <is>
          <t>추정 원인</t>
        </is>
      </c>
      <c r="C59" s="73" t="n"/>
      <c r="D59" s="130" t="n"/>
      <c r="E59" s="130" t="n"/>
      <c r="F59" s="130" t="n"/>
      <c r="G59" s="131" t="n"/>
    </row>
    <row r="60" ht="25.5" customHeight="1" s="65">
      <c r="A60" s="66" t="n"/>
      <c r="B60" s="133" t="inlineStr">
        <is>
          <t>대응 방법</t>
        </is>
      </c>
      <c r="C60" s="73" t="n"/>
      <c r="D60" s="131" t="n"/>
      <c r="E60" s="87" t="n"/>
      <c r="F60" s="87" t="n"/>
      <c r="G60" s="88" t="n"/>
    </row>
    <row r="61" ht="25.5" customHeight="1" s="65">
      <c r="A61" s="66" t="n"/>
      <c r="B61" s="133" t="inlineStr">
        <is>
          <t>재발 여부</t>
        </is>
      </c>
      <c r="C61" s="134" t="inlineStr">
        <is>
          <t>추적 중</t>
        </is>
      </c>
      <c r="D61" s="88" t="n"/>
      <c r="E61" s="66" t="n"/>
      <c r="F61" s="66" t="n"/>
      <c r="G61" s="66" t="n"/>
    </row>
    <row r="62" ht="18" customHeight="1" s="65">
      <c r="A62" s="66" t="n"/>
      <c r="B62" s="66" t="n"/>
      <c r="C62" s="135" t="n"/>
      <c r="D62" s="135" t="n"/>
      <c r="E62" s="135" t="n"/>
      <c r="F62" s="135" t="n"/>
      <c r="G62" s="135" t="n"/>
    </row>
    <row r="63" ht="29.25" customHeight="1" s="65">
      <c r="A63" s="66" t="n"/>
      <c r="B63" s="148" t="inlineStr">
        <is>
          <t>⑦ 조건 변경 이력 (기존 값 삭제 금지 — 항상 추가)</t>
        </is>
      </c>
      <c r="C63" s="130" t="n"/>
      <c r="D63" s="130" t="n"/>
      <c r="E63" s="130" t="n"/>
      <c r="F63" s="130" t="n"/>
      <c r="G63" s="131" t="n"/>
    </row>
    <row r="64" ht="25.5" customHeight="1" s="65">
      <c r="A64" s="66" t="n"/>
      <c r="B64" s="146" t="inlineStr">
        <is>
          <t>날짜</t>
        </is>
      </c>
      <c r="C64" s="149" t="inlineStr">
        <is>
          <t>변경 내용</t>
        </is>
      </c>
      <c r="D64" s="131" t="n"/>
      <c r="E64" s="149" t="inlineStr">
        <is>
          <t>사유</t>
        </is>
      </c>
      <c r="F64" s="131" t="n"/>
      <c r="G64" s="146" t="inlineStr">
        <is>
          <t>양산 적용</t>
        </is>
      </c>
    </row>
    <row r="65" ht="25.5" customHeight="1" s="65">
      <c r="A65" s="66" t="n"/>
      <c r="B65" s="106" t="n"/>
      <c r="C65" s="73" t="n"/>
      <c r="D65" s="131" t="n"/>
      <c r="E65" s="73" t="n"/>
      <c r="F65" s="131" t="n"/>
      <c r="G65" s="150" t="inlineStr">
        <is>
          <t>미적용</t>
        </is>
      </c>
    </row>
    <row r="66" ht="25.5" customHeight="1" s="65">
      <c r="A66" s="66" t="n"/>
      <c r="B66" s="106" t="n"/>
      <c r="C66" s="73" t="n"/>
      <c r="D66" s="131" t="n"/>
      <c r="E66" s="73" t="n"/>
      <c r="F66" s="131" t="n"/>
      <c r="G66" s="150" t="inlineStr">
        <is>
          <t>미적용</t>
        </is>
      </c>
    </row>
    <row r="67" ht="25.5" customHeight="1" s="65">
      <c r="A67" s="66" t="n"/>
      <c r="B67" s="106" t="n"/>
      <c r="C67" s="73" t="n"/>
      <c r="D67" s="131" t="n"/>
      <c r="E67" s="73" t="n"/>
      <c r="F67" s="131" t="n"/>
      <c r="G67" s="150" t="inlineStr">
        <is>
          <t>미적용</t>
        </is>
      </c>
    </row>
    <row r="68" ht="33.75" customHeight="1" s="65">
      <c r="A68" s="66" t="n"/>
      <c r="B68" s="106" t="n"/>
      <c r="C68" s="73" t="n"/>
      <c r="D68" s="88" t="n"/>
      <c r="E68" s="73" t="n"/>
      <c r="F68" s="88" t="n"/>
      <c r="G68" s="150" t="inlineStr">
        <is>
          <t>미적용</t>
        </is>
      </c>
    </row>
    <row r="69" ht="33.75" customHeight="1" s="65">
      <c r="A69" s="66" t="n"/>
      <c r="B69" s="66" t="n"/>
      <c r="C69" s="135" t="n"/>
      <c r="D69" s="135" t="n"/>
      <c r="E69" s="135" t="n"/>
      <c r="F69" s="135" t="n"/>
      <c r="G69" s="135" t="n"/>
    </row>
    <row r="70" ht="29.25" customHeight="1" s="65">
      <c r="A70" s="66" t="n"/>
      <c r="B70" s="151" t="inlineStr">
        <is>
          <t>⑧ 출처 및 후속 조치</t>
        </is>
      </c>
      <c r="C70" s="130" t="n"/>
      <c r="D70" s="130" t="n"/>
      <c r="E70" s="130" t="n"/>
      <c r="F70" s="130" t="n"/>
      <c r="G70" s="131" t="n"/>
    </row>
    <row r="71" ht="25.5" customHeight="1" s="65">
      <c r="A71" s="66" t="n"/>
      <c r="B71" s="133" t="inlineStr">
        <is>
          <t>출처 (sources.md ID)</t>
        </is>
      </c>
      <c r="C71" s="73" t="n"/>
      <c r="D71" s="130" t="n"/>
      <c r="E71" s="130" t="n"/>
      <c r="F71" s="130" t="n"/>
      <c r="G71" s="131" t="n"/>
    </row>
    <row r="72" ht="60.75" customHeight="1" s="65">
      <c r="A72" s="66" t="n"/>
      <c r="B72" s="133" t="inlineStr">
        <is>
          <t>종합 판정 / 결론</t>
        </is>
      </c>
      <c r="C72" s="73" t="n"/>
      <c r="D72" s="130" t="n"/>
      <c r="E72" s="130" t="n"/>
      <c r="F72" s="130" t="n"/>
      <c r="G72" s="131" t="n"/>
    </row>
    <row r="73" ht="25.5" customHeight="1" s="65">
      <c r="A73" s="66" t="n"/>
      <c r="B73" s="133" t="inlineStr">
        <is>
          <t>다음 단계 제안</t>
        </is>
      </c>
      <c r="C73" s="73" t="n"/>
      <c r="D73" s="130" t="n"/>
      <c r="E73" s="130" t="n"/>
      <c r="F73" s="130" t="n"/>
      <c r="G73" s="131" t="n"/>
    </row>
    <row r="74" ht="25.5" customHeight="1" s="65">
      <c r="A74" s="66" t="n"/>
      <c r="B74" s="133" t="inlineStr">
        <is>
          <t>고객 / 현장 의견</t>
        </is>
      </c>
      <c r="C74" s="73" t="n"/>
      <c r="D74" s="87" t="n"/>
      <c r="E74" s="87" t="n"/>
      <c r="F74" s="87" t="n"/>
      <c r="G74" s="88" t="n"/>
    </row>
    <row r="75" ht="15" customHeight="1" s="65">
      <c r="A75" s="66" t="n"/>
      <c r="B75" s="66" t="n"/>
      <c r="C75" s="135" t="n"/>
      <c r="D75" s="135" t="n"/>
      <c r="E75" s="135" t="n"/>
      <c r="F75" s="135" t="n"/>
      <c r="G75" s="135" t="n"/>
    </row>
    <row r="76" ht="45.75" customHeight="1" s="65">
      <c r="A76" s="66" t="n"/>
      <c r="B76" s="109" t="inlineStr">
        <is>
          <t>※ AI 제시 수치는 참고값입니다. 신규 조건은 테스트→측정→검증 후에만 양산 적용을 권장합니다. 작성 완료 후 test-record 스킬로 해당 wiki 페이지에 옮겨 기록하세요.</t>
        </is>
      </c>
      <c r="C76" s="130" t="n"/>
      <c r="D76" s="130" t="n"/>
      <c r="E76" s="130" t="n"/>
      <c r="F76" s="130" t="n"/>
      <c r="G76" s="131" t="n"/>
    </row>
  </sheetData>
  <mergeCells count="54">
    <mergeCell ref="B2:G2"/>
    <mergeCell ref="F11:G11"/>
    <mergeCell ref="C6:D6"/>
    <mergeCell ref="B42:G42"/>
    <mergeCell ref="F10:G10"/>
    <mergeCell ref="C58:G58"/>
    <mergeCell ref="C5:D5"/>
    <mergeCell ref="B1:G1"/>
    <mergeCell ref="E67:F67"/>
    <mergeCell ref="F6:G6"/>
    <mergeCell ref="F40:G40"/>
    <mergeCell ref="C64:D64"/>
    <mergeCell ref="E64:F64"/>
    <mergeCell ref="B69:G69"/>
    <mergeCell ref="B38:G38"/>
    <mergeCell ref="C73:G73"/>
    <mergeCell ref="F12:G12"/>
    <mergeCell ref="D26:G26"/>
    <mergeCell ref="C10:D10"/>
    <mergeCell ref="B37:G37"/>
    <mergeCell ref="C65:D65"/>
    <mergeCell ref="F5:G5"/>
    <mergeCell ref="C40:D40"/>
    <mergeCell ref="C9:D9"/>
    <mergeCell ref="B15:G15"/>
    <mergeCell ref="B55:G55"/>
    <mergeCell ref="E65:F65"/>
    <mergeCell ref="B24:G24"/>
    <mergeCell ref="C12:D12"/>
    <mergeCell ref="C59:G59"/>
    <mergeCell ref="C60:D60"/>
    <mergeCell ref="B76:G76"/>
    <mergeCell ref="C11:D11"/>
    <mergeCell ref="B63:G63"/>
    <mergeCell ref="B4:G4"/>
    <mergeCell ref="C71:G71"/>
    <mergeCell ref="B75:G75"/>
    <mergeCell ref="F13:G13"/>
    <mergeCell ref="C8:G8"/>
    <mergeCell ref="B62:G62"/>
    <mergeCell ref="C39:D39"/>
    <mergeCell ref="F9:G9"/>
    <mergeCell ref="B25:G25"/>
    <mergeCell ref="F39:G39"/>
    <mergeCell ref="C67:D67"/>
    <mergeCell ref="C72:G72"/>
    <mergeCell ref="C57:G57"/>
    <mergeCell ref="C66:D66"/>
    <mergeCell ref="B43:G43"/>
    <mergeCell ref="C13:D13"/>
    <mergeCell ref="C53:G53"/>
    <mergeCell ref="B56:G56"/>
    <mergeCell ref="B70:G70"/>
    <mergeCell ref="E66:F66"/>
  </mergeCells>
  <dataValidations count="5">
    <dataValidation sqref="C8" showDropDown="0" showInputMessage="0" showErrorMessage="0" allowBlank="1" type="list" errorStyle="stop" operator="between">
      <formula1>"제조사 기준,실측 검증,사내 경험값,추정값"</formula1>
      <formula2>0</formula2>
    </dataValidation>
    <dataValidation sqref="C39" showDropDown="0" showInputMessage="0" showErrorMessage="0" allowBlank="1" type="list" errorStyle="stop" operator="between">
      <formula1>"예,아니오,미확인"</formula1>
      <formula2>0</formula2>
    </dataValidation>
    <dataValidation sqref="C56" showDropDown="0" showInputMessage="0" showErrorMessage="0" allowBlank="1" type="list" errorStyle="stop" operator="between">
      <formula1>"추적 중,재발 없음,재발"</formula1>
      <formula2>0</formula2>
    </dataValidation>
    <dataValidation sqref="G60:G63" showDropDown="0" showInputMessage="0" showErrorMessage="0" allowBlank="1" type="list" errorStyle="stop" operator="between">
      <formula1>"✅ 적용 중,🔄 검증 중,❌ 미적용"</formula1>
      <formula2>0</formula2>
    </dataValidation>
    <dataValidation sqref="C22:F22" showDropDown="0" showInputMessage="0" showErrorMessage="0" allowBlank="1" type="list" errorStyle="stop" operator="between">
      <formula1>"신규,이전값 재사용,확인 필요"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100" customWidth="1" style="64" min="1" max="1"/>
  </cols>
  <sheetData>
    <row r="1" ht="15" customHeight="1" s="65">
      <c r="A1" s="152" t="inlineStr">
        <is>
          <t>가공·연삭 테스트 보고서 표준양식 v1.0 — 설계 노트 (2026-07-09)</t>
        </is>
      </c>
    </row>
    <row r="2" ht="15" customHeight="1" s="65">
      <c r="A2" s="111" t="n"/>
    </row>
    <row r="3" ht="15" customHeight="1" s="65">
      <c r="A3" s="153" t="inlineStr">
        <is>
          <t>비교한 기존 양식 3종:</t>
        </is>
      </c>
    </row>
    <row r="4" ht="29.25" customHeight="1" s="65">
      <c r="A4" s="113" t="inlineStr">
        <is>
          <t>1) raw/report/6.al엔드밀/1. 테스트 보고서(AL).xlsx — 'CUTTING TOOLS TEST REPORT' (벤더 비교용, 부서/고객사/장비/조건/전후사진/결과/순위 항목 우수, 단가 컬럼 포함이 문제)</t>
        </is>
      </c>
    </row>
    <row r="5" ht="26.25" customHeight="1" s="65">
      <c r="A5" s="113" t="inlineStr">
        <is>
          <t>2) raw/report/6.al엔드밀/2. 절삭조건 계산식.xlsx — Vc/N/Vf/fz/fr/MRR 계산기 (수식은 좋으나 별도 파일이라 보고서와 분리됨)</t>
        </is>
      </c>
    </row>
    <row r="6" ht="29.25" customHeight="1" s="65">
      <c r="A6" s="113" t="inlineStr">
        <is>
          <t>3) wiki test-record 스킬 §9 표준 (CLAUDE.md) — 신뢰도 4단계·설비상태·조건변경이력·불량기록·출처ID 필수 항목 정의, 그러나 실제 xlsx 양식은 없었음</t>
        </is>
      </c>
    </row>
    <row r="7" ht="15" customHeight="1" s="65">
      <c r="A7" s="111" t="n"/>
    </row>
    <row r="8" ht="15" customHeight="1" s="65">
      <c r="A8" s="153" t="inlineStr">
        <is>
          <t>최적화 포인트:</t>
        </is>
      </c>
    </row>
    <row r="9" ht="15" customHeight="1" s="65">
      <c r="A9" s="113" t="inlineStr">
        <is>
          <t>- 단가/정가/할인율 컬럼 삭제 (CLAUDE.md §4 정보분류 원칙 — 단가만 대외비, 위키·보고서에 두지 않음)</t>
        </is>
      </c>
    </row>
    <row r="10" ht="15" customHeight="1" s="65">
      <c r="A10" s="113" t="inlineStr">
        <is>
          <t>- 절삭조건 계산기를 보고서 본문에 수식으로 내장 (검산 가능, 파일 분리 불필요)</t>
        </is>
      </c>
    </row>
    <row r="11" ht="15" customHeight="1" s="65">
      <c r="A11" s="113" t="inlineStr">
        <is>
          <t>- CLAUDE.md §9 필수 항목(신뢰도 4단계, 출처 ID, 설비상태, 조건변경이력, 불량기록) 신규 추가 — 기존 벤더 양식엔 없었음</t>
        </is>
      </c>
    </row>
    <row r="12" ht="15" customHeight="1" s="65">
      <c r="A12" s="113" t="inlineStr">
        <is>
          <t>- 비교 대상 수를 4개로 일반화 (기존은 3사 고정) — 향후 2~4개 비교 테스트 모두 대응</t>
        </is>
      </c>
    </row>
    <row r="13" ht="15" customHeight="1" s="65">
      <c r="A13" s="113" t="inlineStr">
        <is>
          <t>- 조건 변경 이력 표를 내장해 값 삭제 없이 버전 관리 가능하게 함</t>
        </is>
      </c>
    </row>
    <row r="14" ht="15" customHeight="1" s="65">
      <c r="A14" s="111" t="n"/>
    </row>
    <row r="15" ht="15" customHeight="1" s="65">
      <c r="A15" s="153" t="inlineStr">
        <is>
          <t>사용 흐름:</t>
        </is>
      </c>
    </row>
    <row r="16" ht="15" customHeight="1" s="65">
      <c r="A16" s="113" t="inlineStr">
        <is>
          <t>1. 테스트 전 ①②③ 작성 (목적·비교대상·절삭조건)</t>
        </is>
      </c>
    </row>
    <row r="17" ht="15" customHeight="1" s="65">
      <c r="A17" s="113" t="inlineStr">
        <is>
          <t>2. 가공 중/후 ④⑤ 기록 (설비상태·결과)</t>
        </is>
      </c>
    </row>
    <row r="18" ht="15" customHeight="1" s="65">
      <c r="A18" s="113" t="inlineStr">
        <is>
          <t>3. 불량 발생 시 ⑥ 작성</t>
        </is>
      </c>
    </row>
    <row r="19" ht="15" customHeight="1" s="65">
      <c r="A19" s="113" t="inlineStr">
        <is>
          <t>4. 완료 후 test-record 스킬로 wiki/comparisons 또는 wiki/tools 페이지에 옮겨 기록 (본 xlsx는 raw 원본으로 보존)</t>
        </is>
      </c>
    </row>
    <row r="20" ht="15" customHeight="1" s="65">
      <c r="A20" s="111" t="n"/>
    </row>
    <row r="21" ht="15" customHeight="1" s="65">
      <c r="A21" s="153" t="inlineStr">
        <is>
          <t>신뢰도: 사내 경험값 (기존 3개 양식의 실측 비교 기반 설계, 별도 외부 표준 인용 없음)</t>
        </is>
      </c>
    </row>
    <row r="22" ht="17.25" customHeight="1" s="65">
      <c r="A22" s="66" t="n"/>
    </row>
    <row r="23" ht="15" customHeight="1" s="65">
      <c r="A23" s="111" t="n"/>
    </row>
    <row r="24" ht="15" customHeight="1" s="65">
      <c r="A24" s="114" t="inlineStr">
        <is>
          <t>v1.1 개정 (2026-07-09) — raw/report 13개 폴더 전체 원본 재검토 결과 반영</t>
        </is>
      </c>
    </row>
    <row r="25" ht="15" customHeight="1" s="65">
      <c r="A25" s="111" t="n"/>
    </row>
    <row r="26" ht="43.5" customHeight="1" s="65">
      <c r="A26" s="153" t="inlineStr">
        <is>
          <t>개정 배경: 13개 폴더(아큐센터·드릴·NC드릴·맥스드릴·4F측면가공·AL엔드밀·AL코팅엔드밀·T드릴·T드릴인서트·외경홀다·ER척·앵글헤드·AL엔드밀호닝) 원본을 전량 재확인한 결과, 'CUTTING TOOLS TEST REPORT' 형식(v1.0 기반) 외에 최소 2개의 다른 반복 패턴이 확인됨.</t>
        </is>
      </c>
    </row>
    <row r="27" ht="15" customHeight="1" s="65">
      <c r="A27" s="111" t="n"/>
    </row>
    <row r="28" ht="15" customHeight="1" s="65">
      <c r="A28" s="153" t="inlineStr">
        <is>
          <t>개정 내용:</t>
        </is>
      </c>
    </row>
    <row r="29" ht="43.5" customHeight="1" s="65">
      <c r="A29" s="113" t="inlineStr">
        <is>
          <t>1. ②비교 대상 공구 표에 '조건 신규실측 여부' 행 추가 (신규/이전값 재사용/확인 필요) — AL코팅엔드밀 OKE 행이 폴더6 값을 그대로 복사해온 것을 뒤늦게 발견한 사례, AL엔드밀호닝 폴더의 '원인' 칸이 이전 테스트 문구 그대로인 사례가 반복 확인되어, 재사용 여부를 처음부터 명시하도록 함.</t>
        </is>
      </c>
    </row>
    <row r="30" ht="29.25" customHeight="1" s="65">
      <c r="A30" s="113" t="inlineStr">
        <is>
          <t>2. 신규 시트 '치수측정비교' 추가 — T드릴 인서트 외경편차, 외경홀더 인서트 포인트, T드릴 인덱서블 런아웃/경도 비교 등 '절삭 성능이 아닌 치수 정밀도 비교' 패턴이 3개 폴더에서 반복 확인되어 별도 시트로 표준화. 평균·편차 수식 내장.</t>
        </is>
      </c>
    </row>
    <row r="31" ht="29.25" customHeight="1" s="65">
      <c r="A31" s="113" t="inlineStr">
        <is>
          <t>3. 신규 시트 '도입검토평가' 추가 — 앵글헤드 테스트에서 확인된 5점 척도 종합평가+결론 형식(정밀도/가공품질/작업성/내구성 점수화, 현장적용가능여부 결론)이 장비·부속품 도입 검토에 재사용 가능한 패턴으로 판단되어 표준화.</t>
        </is>
      </c>
    </row>
    <row r="32" ht="15" customHeight="1" s="65">
      <c r="A32" s="111" t="n"/>
    </row>
    <row r="33" ht="29.25" customHeight="1" s="65">
      <c r="A33" s="153" t="inlineStr">
        <is>
          <t>미반영 사항 (v1.2 이후 검토): 순수 정성적 hwp 서술형 보고서(아큐센터·맥스드릴처럼 표/이미지 위주로 수식화하기 어려운 경우)는 표준 xlsx 양식 대상에서 제외 — 위키 문서(md)로 직접 정리하는 것이 더 적합.</t>
        </is>
      </c>
    </row>
    <row r="34">
      <c r="A34" s="135" t="n"/>
    </row>
    <row r="35" ht="17.25" customHeight="1" s="65">
      <c r="A35" s="154" t="inlineStr">
        <is>
          <t>폰트 통일 (2026-07-09): 전체 시트 맑은 고딕으로 통일, 제목 14pt / 본문·표 안 12pt (한경준님 요청)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2.42" customWidth="1" style="64" min="1" max="1"/>
    <col width="16" customWidth="1" style="64" min="2" max="2"/>
    <col width="18" customWidth="1" style="64" min="3" max="3"/>
    <col width="12" customWidth="1" style="64" min="4" max="8"/>
    <col width="22" customWidth="1" style="64" min="9" max="9"/>
  </cols>
  <sheetData>
    <row r="1" ht="27.75" customHeight="1" s="65">
      <c r="A1" s="66" t="n"/>
      <c r="B1" s="155" t="inlineStr">
        <is>
          <t>치수 측정 비교 (인서트·홀더·공구 외경/런아웃/경도 등)</t>
        </is>
      </c>
      <c r="C1" s="135" t="n"/>
      <c r="D1" s="135" t="n"/>
      <c r="E1" s="135" t="n"/>
      <c r="F1" s="135" t="n"/>
      <c r="G1" s="135" t="n"/>
      <c r="H1" s="135" t="n"/>
      <c r="I1" s="135" t="n"/>
      <c r="J1" s="66" t="n"/>
    </row>
    <row r="2" ht="15" customHeight="1" s="65">
      <c r="A2" s="66" t="n"/>
      <c r="B2" s="156" t="inlineStr">
        <is>
          <t>적용 예: T드릴 인서트 외경 편차, 외경홀더 인서트 포인트, T드릴 인덱서블 런아웃/경도 비교 등 — 절삭 성능이 아닌 치수 정밀도 비교용</t>
        </is>
      </c>
      <c r="C2" s="135" t="n"/>
      <c r="D2" s="135" t="n"/>
      <c r="E2" s="135" t="n"/>
      <c r="F2" s="135" t="n"/>
      <c r="G2" s="135" t="n"/>
      <c r="H2" s="135" t="n"/>
      <c r="I2" s="135" t="n"/>
      <c r="J2" s="66" t="n"/>
    </row>
    <row r="3" ht="17.25" customHeight="1" s="65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</row>
    <row r="4" ht="19.5" customHeight="1" s="65">
      <c r="A4" s="66" t="n"/>
      <c r="B4" s="157" t="inlineStr">
        <is>
          <t>① 측정 개요</t>
        </is>
      </c>
      <c r="C4" s="130" t="n"/>
      <c r="D4" s="130" t="n"/>
      <c r="E4" s="130" t="n"/>
      <c r="F4" s="130" t="n"/>
      <c r="G4" s="130" t="n"/>
      <c r="H4" s="130" t="n"/>
      <c r="I4" s="131" t="n"/>
      <c r="J4" s="66" t="n"/>
    </row>
    <row r="5" ht="15" customHeight="1" s="65">
      <c r="A5" s="66" t="n"/>
      <c r="B5" s="158" t="inlineStr">
        <is>
          <t>측정 목적</t>
        </is>
      </c>
      <c r="C5" s="120" t="n"/>
      <c r="D5" s="130" t="n"/>
      <c r="E5" s="130" t="n"/>
      <c r="F5" s="130" t="n"/>
      <c r="G5" s="130" t="n"/>
      <c r="H5" s="130" t="n"/>
      <c r="I5" s="130" t="n"/>
      <c r="J5" s="66" t="n"/>
    </row>
    <row r="6" ht="15" customHeight="1" s="65">
      <c r="A6" s="66" t="n"/>
      <c r="B6" s="158" t="inlineStr">
        <is>
          <t>측정 장비</t>
        </is>
      </c>
      <c r="C6" s="120" t="n"/>
      <c r="D6" s="130" t="n"/>
      <c r="E6" s="130" t="n"/>
      <c r="F6" s="130" t="n"/>
      <c r="G6" s="130" t="n"/>
      <c r="H6" s="130" t="n"/>
      <c r="I6" s="130" t="n"/>
      <c r="J6" s="66" t="n"/>
    </row>
    <row r="7" ht="15" customHeight="1" s="65">
      <c r="A7" s="66" t="n"/>
      <c r="B7" s="158" t="inlineStr">
        <is>
          <t>측정 방법</t>
        </is>
      </c>
      <c r="C7" s="120" t="n"/>
      <c r="D7" s="130" t="n"/>
      <c r="E7" s="130" t="n"/>
      <c r="F7" s="130" t="n"/>
      <c r="G7" s="130" t="n"/>
      <c r="H7" s="130" t="n"/>
      <c r="I7" s="130" t="n"/>
      <c r="J7" s="66" t="n"/>
    </row>
    <row r="8" ht="15" customHeight="1" s="65">
      <c r="A8" s="66" t="n"/>
      <c r="B8" s="158" t="inlineStr">
        <is>
          <t>기준 규격/품번</t>
        </is>
      </c>
      <c r="C8" s="120" t="n"/>
      <c r="D8" s="130" t="n"/>
      <c r="E8" s="130" t="n"/>
      <c r="F8" s="130" t="n"/>
      <c r="G8" s="130" t="n"/>
      <c r="H8" s="130" t="n"/>
      <c r="I8" s="130" t="n"/>
      <c r="J8" s="66" t="n"/>
    </row>
    <row r="9" ht="17.25" customHeight="1" s="65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</row>
    <row r="10" ht="19.5" customHeight="1" s="65">
      <c r="A10" s="66" t="n"/>
      <c r="B10" s="159" t="inlineStr">
        <is>
          <t>② 측정 결과 (제조사별 반복 측정)</t>
        </is>
      </c>
      <c r="C10" s="130" t="n"/>
      <c r="D10" s="130" t="n"/>
      <c r="E10" s="130" t="n"/>
      <c r="F10" s="130" t="n"/>
      <c r="G10" s="130" t="n"/>
      <c r="H10" s="130" t="n"/>
      <c r="I10" s="131" t="n"/>
      <c r="J10" s="66" t="n"/>
    </row>
    <row r="11" ht="15" customHeight="1" s="65">
      <c r="A11" s="66" t="n"/>
      <c r="B11" s="160" t="inlineStr">
        <is>
          <t>제조사</t>
        </is>
      </c>
      <c r="C11" s="160" t="inlineStr">
        <is>
          <t>품번/모델</t>
        </is>
      </c>
      <c r="D11" s="160" t="inlineStr">
        <is>
          <t>측정항목</t>
        </is>
      </c>
      <c r="E11" s="123" t="inlineStr">
        <is>
          <t>1차</t>
        </is>
      </c>
      <c r="F11" s="123" t="inlineStr">
        <is>
          <t>2차</t>
        </is>
      </c>
      <c r="G11" s="160" t="inlineStr">
        <is>
          <t>평균</t>
        </is>
      </c>
      <c r="H11" s="160" t="inlineStr">
        <is>
          <t>최대</t>
        </is>
      </c>
      <c r="I11" s="160" t="inlineStr">
        <is>
          <t>최소</t>
        </is>
      </c>
      <c r="J11" s="160" t="inlineStr">
        <is>
          <t>편차</t>
        </is>
      </c>
    </row>
    <row r="12" ht="15" customHeight="1" s="65">
      <c r="A12" s="66" t="n"/>
      <c r="B12" s="124" t="n"/>
      <c r="C12" s="124" t="n"/>
      <c r="D12" s="124" t="n"/>
      <c r="E12" s="124" t="n"/>
      <c r="F12" s="124" t="n"/>
      <c r="G12" s="125">
        <f>IFERROR(AVERAGE(E12:F12),"")</f>
        <v/>
      </c>
      <c r="H12" s="124" t="n"/>
      <c r="I12" s="124" t="n"/>
      <c r="J12" s="125">
        <f>IFERROR(H12-I12,"")</f>
        <v/>
      </c>
    </row>
    <row r="13" ht="15" customHeight="1" s="65">
      <c r="A13" s="66" t="n"/>
      <c r="B13" s="124" t="n"/>
      <c r="C13" s="124" t="n"/>
      <c r="D13" s="124" t="n"/>
      <c r="E13" s="124" t="n"/>
      <c r="F13" s="124" t="n"/>
      <c r="G13" s="125">
        <f>IFERROR(AVERAGE(E13:F13),"")</f>
        <v/>
      </c>
      <c r="H13" s="124" t="n"/>
      <c r="I13" s="124" t="n"/>
      <c r="J13" s="125">
        <f>IFERROR(H13-I13,"")</f>
        <v/>
      </c>
    </row>
    <row r="14" ht="15" customHeight="1" s="65">
      <c r="A14" s="66" t="n"/>
      <c r="B14" s="124" t="n"/>
      <c r="C14" s="124" t="n"/>
      <c r="D14" s="124" t="n"/>
      <c r="E14" s="124" t="n"/>
      <c r="F14" s="124" t="n"/>
      <c r="G14" s="125">
        <f>IFERROR(AVERAGE(E14:F14),"")</f>
        <v/>
      </c>
      <c r="H14" s="124" t="n"/>
      <c r="I14" s="124" t="n"/>
      <c r="J14" s="125">
        <f>IFERROR(H14-I14,"")</f>
        <v/>
      </c>
    </row>
    <row r="15" ht="15" customHeight="1" s="65">
      <c r="A15" s="66" t="n"/>
      <c r="B15" s="124" t="n"/>
      <c r="C15" s="124" t="n"/>
      <c r="D15" s="124" t="n"/>
      <c r="E15" s="124" t="n"/>
      <c r="F15" s="124" t="n"/>
      <c r="G15" s="125">
        <f>IFERROR(AVERAGE(E15:F15),"")</f>
        <v/>
      </c>
      <c r="H15" s="124" t="n"/>
      <c r="I15" s="124" t="n"/>
      <c r="J15" s="125">
        <f>IFERROR(H15-I15,"")</f>
        <v/>
      </c>
    </row>
    <row r="16" ht="15" customHeight="1" s="65">
      <c r="A16" s="66" t="n"/>
      <c r="B16" s="124" t="n"/>
      <c r="C16" s="124" t="n"/>
      <c r="D16" s="124" t="n"/>
      <c r="E16" s="124" t="n"/>
      <c r="F16" s="124" t="n"/>
      <c r="G16" s="125">
        <f>IFERROR(AVERAGE(E16:F16),"")</f>
        <v/>
      </c>
      <c r="H16" s="124" t="n"/>
      <c r="I16" s="124" t="n"/>
      <c r="J16" s="125">
        <f>IFERROR(H16-I16,"")</f>
        <v/>
      </c>
    </row>
    <row r="17" ht="15" customHeight="1" s="65">
      <c r="A17" s="66" t="n"/>
      <c r="B17" s="124" t="n"/>
      <c r="C17" s="124" t="n"/>
      <c r="D17" s="124" t="n"/>
      <c r="E17" s="124" t="n"/>
      <c r="F17" s="124" t="n"/>
      <c r="G17" s="125">
        <f>IFERROR(AVERAGE(E17:F17),"")</f>
        <v/>
      </c>
      <c r="H17" s="124" t="n"/>
      <c r="I17" s="124" t="n"/>
      <c r="J17" s="125">
        <f>IFERROR(H17-I17,"")</f>
        <v/>
      </c>
    </row>
    <row r="18" ht="15" customHeight="1" s="65">
      <c r="A18" s="66" t="n"/>
      <c r="B18" s="124" t="n"/>
      <c r="C18" s="124" t="n"/>
      <c r="D18" s="124" t="n"/>
      <c r="E18" s="124" t="n"/>
      <c r="F18" s="124" t="n"/>
      <c r="G18" s="125">
        <f>IFERROR(AVERAGE(E18:F18),"")</f>
        <v/>
      </c>
      <c r="H18" s="124" t="n"/>
      <c r="I18" s="124" t="n"/>
      <c r="J18" s="125">
        <f>IFERROR(H18-I18,"")</f>
        <v/>
      </c>
    </row>
    <row r="19" ht="15" customHeight="1" s="65">
      <c r="A19" s="66" t="n"/>
      <c r="B19" s="124" t="n"/>
      <c r="C19" s="124" t="n"/>
      <c r="D19" s="124" t="n"/>
      <c r="E19" s="124" t="n"/>
      <c r="F19" s="124" t="n"/>
      <c r="G19" s="125">
        <f>IFERROR(AVERAGE(E19:F19),"")</f>
        <v/>
      </c>
      <c r="H19" s="124" t="n"/>
      <c r="I19" s="124" t="n"/>
      <c r="J19" s="125">
        <f>IFERROR(H19-I19,"")</f>
        <v/>
      </c>
    </row>
    <row r="20" ht="15" customHeight="1" s="65">
      <c r="A20" s="66" t="n"/>
      <c r="B20" s="124" t="n"/>
      <c r="C20" s="124" t="n"/>
      <c r="D20" s="124" t="n"/>
      <c r="E20" s="124" t="n"/>
      <c r="F20" s="124" t="n"/>
      <c r="G20" s="125">
        <f>IFERROR(AVERAGE(E20:F20),"")</f>
        <v/>
      </c>
      <c r="H20" s="124" t="n"/>
      <c r="I20" s="124" t="n"/>
      <c r="J20" s="125">
        <f>IFERROR(H20-I20,"")</f>
        <v/>
      </c>
    </row>
    <row r="21" ht="15" customHeight="1" s="65">
      <c r="A21" s="66" t="n"/>
      <c r="B21" s="124" t="n"/>
      <c r="C21" s="124" t="n"/>
      <c r="D21" s="124" t="n"/>
      <c r="E21" s="124" t="n"/>
      <c r="F21" s="124" t="n"/>
      <c r="G21" s="125">
        <f>IFERROR(AVERAGE(E21:F21),"")</f>
        <v/>
      </c>
      <c r="H21" s="124" t="n"/>
      <c r="I21" s="124" t="n"/>
      <c r="J21" s="125">
        <f>IFERROR(H21-I21,"")</f>
        <v/>
      </c>
    </row>
    <row r="22" ht="17.25" customHeight="1" s="65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</row>
    <row r="23" ht="19.5" customHeight="1" s="65">
      <c r="A23" s="66" t="n"/>
      <c r="B23" s="159" t="inlineStr">
        <is>
          <t>③ 판정</t>
        </is>
      </c>
      <c r="C23" s="130" t="n"/>
      <c r="D23" s="130" t="n"/>
      <c r="E23" s="130" t="n"/>
      <c r="F23" s="130" t="n"/>
      <c r="G23" s="130" t="n"/>
      <c r="H23" s="130" t="n"/>
      <c r="I23" s="131" t="n"/>
      <c r="J23" s="66" t="n"/>
    </row>
    <row r="24" ht="15" customHeight="1" s="65">
      <c r="A24" s="66" t="n"/>
      <c r="B24" s="158" t="inlineStr">
        <is>
          <t>편차 최소(최우수)</t>
        </is>
      </c>
      <c r="C24" s="120" t="n"/>
      <c r="D24" s="130" t="n"/>
      <c r="E24" s="130" t="n"/>
      <c r="F24" s="130" t="n"/>
      <c r="G24" s="130" t="n"/>
      <c r="H24" s="130" t="n"/>
      <c r="I24" s="130" t="n"/>
      <c r="J24" s="66" t="n"/>
    </row>
    <row r="25" ht="15" customHeight="1" s="65">
      <c r="A25" s="66" t="n"/>
      <c r="B25" s="158" t="inlineStr">
        <is>
          <t>정밀 가공 추천</t>
        </is>
      </c>
      <c r="C25" s="120" t="n"/>
      <c r="D25" s="130" t="n"/>
      <c r="E25" s="130" t="n"/>
      <c r="F25" s="130" t="n"/>
      <c r="G25" s="130" t="n"/>
      <c r="H25" s="130" t="n"/>
      <c r="I25" s="130" t="n"/>
      <c r="J25" s="66" t="n"/>
    </row>
    <row r="26" ht="15" customHeight="1" s="65">
      <c r="A26" s="66" t="n"/>
      <c r="B26" s="158" t="inlineStr">
        <is>
          <t>부적합 판정</t>
        </is>
      </c>
      <c r="C26" s="120" t="n"/>
      <c r="D26" s="130" t="n"/>
      <c r="E26" s="130" t="n"/>
      <c r="F26" s="130" t="n"/>
      <c r="G26" s="130" t="n"/>
      <c r="H26" s="130" t="n"/>
      <c r="I26" s="130" t="n"/>
      <c r="J26" s="66" t="n"/>
    </row>
  </sheetData>
  <mergeCells count="12">
    <mergeCell ref="B1:I1"/>
    <mergeCell ref="C26:I26"/>
    <mergeCell ref="B2:I2"/>
    <mergeCell ref="C8:I8"/>
    <mergeCell ref="B10:I10"/>
    <mergeCell ref="C5:I5"/>
    <mergeCell ref="C6:I6"/>
    <mergeCell ref="C7:I7"/>
    <mergeCell ref="C24:I24"/>
    <mergeCell ref="B23:I23"/>
    <mergeCell ref="C25:I25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0" zeroHeight="0" outlineLevelRow="0"/>
  <cols>
    <col width="2.42" customWidth="1" style="64" min="1" max="1"/>
    <col width="22" customWidth="1" style="64" min="2" max="2"/>
    <col width="14" customWidth="1" style="64" min="3" max="3"/>
    <col width="40" customWidth="1" style="64" min="4" max="4"/>
    <col width="2.42" customWidth="1" style="64" min="5" max="5"/>
  </cols>
  <sheetData>
    <row r="1" ht="27.75" customHeight="1" s="65">
      <c r="A1" s="66" t="n"/>
      <c r="B1" s="155" t="inlineStr">
        <is>
          <t>장비·부속품 도입 검토 평가 (5점 척도)</t>
        </is>
      </c>
      <c r="C1" s="135" t="n"/>
      <c r="D1" s="135" t="n"/>
    </row>
    <row r="2" ht="15" customHeight="1" s="65">
      <c r="A2" s="66" t="n"/>
      <c r="B2" s="156" t="inlineStr">
        <is>
          <t>적용 예: 앵글헤드·홀더·아큐센터 등 신규 장비/부속품 현장 적용 여부 검토용</t>
        </is>
      </c>
      <c r="C2" s="135" t="n"/>
      <c r="D2" s="135" t="n"/>
    </row>
    <row r="3" ht="17.25" customHeight="1" s="65">
      <c r="A3" s="66" t="n"/>
      <c r="B3" s="66" t="n"/>
      <c r="C3" s="66" t="n"/>
      <c r="D3" s="66" t="n"/>
    </row>
    <row r="4" ht="19.5" customHeight="1" s="65">
      <c r="A4" s="66" t="n"/>
      <c r="B4" s="157" t="inlineStr">
        <is>
          <t>① 기본 정보</t>
        </is>
      </c>
      <c r="C4" s="130" t="n"/>
      <c r="D4" s="131" t="n"/>
    </row>
    <row r="5" ht="15" customHeight="1" s="65">
      <c r="A5" s="66" t="n"/>
      <c r="B5" s="158" t="inlineStr">
        <is>
          <t>제품명/모델</t>
        </is>
      </c>
      <c r="C5" s="124" t="n"/>
      <c r="D5" s="131" t="n"/>
    </row>
    <row r="6" ht="15" customHeight="1" s="65">
      <c r="A6" s="66" t="n"/>
      <c r="B6" s="158" t="inlineStr">
        <is>
          <t>제조사</t>
        </is>
      </c>
      <c r="C6" s="124" t="n"/>
      <c r="D6" s="131" t="n"/>
    </row>
    <row r="7" ht="15" customHeight="1" s="65">
      <c r="A7" s="66" t="n"/>
      <c r="B7" s="158" t="inlineStr">
        <is>
          <t>테스트 일자</t>
        </is>
      </c>
      <c r="C7" s="124" t="n"/>
      <c r="D7" s="131" t="n"/>
    </row>
    <row r="8" ht="15" customHeight="1" s="65">
      <c r="A8" s="66" t="n"/>
      <c r="B8" s="158" t="inlineStr">
        <is>
          <t>적용 장비</t>
        </is>
      </c>
      <c r="C8" s="124" t="n"/>
      <c r="D8" s="131" t="n"/>
    </row>
    <row r="9" ht="15" customHeight="1" s="65">
      <c r="A9" s="66" t="n"/>
      <c r="B9" s="158" t="inlineStr">
        <is>
          <t>테스트 목적</t>
        </is>
      </c>
      <c r="C9" s="124" t="n"/>
      <c r="D9" s="131" t="n"/>
    </row>
    <row r="10" ht="17.25" customHeight="1" s="65">
      <c r="A10" s="66" t="n"/>
      <c r="B10" s="66" t="n"/>
      <c r="C10" s="66" t="n"/>
      <c r="D10" s="66" t="n"/>
    </row>
    <row r="11" ht="19.5" customHeight="1" s="65">
      <c r="A11" s="66" t="n"/>
      <c r="B11" s="161" t="inlineStr">
        <is>
          <t>② 평가 (5점 만점)</t>
        </is>
      </c>
      <c r="C11" s="130" t="n"/>
      <c r="D11" s="131" t="n"/>
    </row>
    <row r="12" ht="15" customHeight="1" s="65">
      <c r="A12" s="66" t="n"/>
      <c r="B12" s="162" t="inlineStr">
        <is>
          <t>평가 항목</t>
        </is>
      </c>
      <c r="C12" s="162" t="inlineStr">
        <is>
          <t>점수(5점)</t>
        </is>
      </c>
      <c r="D12" s="162" t="inlineStr">
        <is>
          <t>비고</t>
        </is>
      </c>
    </row>
    <row r="13" ht="15" customHeight="1" s="65">
      <c r="A13" s="66" t="n"/>
      <c r="B13" s="163" t="inlineStr">
        <is>
          <t>정밀도</t>
        </is>
      </c>
      <c r="C13" s="124" t="n"/>
      <c r="D13" s="124" t="n"/>
    </row>
    <row r="14" ht="15" customHeight="1" s="65">
      <c r="A14" s="66" t="n"/>
      <c r="B14" s="163" t="inlineStr">
        <is>
          <t>가공품질</t>
        </is>
      </c>
      <c r="C14" s="124" t="n"/>
      <c r="D14" s="124" t="n"/>
    </row>
    <row r="15" ht="15" customHeight="1" s="65">
      <c r="A15" s="66" t="n"/>
      <c r="B15" s="163" t="inlineStr">
        <is>
          <t>작업성</t>
        </is>
      </c>
      <c r="C15" s="124" t="n"/>
      <c r="D15" s="124" t="n"/>
    </row>
    <row r="16" ht="15" customHeight="1" s="65">
      <c r="A16" s="66" t="n"/>
      <c r="B16" s="163" t="inlineStr">
        <is>
          <t>내구성</t>
        </is>
      </c>
      <c r="C16" s="124" t="n"/>
      <c r="D16" s="124" t="n"/>
    </row>
    <row r="17" ht="15" customHeight="1" s="65">
      <c r="A17" s="66" t="n"/>
      <c r="B17" s="158" t="inlineStr">
        <is>
          <t>종합 (20점 만점)</t>
        </is>
      </c>
      <c r="C17" s="158">
        <f>SUM(C13:C16)</f>
        <v/>
      </c>
      <c r="D17" s="124" t="n"/>
    </row>
    <row r="18" ht="17.25" customHeight="1" s="65">
      <c r="A18" s="66" t="n"/>
      <c r="B18" s="66" t="n"/>
      <c r="C18" s="66" t="n"/>
      <c r="D18" s="66" t="n"/>
    </row>
    <row r="19" ht="19.5" customHeight="1" s="65">
      <c r="A19" s="66" t="n"/>
      <c r="B19" s="161" t="inlineStr">
        <is>
          <t>③ 결론</t>
        </is>
      </c>
      <c r="C19" s="130" t="n"/>
      <c r="D19" s="131" t="n"/>
    </row>
    <row r="20" ht="15" customHeight="1" s="65">
      <c r="A20" s="66" t="n"/>
      <c r="B20" s="158" t="inlineStr">
        <is>
          <t>현장 적용 가능 여부 (가능/조건부/불가)</t>
        </is>
      </c>
      <c r="C20" s="124" t="n"/>
      <c r="D20" s="131" t="n"/>
    </row>
    <row r="21" ht="15" customHeight="1" s="65">
      <c r="A21" s="66" t="n"/>
      <c r="B21" s="158" t="inlineStr">
        <is>
          <t>추천 적용 공정</t>
        </is>
      </c>
      <c r="C21" s="124" t="n"/>
      <c r="D21" s="131" t="n"/>
    </row>
    <row r="22" ht="15" customHeight="1" s="65">
      <c r="A22" s="66" t="n"/>
      <c r="B22" s="158" t="inlineStr">
        <is>
          <t>문제점·개선사항</t>
        </is>
      </c>
      <c r="C22" s="124" t="n"/>
      <c r="D22" s="131" t="n"/>
    </row>
    <row r="23" ht="15" customHeight="1" s="65">
      <c r="A23" s="66" t="n"/>
      <c r="B23" s="158" t="inlineStr">
        <is>
          <t>추가 테스트 필요 여부</t>
        </is>
      </c>
      <c r="C23" s="124" t="n"/>
      <c r="D23" s="131" t="n"/>
    </row>
  </sheetData>
  <mergeCells count="14">
    <mergeCell ref="B11:D11"/>
    <mergeCell ref="C20:D20"/>
    <mergeCell ref="B19:D19"/>
    <mergeCell ref="C6:D6"/>
    <mergeCell ref="C7:D7"/>
    <mergeCell ref="C21:D21"/>
    <mergeCell ref="B1:D1"/>
    <mergeCell ref="C5:D5"/>
    <mergeCell ref="B4:D4"/>
    <mergeCell ref="B2:D2"/>
    <mergeCell ref="C22:D22"/>
    <mergeCell ref="C9:D9"/>
    <mergeCell ref="C23:D23"/>
    <mergeCell ref="C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2026-07-09T01:18:14Z</dcterms:created>
  <dcterms:modified xmlns:dcterms="http://purl.org/dc/terms/" xmlns:xsi="http://www.w3.org/2001/XMLSchema-instance" xsi:type="dcterms:W3CDTF">2026-07-10T04:55:28Z</dcterms:modified>
  <cp:lastModifiedBy>TOOLKOREA</cp:lastModifiedBy>
  <cp:revision>0</cp:revision>
</cp:coreProperties>
</file>