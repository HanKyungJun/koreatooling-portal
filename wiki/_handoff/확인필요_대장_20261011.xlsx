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'대장'!$A$3:$N$400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7">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FF2CC"/>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4" borderId="1" applyAlignment="1" pivotButton="0" quotePrefix="0" xfId="0">
      <alignment horizontal="left" vertical="center"/>
    </xf>
    <xf numFmtId="0" fontId="3" fillId="0" borderId="1" applyAlignment="1" pivotButton="0" quotePrefix="0" xfId="0">
      <alignment horizontal="left" vertical="center"/>
    </xf>
    <xf numFmtId="0" fontId="7" fillId="5"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(2026-10-11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(섹션 단위)</t>
        </is>
      </c>
      <c r="C9" s="3" t="inlineStr">
        <is>
          <t>2026-09-21 추가 — 제목에 「원문 보존」이 든 섹션은 다음 동급·상위 제목까지 통째로 제외. 이 위키는 삭제 금지가 원칙이라 종결분 원문이 계속 쌓이는데, 그것까지 세면 대장이 부풀어 못 쓴다</t>
        </is>
      </c>
    </row>
    <row r="10" ht="52" customHeight="1">
      <c r="A10" s="4" t="inlineStr">
        <is>
          <t>제외 (표기 단위)</t>
        </is>
      </c>
      <c r="C10" s="3" t="inlineStr">
        <is>
          <t>2026-08-28 추가 — ①취소선(~~…~~)으로 지워진 표기 ②「"확인 필요" … 해소」처럼 종결을 서술한 문장 ③문서 하단 「작성: … / 갱신(…)」 이력 줄</t>
        </is>
      </c>
    </row>
    <row r="11">
      <c r="A11" s="4" t="inlineStr">
        <is>
          <t>추출 건수</t>
        </is>
      </c>
      <c r="C11" s="3" t="inlineStr">
        <is>
          <t>397건</t>
        </is>
      </c>
    </row>
    <row r="12">
      <c r="A12" s="4" t="inlineStr"/>
      <c r="C12" s="3" t="inlineStr"/>
    </row>
    <row r="13">
      <c r="A13" s="2" t="inlineStr">
        <is>
          <t>■ 우선순위 정의</t>
        </is>
      </c>
      <c r="C13" s="3" t="inlineStr"/>
    </row>
    <row r="14">
      <c r="A14" s="4" t="inlineStr">
        <is>
          <t>A-긴급</t>
        </is>
      </c>
      <c r="C14" s="3" t="inlineStr">
        <is>
          <t>🔴 표기가 있고 **대기 신호가 없는** 항목 — 지금 손댈 수 있는 것 (0건)</t>
        </is>
      </c>
    </row>
    <row r="15" ht="52" customHeight="1">
      <c r="A15" s="4" t="inlineStr">
        <is>
          <t>A-대기</t>
        </is>
      </c>
      <c r="C15" s="3" t="inlineStr">
        <is>
          <t>🔴 표기가 있으나 「추정하지 않는다·열어 둔다·방침·보류·회신·문의하기로」 등 대기 표현이 함께 있는 항목 — 일부러 열어 뒀거나 외부 대기 (6건). ⚠️ 2026-09-14 신설. 이전 판에서는 전부 A-긴급으로 세었으므로 A-긴급 건수를 09-07판 이전과 직접 비교하지 말 것 — 분류만 바뀐 것이다.</t>
        </is>
      </c>
    </row>
    <row r="16">
      <c r="A16" s="4" t="inlineStr">
        <is>
          <t>B-장기미해결</t>
        </is>
      </c>
      <c r="C16" s="3" t="inlineStr">
        <is>
          <t>관련일자로부터 365일 초과 (9건)</t>
        </is>
      </c>
    </row>
    <row r="17">
      <c r="A17" s="4" t="inlineStr">
        <is>
          <t>B-경과90일+</t>
        </is>
      </c>
      <c r="C17" s="3" t="inlineStr">
        <is>
          <t>관련일자로부터 90일 초과 (91건)</t>
        </is>
      </c>
    </row>
    <row r="18">
      <c r="A18" s="4" t="inlineStr">
        <is>
          <t>C-일반</t>
        </is>
      </c>
      <c r="C18" s="3" t="inlineStr">
        <is>
          <t>그 외 (272건)</t>
        </is>
      </c>
    </row>
    <row r="19" ht="52" customHeight="1">
      <c r="A19" s="4" t="inlineStr">
        <is>
          <t>C-해소추정</t>
        </is>
      </c>
      <c r="C19" s="3" t="inlineStr">
        <is>
          <t>⛔ 2026-08-28 폐지 — 「같은 줄에 ✅」 규칙은 오판이 많았다(33건 중 실제 종결은 11건뿐). 실제 종결분은 이제 추출 단계에서 제외되고, 나머지는 열린 항목이므로 C-일반으로 들어간다.</t>
        </is>
      </c>
    </row>
    <row r="20">
      <c r="A20" s="4" t="inlineStr">
        <is>
          <t>D-중복</t>
        </is>
      </c>
      <c r="C20" s="3" t="inlineStr">
        <is>
          <t>다른 문서에 같은 내용이 이미 있음 (19건)</t>
        </is>
      </c>
    </row>
    <row r="21">
      <c r="A21" s="4" t="inlineStr"/>
      <c r="C21" s="3" t="inlineStr"/>
    </row>
    <row r="22" ht="52" customHeight="1">
      <c r="A22" s="2" t="inlineStr">
        <is>
          <t>■ 「관련일자」의 의미</t>
        </is>
      </c>
      <c r="C22"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3">
      <c r="A23" s="4" t="inlineStr"/>
      <c r="C23" s="3" t="inlineStr"/>
    </row>
    <row r="24">
      <c r="A24" s="2" t="inlineStr">
        <is>
          <t>■ 사용법</t>
        </is>
      </c>
      <c r="C24" s="3" t="inlineStr"/>
    </row>
    <row r="25" ht="52" customHeight="1">
      <c r="A25" s="4" t="inlineStr">
        <is>
          <t>1</t>
        </is>
      </c>
      <c r="C25" s="3" t="inlineStr">
        <is>
          <t>A-긴급(지금 할 수 있는 것) → A-대기(무엇을 기다리는지·얼마나 됐는지 확인) → B-장기미해결 순으로 훑는다. A-대기의 경과일이 길면 「기다린다」는 방침 자체를 재검토한다.</t>
        </is>
      </c>
    </row>
    <row r="26">
      <c r="A26" s="4" t="inlineStr">
        <is>
          <t>2</t>
        </is>
      </c>
      <c r="C26" s="3" t="inlineStr">
        <is>
          <t>한 문서에 여러 건이 몰려 있으면 그 문서를 한 번에 여는 것이 가장 값싸다 — 「문서별 집계」 시트 참조.</t>
        </is>
      </c>
    </row>
    <row r="27">
      <c r="A27" s="4" t="inlineStr">
        <is>
          <t>3</t>
        </is>
      </c>
      <c r="C27" s="3" t="inlineStr">
        <is>
          <t>조치·담당·완료일 열(노란 칸)에 기입하고, 닫힌 항목은 원본 문서에서 「확인 필요」 표기를 지운 뒤 이 대장을 다시 뽑는다.</t>
        </is>
      </c>
    </row>
    <row r="28">
      <c r="A28" s="4" t="inlineStr">
        <is>
          <t>4</t>
        </is>
      </c>
      <c r="C28" s="3" t="inlineStr">
        <is>
          <t>원본 문서·라인 번호가 있으므로 바로 찾아갈 수 있다.</t>
        </is>
      </c>
    </row>
    <row r="29">
      <c r="A29" s="4" t="inlineStr"/>
      <c r="C29" s="3" t="inlineStr"/>
    </row>
    <row r="30">
      <c r="A30" s="2" t="inlineStr">
        <is>
          <t>■ 재생성</t>
        </is>
      </c>
      <c r="C30" s="3" t="inlineStr">
        <is>
          <t>python scripts/extract_openq.py — 원본 문서가 바뀌면 다시 뽑는다. 파일명에 날짜가 들어가므로 이전 판은 덮어쓰지 않는다.</t>
        </is>
      </c>
    </row>
    <row r="31">
      <c r="A31" s="4" t="inlineStr"/>
      <c r="C31" s="3" t="inlineStr"/>
    </row>
    <row r="32">
      <c r="A32" s="2" t="inlineStr">
        <is>
          <t>■ 신뢰도</t>
        </is>
      </c>
      <c r="C32" s="3" t="inlineStr">
        <is>
          <t>실측 검증 — 위키 원문 직접 추출. 단 「해소추정」은 문장 형태로 판단한 것이라 오판 가능 — 사람 확인 필요.</t>
        </is>
      </c>
    </row>
  </sheetData>
  <mergeCells count="31">
    <mergeCell ref="C17:F17"/>
    <mergeCell ref="C23:F23"/>
    <mergeCell ref="C8:F8"/>
    <mergeCell ref="C7:F7"/>
    <mergeCell ref="C32:F32"/>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C31:F31"/>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00"/>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(397건)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A-대기</t>
        </is>
      </c>
      <c r="C4" s="8" t="inlineStr">
        <is>
          <t>공구·휠</t>
        </is>
      </c>
      <c r="D4" s="8" t="inlineStr">
        <is>
          <t>tools/wheels/스택-1-2.md</t>
        </is>
      </c>
      <c r="E4" s="8" t="n">
        <v>80</v>
      </c>
      <c r="F4" s="8" t="inlineStr">
        <is>
          <t>확인 필요</t>
        </is>
      </c>
      <c r="G4" s="8" t="inlineStr">
        <is>
          <t>2026-09-11</t>
        </is>
      </c>
      <c r="H4" s="8" t="n">
        <v>30</v>
      </c>
      <c r="I4" s="8" t="n"/>
      <c r="J4" s="9" t="inlineStr">
        <is>
          <t>🔴 확인 필요 — 「휠 떨림」의 원인은 미확정입니다 (현상은 확정, 원인은 추정 금지). 후보:</t>
        </is>
      </c>
      <c r="K4" s="10" t="inlineStr"/>
      <c r="L4" s="10" t="inlineStr"/>
      <c r="M4" s="10" t="inlineStr"/>
      <c r="N4" s="10" t="inlineStr"/>
    </row>
    <row r="5">
      <c r="A5" s="7" t="n">
        <v>2</v>
      </c>
      <c r="B5" s="7" t="inlineStr">
        <is>
          <t>A-대기</t>
        </is>
      </c>
      <c r="C5" s="11" t="inlineStr">
        <is>
          <t>공구·휠</t>
        </is>
      </c>
      <c r="D5" s="11" t="inlineStr">
        <is>
          <t>tools/wheels/스택-1-2.md</t>
        </is>
      </c>
      <c r="E5" s="11" t="n">
        <v>93</v>
      </c>
      <c r="F5" s="11" t="inlineStr">
        <is>
          <t>미확정</t>
        </is>
      </c>
      <c r="G5" s="11" t="inlineStr">
        <is>
          <t>2026-09-14</t>
        </is>
      </c>
      <c r="H5" s="11" t="n">
        <v>27</v>
      </c>
      <c r="I5" s="11" t="n"/>
      <c r="J5" s="12" t="inlineStr">
        <is>
          <t>⇒ 2026-09-14 한경준님 확인: 사내에 근거 자료가 없다. 추정하지 않고 타 업체 카탈로그의 형상별·직경별 권장 RPM 을 조사해 참조 기준을 만드는 쪽으로 방향을 잡는다. → ✅ 2026-09-14 조사 완료: 휠 카탈로그에는 본드별·건습식별 원주속도만 있고 공구 직경별 배분은 없다. 제조사·학술 자료를 대신 확보했다 — ANCA 실사용 사례표와 공격성 지수 이론. 🔴 다만 두 근거가 반대 방향을 가리켜 배분 방향은 여전히 미확정이다. 상세·판별 테스트 설계: tools/공구-직경별-연삭조건 §1-B</t>
        </is>
      </c>
      <c r="K5" s="10" t="inlineStr"/>
      <c r="L5" s="10" t="inlineStr"/>
      <c r="M5" s="10" t="inlineStr"/>
      <c r="N5" s="10" t="inlineStr"/>
    </row>
    <row r="6">
      <c r="A6" s="7" t="n">
        <v>3</v>
      </c>
      <c r="B6" s="7" t="inlineStr">
        <is>
          <t>A-대기</t>
        </is>
      </c>
      <c r="C6" s="8" t="inlineStr">
        <is>
          <t>트러블슈팅</t>
        </is>
      </c>
      <c r="D6" s="8" t="inlineStr">
        <is>
          <t>troubleshoot/사내-공유폴더-SMB-자격증명.md</t>
        </is>
      </c>
      <c r="E6" s="8" t="n">
        <v>82</v>
      </c>
      <c r="F6" s="8" t="inlineStr">
        <is>
          <t>미확정</t>
        </is>
      </c>
      <c r="G6" s="8" t="inlineStr">
        <is>
          <t>2026-09-21</t>
        </is>
      </c>
      <c r="H6" s="8" t="n">
        <v>20</v>
      </c>
      <c r="I6" s="8" t="n"/>
      <c r="J6" s="9" t="inlineStr">
        <is>
          <t>hzn2001@toolkorea.co.kr 의 정오 | 🔴 미확정 — 15:08 실패 회차는 계정명과 암호가 동시에 바뀌어 단일 변수 대조가 아니다. 추정하지 않는다</t>
        </is>
      </c>
      <c r="K6" s="10" t="inlineStr"/>
      <c r="L6" s="10" t="inlineStr"/>
      <c r="M6" s="10" t="inlineStr"/>
      <c r="N6" s="10" t="inlineStr"/>
    </row>
    <row r="7">
      <c r="A7" s="7" t="n">
        <v>4</v>
      </c>
      <c r="B7" s="7" t="inlineStr">
        <is>
          <t>A-대기</t>
        </is>
      </c>
      <c r="C7" s="11" t="inlineStr">
        <is>
          <t>비교분석</t>
        </is>
      </c>
      <c r="D7" s="11" t="inlineStr">
        <is>
          <t>comparisons/출하현황-거래처별-8월-급감-분석-2026.md</t>
        </is>
      </c>
      <c r="E7" s="11" t="n">
        <v>220</v>
      </c>
      <c r="F7" s="11" t="inlineStr">
        <is>
          <t>확인 필요</t>
        </is>
      </c>
      <c r="G7" s="11" t="n"/>
      <c r="H7" s="11" t="n"/>
      <c r="I7" s="11" t="n"/>
      <c r="J7" s="12" t="inlineStr">
        <is>
          <t>🔴 확인 필요 — 추정하지 않는다</t>
        </is>
      </c>
      <c r="K7" s="10" t="inlineStr"/>
      <c r="L7" s="10" t="inlineStr"/>
      <c r="M7" s="10" t="inlineStr"/>
      <c r="N7" s="10" t="inlineStr"/>
    </row>
    <row r="8">
      <c r="A8" s="7" t="n">
        <v>5</v>
      </c>
      <c r="B8" s="7" t="inlineStr">
        <is>
          <t>A-대기</t>
        </is>
      </c>
      <c r="C8" s="8" t="inlineStr">
        <is>
          <t>법규</t>
        </is>
      </c>
      <c r="D8" s="8" t="inlineStr">
        <is>
          <t>compliance/작업환경측정.md</t>
        </is>
      </c>
      <c r="E8" s="8" t="n">
        <v>141</v>
      </c>
      <c r="F8" s="8" t="inlineStr">
        <is>
          <t>미확정</t>
        </is>
      </c>
      <c r="G8" s="8" t="n"/>
      <c r="H8" s="8" t="n"/>
      <c r="I8" s="8" t="n"/>
      <c r="J8" s="9"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8" s="10" t="inlineStr"/>
      <c r="L8" s="10" t="inlineStr"/>
      <c r="M8" s="10" t="inlineStr"/>
      <c r="N8" s="10" t="inlineStr"/>
    </row>
    <row r="9">
      <c r="A9" s="7" t="n">
        <v>6</v>
      </c>
      <c r="B9" s="7" t="inlineStr">
        <is>
          <t>A-대기</t>
        </is>
      </c>
      <c r="C9" s="11" t="inlineStr">
        <is>
          <t>설비</t>
        </is>
      </c>
      <c r="D9" s="11" t="inlineStr">
        <is>
          <t>machines/anca-cnc-tool-grinder.md</t>
        </is>
      </c>
      <c r="E9" s="11" t="n">
        <v>298</v>
      </c>
      <c r="F9" s="11" t="inlineStr">
        <is>
          <t>미확정</t>
        </is>
      </c>
      <c r="G9" s="11" t="n"/>
      <c r="H9" s="11" t="n"/>
      <c r="I9" s="11" t="n"/>
      <c r="J9" s="12" t="inlineStr">
        <is>
          <t>🔴 떨림의 원인 자체는 미확정 — 휠 밸런스 불량(유력) / 휠팩 총중량 / 스핀들 베어링 / 휠 마모 편심 / 아버·플랜지 체결. 추정하지 않습니다 → troubleshoot/채터-chatter · troubleshoot/런아웃-편심.</t>
        </is>
      </c>
      <c r="K9" s="10" t="inlineStr"/>
      <c r="L9" s="10" t="inlineStr"/>
      <c r="M9" s="10" t="inlineStr"/>
      <c r="N9" s="10" t="inlineStr"/>
    </row>
    <row r="10">
      <c r="A10" s="7" t="n">
        <v>7</v>
      </c>
      <c r="B10" s="7" t="inlineStr">
        <is>
          <t>B-장기미해결</t>
        </is>
      </c>
      <c r="C10" s="8" t="inlineStr">
        <is>
          <t>설비·정비</t>
        </is>
      </c>
      <c r="D10" s="8" t="inlineStr">
        <is>
          <t>repairs/과거-수리이력-백필-2021-2025.md</t>
        </is>
      </c>
      <c r="E10" s="8" t="n">
        <v>248</v>
      </c>
      <c r="F10" s="8" t="inlineStr">
        <is>
          <t>확인 필요</t>
        </is>
      </c>
      <c r="G10" s="8" t="inlineStr">
        <is>
          <t>2022-11-09</t>
        </is>
      </c>
      <c r="H10" s="8" t="n">
        <v>1432</v>
      </c>
      <c r="I10" s="8" t="n"/>
      <c r="J10"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10" s="10" t="inlineStr"/>
      <c r="L10" s="10" t="inlineStr"/>
      <c r="M10" s="10" t="inlineStr"/>
      <c r="N10" s="10" t="inlineStr"/>
    </row>
    <row r="11">
      <c r="A11" s="7" t="n">
        <v>8</v>
      </c>
      <c r="B11" s="7" t="inlineStr">
        <is>
          <t>B-장기미해결</t>
        </is>
      </c>
      <c r="C11" s="11" t="inlineStr">
        <is>
          <t>설비·정비</t>
        </is>
      </c>
      <c r="D11" s="11" t="inlineStr">
        <is>
          <t>repairs/README.md</t>
        </is>
      </c>
      <c r="E11" s="11" t="n">
        <v>46</v>
      </c>
      <c r="F11" s="11" t="inlineStr">
        <is>
          <t>확인 필요</t>
        </is>
      </c>
      <c r="G11" s="11" t="inlineStr">
        <is>
          <t>2025-05-29</t>
        </is>
      </c>
      <c r="H11" s="11" t="n">
        <v>500</v>
      </c>
      <c r="I11" s="11" t="n"/>
      <c r="J11" s="12" t="inlineStr">
        <is>
          <t>쿨런트 차단기 교체 — ICN-3088-0128SP / Moeller PKZM0-6.3-SP(4.0~6.3 A), 제어반 EATON XTCE018C10 컨택터 2개 확인 | 확인 필요 | ✅ 부품 확정</t>
        </is>
      </c>
      <c r="K11" s="10" t="inlineStr"/>
      <c r="L11" s="10" t="inlineStr"/>
      <c r="M11" s="10" t="inlineStr"/>
      <c r="N11" s="10" t="inlineStr"/>
    </row>
    <row r="12">
      <c r="A12" s="7" t="n">
        <v>9</v>
      </c>
      <c r="B12" s="7" t="inlineStr">
        <is>
          <t>B-장기미해결</t>
        </is>
      </c>
      <c r="C12" s="8" t="inlineStr">
        <is>
          <t>설비·정비</t>
        </is>
      </c>
      <c r="D12" s="8" t="inlineStr">
        <is>
          <t>repairs/과거-수리이력-백필-2021-2025.md</t>
        </is>
      </c>
      <c r="E12" s="8" t="n">
        <v>39</v>
      </c>
      <c r="F12" s="8" t="inlineStr">
        <is>
          <t>확인 필요</t>
        </is>
      </c>
      <c r="G12" s="8" t="inlineStr">
        <is>
          <t>2025-05-29</t>
        </is>
      </c>
      <c r="H12" s="8" t="n">
        <v>500</v>
      </c>
      <c r="I12" s="8" t="n"/>
      <c r="J12" s="9" t="inlineStr">
        <is>
          <t>~ 06-18 | [쿨런트 차단기 부품 교체](#9) | 확인 필요 | 발주서 + 사진 2장 + 송금확인증 | ✅ 부품 확정</t>
        </is>
      </c>
      <c r="K12" s="10" t="inlineStr"/>
      <c r="L12" s="10" t="inlineStr"/>
      <c r="M12" s="10" t="inlineStr"/>
      <c r="N12" s="10" t="inlineStr"/>
    </row>
    <row r="13">
      <c r="A13" s="7" t="n">
        <v>10</v>
      </c>
      <c r="B13" s="7" t="inlineStr">
        <is>
          <t>B-장기미해결</t>
        </is>
      </c>
      <c r="C13" s="11" t="inlineStr">
        <is>
          <t>설비·정비</t>
        </is>
      </c>
      <c r="D13" s="11" t="inlineStr">
        <is>
          <t>repairs/README.md</t>
        </is>
      </c>
      <c r="E13" s="11" t="n">
        <v>47</v>
      </c>
      <c r="F13" s="11" t="inlineStr">
        <is>
          <t>확인 필요</t>
        </is>
      </c>
      <c r="G13" s="11" t="inlineStr">
        <is>
          <t>2025-08-05</t>
        </is>
      </c>
      <c r="H13" s="11" t="n">
        <v>432</v>
      </c>
      <c r="I13" s="11" t="n"/>
      <c r="J13" s="12" t="inlineStr">
        <is>
          <t>스프링 파손 (인장 스프링 끝단 훅 절손) | 확인 필요 | 부위·부품 확인 필요</t>
        </is>
      </c>
      <c r="K13" s="10" t="inlineStr"/>
      <c r="L13" s="10" t="inlineStr"/>
      <c r="M13" s="10" t="inlineStr"/>
      <c r="N13" s="10" t="inlineStr"/>
    </row>
    <row r="14">
      <c r="A14" s="7" t="n">
        <v>11</v>
      </c>
      <c r="B14" s="7" t="inlineStr">
        <is>
          <t>B-장기미해결</t>
        </is>
      </c>
      <c r="C14" s="8" t="inlineStr">
        <is>
          <t>설비·정비</t>
        </is>
      </c>
      <c r="D14" s="8" t="inlineStr">
        <is>
          <t>repairs/과거-수리이력-백필-2021-2025.md</t>
        </is>
      </c>
      <c r="E14" s="8" t="n">
        <v>40</v>
      </c>
      <c r="F14" s="8" t="inlineStr">
        <is>
          <t>확인 필요</t>
        </is>
      </c>
      <c r="G14" s="8" t="inlineStr">
        <is>
          <t>2025-08-05</t>
        </is>
      </c>
      <c r="H14" s="8" t="n">
        <v>432</v>
      </c>
      <c r="I14" s="8" t="n"/>
      <c r="J14" s="9" t="inlineStr">
        <is>
          <t>[스프링 파손 수리](#10) | 확인 필요 | 사진 5장(파손 2·수리 3) | 부위·부품 확인 필요</t>
        </is>
      </c>
      <c r="K14" s="10" t="inlineStr"/>
      <c r="L14" s="10" t="inlineStr"/>
      <c r="M14" s="10" t="inlineStr"/>
      <c r="N14" s="10" t="inlineStr"/>
    </row>
    <row r="15">
      <c r="A15" s="7" t="n">
        <v>12</v>
      </c>
      <c r="B15" s="7" t="inlineStr">
        <is>
          <t>B-장기미해결</t>
        </is>
      </c>
      <c r="C15" s="11" t="inlineStr">
        <is>
          <t>설비·정비</t>
        </is>
      </c>
      <c r="D15" s="11" t="inlineStr">
        <is>
          <t>repairs/README.md</t>
        </is>
      </c>
      <c r="E15" s="11" t="n">
        <v>48</v>
      </c>
      <c r="F15" s="11" t="inlineStr">
        <is>
          <t>확인 필요</t>
        </is>
      </c>
      <c r="G15" s="11" t="inlineStr">
        <is>
          <t>2025-08-12</t>
        </is>
      </c>
      <c r="H15" s="11" t="n">
        <v>425</v>
      </c>
      <c r="I15" s="11" t="n"/>
      <c r="J15" s="12" t="inlineStr">
        <is>
          <t>에어 센서 문제 — ALM 0408 스핀들 공기 퍼지 이상, SMC SYJ7120-5LOZ-01 밸브 + ISE1-01-55L 압력스위치 | 확인 필요 | ✅ 부품 확정</t>
        </is>
      </c>
      <c r="K15" s="10" t="inlineStr"/>
      <c r="L15" s="10" t="inlineStr"/>
      <c r="M15" s="10" t="inlineStr"/>
      <c r="N15" s="10" t="inlineStr"/>
    </row>
    <row r="16">
      <c r="A16" s="7" t="n">
        <v>13</v>
      </c>
      <c r="B16" s="7" t="inlineStr">
        <is>
          <t>B-장기미해결</t>
        </is>
      </c>
      <c r="C16" s="8" t="inlineStr">
        <is>
          <t>설비·정비</t>
        </is>
      </c>
      <c r="D16" s="8" t="inlineStr">
        <is>
          <t>repairs/gx7-에어필터-자체조달-2026-08-14.md</t>
        </is>
      </c>
      <c r="E16" s="8" t="n">
        <v>264</v>
      </c>
      <c r="F16" s="8" t="inlineStr">
        <is>
          <t>확인 필요</t>
        </is>
      </c>
      <c r="G16" s="8" t="inlineStr">
        <is>
          <t>2025-08-12</t>
        </is>
      </c>
      <c r="H16" s="8" t="n">
        <v>425</v>
      </c>
      <c r="I16" s="8" t="n"/>
      <c r="J16"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16" s="10" t="inlineStr"/>
      <c r="L16" s="10" t="inlineStr"/>
      <c r="M16" s="10" t="inlineStr"/>
      <c r="N16" s="10" t="inlineStr"/>
    </row>
    <row r="17">
      <c r="A17" s="7" t="n">
        <v>14</v>
      </c>
      <c r="B17" s="7" t="inlineStr">
        <is>
          <t>B-장기미해결</t>
        </is>
      </c>
      <c r="C17" s="11" t="inlineStr">
        <is>
          <t>설비·정비</t>
        </is>
      </c>
      <c r="D17" s="11" t="inlineStr">
        <is>
          <t>repairs/gx7-에어필터-자체조달-2026-08-14.md</t>
        </is>
      </c>
      <c r="E17" s="11" t="n">
        <v>358</v>
      </c>
      <c r="F17" s="11" t="inlineStr">
        <is>
          <t>미확정</t>
        </is>
      </c>
      <c r="G17" s="11" t="inlineStr">
        <is>
          <t>2025-08-12</t>
        </is>
      </c>
      <c r="H17" s="11" t="n">
        <v>425</v>
      </c>
      <c r="I17" s="11" t="n"/>
      <c r="J17" s="12" t="inlineStr">
        <is>
          <t>같은 경보가 2025-08-12에도 발생했고 당시 원인이 미확정입니다(repairs/과거-수리이력-백필-2021-2025 §11). 이번 건이 공급압 부족만으로도 ALM 0408이 뜬다는 것을 실증했으므로 두 건을 함께 봐야 합니다.</t>
        </is>
      </c>
      <c r="K17" s="10" t="inlineStr"/>
      <c r="L17" s="10" t="inlineStr"/>
      <c r="M17" s="10" t="inlineStr"/>
      <c r="N17" s="10" t="inlineStr"/>
    </row>
    <row r="18">
      <c r="A18" s="7" t="n">
        <v>15</v>
      </c>
      <c r="B18" s="7" t="inlineStr">
        <is>
          <t>B-장기미해결</t>
        </is>
      </c>
      <c r="C18" s="8" t="inlineStr">
        <is>
          <t>설비·정비</t>
        </is>
      </c>
      <c r="D18" s="8" t="inlineStr">
        <is>
          <t>repairs/과거-수리이력-백필-2021-2025.md</t>
        </is>
      </c>
      <c r="E18" s="8" t="n">
        <v>41</v>
      </c>
      <c r="F18" s="8" t="inlineStr">
        <is>
          <t>확인 필요</t>
        </is>
      </c>
      <c r="G18" s="8" t="inlineStr">
        <is>
          <t>2025-08-12</t>
        </is>
      </c>
      <c r="H18" s="8" t="n">
        <v>425</v>
      </c>
      <c r="I18" s="8" t="n"/>
      <c r="J18" s="9" t="inlineStr">
        <is>
          <t>~ 08-18 | [에어 센서 문제 ALM 0408](#11) | 확인 필요 | 에러 화면 + 사진 + 발주서 + 견적 3사 | ✅ 부품 확정</t>
        </is>
      </c>
      <c r="K18" s="10" t="inlineStr"/>
      <c r="L18" s="10" t="inlineStr"/>
      <c r="M18" s="10" t="inlineStr"/>
      <c r="N18" s="10" t="inlineStr"/>
    </row>
    <row r="19">
      <c r="A19" s="7" t="n">
        <v>16</v>
      </c>
      <c r="B19" s="7" t="inlineStr">
        <is>
          <t>B-경과90일+</t>
        </is>
      </c>
      <c r="C19" s="11" t="inlineStr">
        <is>
          <t>설비·정비</t>
        </is>
      </c>
      <c r="D19" s="11" t="inlineStr">
        <is>
          <t>repairs/README.md</t>
        </is>
      </c>
      <c r="E19" s="11" t="n">
        <v>49</v>
      </c>
      <c r="F19" s="11" t="inlineStr">
        <is>
          <t>확인 필요</t>
        </is>
      </c>
      <c r="G19" s="11" t="inlineStr">
        <is>
          <t>2025-10-13</t>
        </is>
      </c>
      <c r="H19" s="11" t="n">
        <v>363</v>
      </c>
      <c r="I19" s="11" t="n"/>
      <c r="J19" s="12" t="inlineStr">
        <is>
          <t>Fast 에어 필터 자체 조달(해외 직구) | F 장비 | 부품 규격·증상 확인 필요</t>
        </is>
      </c>
      <c r="K19" s="10" t="inlineStr"/>
      <c r="L19" s="10" t="inlineStr"/>
      <c r="M19" s="10" t="inlineStr"/>
      <c r="N19" s="10" t="inlineStr"/>
    </row>
    <row r="20">
      <c r="A20" s="7" t="n">
        <v>17</v>
      </c>
      <c r="B20" s="7" t="inlineStr">
        <is>
          <t>B-경과90일+</t>
        </is>
      </c>
      <c r="C20" s="8" t="inlineStr">
        <is>
          <t>설비·정비</t>
        </is>
      </c>
      <c r="D20" s="8" t="inlineStr">
        <is>
          <t>repairs/과거-수리이력-백필-2021-2025.md</t>
        </is>
      </c>
      <c r="E20" s="8" t="n">
        <v>42</v>
      </c>
      <c r="F20" s="8" t="inlineStr">
        <is>
          <t>확인 필요</t>
        </is>
      </c>
      <c r="G20" s="8" t="inlineStr">
        <is>
          <t>2025-10-13</t>
        </is>
      </c>
      <c r="H20" s="8" t="n">
        <v>363</v>
      </c>
      <c r="I20" s="8" t="n"/>
      <c r="J20" s="9" t="inlineStr">
        <is>
          <t>[Fast 에어 필터 자체 조달](#12) | F 장비(Fast) | 결제 내역 1건 | 부품 규격·증상 확인 필요</t>
        </is>
      </c>
      <c r="K20" s="10" t="inlineStr"/>
      <c r="L20" s="10" t="inlineStr"/>
      <c r="M20" s="10" t="inlineStr"/>
      <c r="N20" s="10" t="inlineStr"/>
    </row>
    <row r="21">
      <c r="A21" s="7" t="n">
        <v>18</v>
      </c>
      <c r="B21" s="7" t="inlineStr">
        <is>
          <t>B-경과90일+</t>
        </is>
      </c>
      <c r="C21" s="11" t="inlineStr">
        <is>
          <t>공구·휠</t>
        </is>
      </c>
      <c r="D21" s="11" t="inlineStr">
        <is>
          <t>tools/연삭-조건-D8-4날-코너R-GASH.md</t>
        </is>
      </c>
      <c r="E21" s="11" t="n">
        <v>123</v>
      </c>
      <c r="F21" s="11" t="inlineStr">
        <is>
          <t>미확인</t>
        </is>
      </c>
      <c r="G21" s="11" t="inlineStr">
        <is>
          <t>2026-04-21</t>
        </is>
      </c>
      <c r="H21" s="11" t="n">
        <v>173</v>
      </c>
      <c r="I21" s="11" t="n"/>
      <c r="J21" s="12" t="inlineStr">
        <is>
          <t>원주속도 재진단 | 미확인 | 3,200 rpm → 20.9 m/s | ⚠️ 권장 구간(25~30 m/s) 미달 확인</t>
        </is>
      </c>
      <c r="K21" s="10" t="inlineStr"/>
      <c r="L21" s="10" t="inlineStr"/>
      <c r="M21" s="10" t="inlineStr"/>
      <c r="N21" s="10" t="inlineStr"/>
    </row>
    <row r="22">
      <c r="A22" s="7" t="n">
        <v>19</v>
      </c>
      <c r="B22" s="7" t="inlineStr">
        <is>
          <t>B-경과90일+</t>
        </is>
      </c>
      <c r="C22" s="8" t="inlineStr">
        <is>
          <t>비교분석</t>
        </is>
      </c>
      <c r="D22" s="8" t="inlineStr">
        <is>
          <t>comparisons/통계-2026-04.md</t>
        </is>
      </c>
      <c r="E22" s="8" t="n">
        <v>85</v>
      </c>
      <c r="F22" s="8" t="inlineStr">
        <is>
          <t>미확정</t>
        </is>
      </c>
      <c r="G22" s="8" t="inlineStr">
        <is>
          <t>2026-04-22</t>
        </is>
      </c>
      <c r="H22" s="8" t="n">
        <v>172</v>
      </c>
      <c r="I22" s="8" t="n"/>
      <c r="J22" s="9" t="inlineStr">
        <is>
          <t>스택-1-2 | 공구별 RPM/속도 테이블 | 정식 연삭 조건 기록 없음 (D12 미확정)</t>
        </is>
      </c>
      <c r="K22" s="10" t="inlineStr"/>
      <c r="L22" s="10" t="inlineStr"/>
      <c r="M22" s="10" t="inlineStr"/>
      <c r="N22" s="10" t="inlineStr"/>
    </row>
    <row r="23">
      <c r="A23" s="7" t="n">
        <v>20</v>
      </c>
      <c r="B23" s="7" t="inlineStr">
        <is>
          <t>B-경과90일+</t>
        </is>
      </c>
      <c r="C23" s="11" t="inlineStr">
        <is>
          <t>공구·휠</t>
        </is>
      </c>
      <c r="D23" s="11" t="inlineStr">
        <is>
          <t>tools/연삭-이론-근거.md</t>
        </is>
      </c>
      <c r="E23" s="11" t="n">
        <v>15</v>
      </c>
      <c r="F23" s="11" t="inlineStr">
        <is>
          <t>미확인</t>
        </is>
      </c>
      <c r="G23" s="11" t="inlineStr">
        <is>
          <t>2026-04-24</t>
        </is>
      </c>
      <c r="H23" s="11" t="n">
        <v>170</v>
      </c>
      <c r="I23" s="11" t="n"/>
      <c r="J23" s="12" t="inlineStr">
        <is>
          <t>★★★ = 학술 논문/공식 문서 직접 뒷받침 | ★★☆ = 간접 지지 + 현장 관찰 | ★☆☆ = 현장 추론 (학술 직접 근거 미확인)</t>
        </is>
      </c>
      <c r="K23" s="10" t="inlineStr"/>
      <c r="L23" s="10" t="inlineStr"/>
      <c r="M23" s="10" t="inlineStr"/>
      <c r="N23" s="10" t="inlineStr"/>
    </row>
    <row r="24">
      <c r="A24" s="7" t="n">
        <v>21</v>
      </c>
      <c r="B24" s="7" t="inlineStr">
        <is>
          <t>B-경과90일+</t>
        </is>
      </c>
      <c r="C24" s="8" t="inlineStr">
        <is>
          <t>공구·휠</t>
        </is>
      </c>
      <c r="D24" s="8" t="inlineStr">
        <is>
          <t>tools/연삭-이론-근거.md</t>
        </is>
      </c>
      <c r="E24" s="8" t="n">
        <v>137</v>
      </c>
      <c r="F24" s="8" t="inlineStr">
        <is>
          <t>미확인</t>
        </is>
      </c>
      <c r="G24" s="8" t="inlineStr">
        <is>
          <t>2026-04-24</t>
        </is>
      </c>
      <c r="H24" s="8" t="n">
        <v>170</v>
      </c>
      <c r="I24" s="8" t="n"/>
      <c r="J24"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24" s="10" t="inlineStr"/>
      <c r="L24" s="10" t="inlineStr"/>
      <c r="M24" s="10" t="inlineStr"/>
      <c r="N24" s="10" t="inlineStr"/>
    </row>
    <row r="25">
      <c r="A25" s="7" t="n">
        <v>22</v>
      </c>
      <c r="B25" s="7" t="inlineStr">
        <is>
          <t>B-경과90일+</t>
        </is>
      </c>
      <c r="C25" s="11" t="inlineStr">
        <is>
          <t>비교분석</t>
        </is>
      </c>
      <c r="D25" s="11" t="inlineStr">
        <is>
          <t>comparisons/출하현황-2022-2024-비교.md</t>
        </is>
      </c>
      <c r="E25" s="11" t="n">
        <v>197</v>
      </c>
      <c r="F25" s="11" t="inlineStr">
        <is>
          <t>확인 필요</t>
        </is>
      </c>
      <c r="G25" s="11" t="inlineStr">
        <is>
          <t>2026-04-28</t>
        </is>
      </c>
      <c r="H25" s="11" t="n">
        <v>166</v>
      </c>
      <c r="I25" s="11" t="n"/>
      <c r="J25" s="12" t="inlineStr">
        <is>
          <t>장진상사: 2022년 1위(2,259개), 2023년 2위(2,909개)였으나 2024년 TOP 15 미진입 — 거래 중단 또는 급감 확인 필요</t>
        </is>
      </c>
      <c r="K25" s="10" t="inlineStr"/>
      <c r="L25" s="10" t="inlineStr"/>
      <c r="M25" s="10" t="inlineStr"/>
      <c r="N25" s="10" t="inlineStr"/>
    </row>
    <row r="26">
      <c r="A26" s="7" t="n">
        <v>23</v>
      </c>
      <c r="B26" s="7" t="inlineStr">
        <is>
          <t>B-경과90일+</t>
        </is>
      </c>
      <c r="C26" s="8" t="inlineStr">
        <is>
          <t>비교분석</t>
        </is>
      </c>
      <c r="D26" s="8" t="inlineStr">
        <is>
          <t>comparisons/출하현황-2022-2024-비교.md</t>
        </is>
      </c>
      <c r="E26" s="8" t="n">
        <v>204</v>
      </c>
      <c r="F26" s="8" t="inlineStr">
        <is>
          <t>미확인</t>
        </is>
      </c>
      <c r="G26" s="8" t="inlineStr">
        <is>
          <t>2026-04-28</t>
        </is>
      </c>
      <c r="H26" s="8" t="n">
        <v>166</v>
      </c>
      <c r="I26" s="8" t="n"/>
      <c r="J26" s="9" t="inlineStr">
        <is>
          <t>(해당 패턴 거래처 미확인)</t>
        </is>
      </c>
      <c r="K26" s="10" t="inlineStr"/>
      <c r="L26" s="10" t="inlineStr"/>
      <c r="M26" s="10" t="inlineStr"/>
      <c r="N26" s="10" t="inlineStr"/>
    </row>
    <row r="27">
      <c r="A27" s="7" t="n">
        <v>24</v>
      </c>
      <c r="B27" s="7" t="inlineStr">
        <is>
          <t>B-경과90일+</t>
        </is>
      </c>
      <c r="C27" s="11" t="inlineStr">
        <is>
          <t>비교분석</t>
        </is>
      </c>
      <c r="D27" s="11" t="inlineStr">
        <is>
          <t>comparisons/출하현황-2022-2024-비교.md</t>
        </is>
      </c>
      <c r="E27" s="11" t="n">
        <v>235</v>
      </c>
      <c r="F27" s="11" t="inlineStr">
        <is>
          <t>확인 필요</t>
        </is>
      </c>
      <c r="G27" s="11" t="inlineStr">
        <is>
          <t>2026-04-28</t>
        </is>
      </c>
      <c r="H27" s="11" t="n">
        <v>166</v>
      </c>
      <c r="I27" s="11" t="n"/>
      <c r="J27" s="12" t="inlineStr">
        <is>
          <t>장진상사: 2022~2023년 상위 납품처에서 2024년 소멸 → 거래 중단 또는 업체명 변경 확인 필요</t>
        </is>
      </c>
      <c r="K27" s="10" t="inlineStr"/>
      <c r="L27" s="10" t="inlineStr"/>
      <c r="M27" s="10" t="inlineStr"/>
      <c r="N27" s="10" t="inlineStr"/>
    </row>
    <row r="28">
      <c r="A28" s="7" t="n">
        <v>25</v>
      </c>
      <c r="B28" s="7" t="inlineStr">
        <is>
          <t>B-경과90일+</t>
        </is>
      </c>
      <c r="C28" s="8" t="inlineStr">
        <is>
          <t>프로젝트</t>
        </is>
      </c>
      <c r="D28" s="8" t="inlineStr">
        <is>
          <t>projects/출하현황-2026-4월.md</t>
        </is>
      </c>
      <c r="E28" s="8" t="n">
        <v>136</v>
      </c>
      <c r="F28" s="8" t="inlineStr">
        <is>
          <t>확인 필요</t>
        </is>
      </c>
      <c r="G28" s="8" t="inlineStr">
        <is>
          <t>2026-04-28</t>
        </is>
      </c>
      <c r="H28" s="8" t="n">
        <v>166</v>
      </c>
      <c r="I28" s="8" t="n"/>
      <c r="J28" s="9" t="inlineStr">
        <is>
          <t>신규 납품처 | — | 건영테크(광주) (341개 2위) | 확인 필요</t>
        </is>
      </c>
      <c r="K28" s="10" t="inlineStr"/>
      <c r="L28" s="10" t="inlineStr"/>
      <c r="M28" s="10" t="inlineStr"/>
      <c r="N28" s="10" t="inlineStr"/>
    </row>
    <row r="29">
      <c r="A29" s="7" t="n">
        <v>26</v>
      </c>
      <c r="B29" s="7" t="inlineStr">
        <is>
          <t>B-경과90일+</t>
        </is>
      </c>
      <c r="C29" s="11" t="inlineStr">
        <is>
          <t>보고</t>
        </is>
      </c>
      <c r="D29" s="11" t="inlineStr">
        <is>
          <t>reports/05_검증·노트/Brinksmeier_2006_검증_백업.md</t>
        </is>
      </c>
      <c r="E29" s="11" t="n">
        <v>28</v>
      </c>
      <c r="F29" s="11" t="inlineStr">
        <is>
          <t>미확인</t>
        </is>
      </c>
      <c r="G29" s="11" t="inlineStr">
        <is>
          <t>2026-05-14</t>
        </is>
      </c>
      <c r="H29" s="11" t="n">
        <v>150</v>
      </c>
      <c r="I29" s="11" t="n"/>
      <c r="J29" s="12" t="inlineStr">
        <is>
          <t>"Brinksmeier, E. et al. (2006) CIRP Annals — 정확한 제목 미확인, 후속 라운드에서 보완 예정"</t>
        </is>
      </c>
      <c r="K29" s="10" t="inlineStr"/>
      <c r="L29" s="10" t="inlineStr"/>
      <c r="M29" s="10" t="inlineStr"/>
      <c r="N29" s="10" t="inlineStr"/>
    </row>
    <row r="30">
      <c r="A30" s="7" t="n">
        <v>27</v>
      </c>
      <c r="B30" s="7" t="inlineStr">
        <is>
          <t>B-경과90일+</t>
        </is>
      </c>
      <c r="C30" s="8" t="inlineStr">
        <is>
          <t>보고</t>
        </is>
      </c>
      <c r="D30" s="8" t="inlineStr">
        <is>
          <t>reports/05_검증·노트/Brinksmeier_2006_검증_백업.md</t>
        </is>
      </c>
      <c r="E30" s="8" t="n">
        <v>42</v>
      </c>
      <c r="F30" s="8" t="inlineStr">
        <is>
          <t>확인 필요</t>
        </is>
      </c>
      <c r="G30" s="8" t="inlineStr">
        <is>
          <t>2026-05-14</t>
        </is>
      </c>
      <c r="H30" s="8" t="n">
        <v>150</v>
      </c>
      <c r="I30" s="8" t="n"/>
      <c r="J30" s="9"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30" s="10" t="inlineStr"/>
      <c r="L30" s="10" t="inlineStr"/>
      <c r="M30" s="10" t="inlineStr"/>
      <c r="N30" s="10" t="inlineStr"/>
    </row>
    <row r="31">
      <c r="A31" s="7" t="n">
        <v>28</v>
      </c>
      <c r="B31" s="7" t="inlineStr">
        <is>
          <t>B-경과90일+</t>
        </is>
      </c>
      <c r="C31" s="11" t="inlineStr">
        <is>
          <t>공구·휠</t>
        </is>
      </c>
      <c r="D31" s="11" t="inlineStr">
        <is>
          <t>tools/공구-코어-직경.md</t>
        </is>
      </c>
      <c r="E31" s="11" t="n">
        <v>173</v>
      </c>
      <c r="F31" s="11" t="inlineStr">
        <is>
          <t>확인 필요</t>
        </is>
      </c>
      <c r="G31" s="11" t="inlineStr">
        <is>
          <t>2026-05-14</t>
        </is>
      </c>
      <c r="H31" s="11" t="n">
        <v>150</v>
      </c>
      <c r="I31" s="11" t="n"/>
      <c r="J31" s="12" t="inlineStr">
        <is>
          <t>건(181004garam, dc/D=0.667)만 카탈로그 범위 초과 — 교육 샘플 또는 강성 우선 특수 설계 추정. 의도 확인 필요 (tasks.md 대기 항목).</t>
        </is>
      </c>
      <c r="K31" s="10" t="inlineStr"/>
      <c r="L31" s="10" t="inlineStr"/>
      <c r="M31" s="10" t="inlineStr"/>
      <c r="N31" s="10" t="inlineStr"/>
    </row>
    <row r="32">
      <c r="A32" s="7" t="n">
        <v>29</v>
      </c>
      <c r="B32" s="7" t="inlineStr">
        <is>
          <t>B-경과90일+</t>
        </is>
      </c>
      <c r="C32" s="8" t="inlineStr">
        <is>
          <t>공구·휠</t>
        </is>
      </c>
      <c r="D32" s="8" t="inlineStr">
        <is>
          <t>tools/wheels/catalog/홍익다이아-형상-분류.md</t>
        </is>
      </c>
      <c r="E32" s="8" t="n">
        <v>286</v>
      </c>
      <c r="F32" s="8" t="inlineStr">
        <is>
          <t>확인 필요</t>
        </is>
      </c>
      <c r="G32" s="8" t="inlineStr">
        <is>
          <t>2026-05-15</t>
        </is>
      </c>
      <c r="H32" s="8" t="n">
        <v>149</v>
      </c>
      <c r="I32" s="8" t="n"/>
      <c r="J32" s="9" t="inlineStr">
        <is>
          <t>⚠️ 본 매칭은 단면 형상 + 각도 기반 추정이며 정확하지 않을 수 있습니다. 발주서 / 휠 측면 각인 확인 필요.</t>
        </is>
      </c>
      <c r="K32" s="10" t="inlineStr"/>
      <c r="L32" s="10" t="inlineStr"/>
      <c r="M32" s="10" t="inlineStr"/>
      <c r="N32" s="10" t="inlineStr"/>
    </row>
    <row r="33">
      <c r="A33" s="7" t="n">
        <v>30</v>
      </c>
      <c r="B33" s="7" t="inlineStr">
        <is>
          <t>B-경과90일+</t>
        </is>
      </c>
      <c r="C33" s="11" t="inlineStr">
        <is>
          <t>G코드</t>
        </is>
      </c>
      <c r="D33" s="11" t="inlineStr">
        <is>
          <t>gcode/fanuc-매크로-변수.md</t>
        </is>
      </c>
      <c r="E33" s="11" t="n">
        <v>36</v>
      </c>
      <c r="F33" s="11" t="inlineStr">
        <is>
          <t>확인 필요</t>
        </is>
      </c>
      <c r="G33" s="11" t="inlineStr">
        <is>
          <t>2026-05-26</t>
        </is>
      </c>
      <c r="H33" s="11" t="n">
        <v>138</v>
      </c>
      <c r="I33" s="11" t="n"/>
      <c r="J33" s="12" t="inlineStr">
        <is>
          <t>비휘발 범위: 컨트롤러 파라미터에 따라 #500~#999 또는 더 넓을 수 있음. 사용 전 매뉴얼 확인 필요.</t>
        </is>
      </c>
      <c r="K33" s="10" t="inlineStr"/>
      <c r="L33" s="10" t="inlineStr"/>
      <c r="M33" s="10" t="inlineStr"/>
      <c r="N33" s="10" t="inlineStr"/>
    </row>
    <row r="34">
      <c r="A34" s="7" t="n">
        <v>31</v>
      </c>
      <c r="B34" s="7" t="inlineStr">
        <is>
          <t>B-경과90일+</t>
        </is>
      </c>
      <c r="C34" s="8" t="inlineStr">
        <is>
          <t>G코드</t>
        </is>
      </c>
      <c r="D34" s="8" t="inlineStr">
        <is>
          <t>gcode/g73-고속펙드릴.md</t>
        </is>
      </c>
      <c r="E34" s="8" t="n">
        <v>64</v>
      </c>
      <c r="F34" s="8" t="inlineStr">
        <is>
          <t>확인 필요</t>
        </is>
      </c>
      <c r="G34" s="8" t="inlineStr">
        <is>
          <t>2026-05-26</t>
        </is>
      </c>
      <c r="H34" s="8" t="n">
        <v>138</v>
      </c>
      <c r="I34" s="8" t="n"/>
      <c r="J34" s="9" t="inlineStr">
        <is>
          <t>기본값(출하 설정)은 제조사·모델별로 다름 → 사내 장비 확인 필요</t>
        </is>
      </c>
      <c r="K34" s="10" t="inlineStr"/>
      <c r="L34" s="10" t="inlineStr"/>
      <c r="M34" s="10" t="inlineStr"/>
      <c r="N34" s="10" t="inlineStr"/>
    </row>
    <row r="35">
      <c r="A35" s="7" t="n">
        <v>32</v>
      </c>
      <c r="B35" s="7" t="inlineStr">
        <is>
          <t>B-경과90일+</t>
        </is>
      </c>
      <c r="C35" s="11" t="inlineStr">
        <is>
          <t>G코드</t>
        </is>
      </c>
      <c r="D35" s="11" t="inlineStr">
        <is>
          <t>gcode/g73-고속펙드릴.md</t>
        </is>
      </c>
      <c r="E35" s="11" t="n">
        <v>175</v>
      </c>
      <c r="F35" s="11" t="inlineStr">
        <is>
          <t>미확인</t>
        </is>
      </c>
      <c r="G35" s="11" t="inlineStr">
        <is>
          <t>2026-05-26</t>
        </is>
      </c>
      <c r="H35" s="11" t="n">
        <v>138</v>
      </c>
      <c r="I35" s="11" t="n"/>
      <c r="J35" s="12" t="inlineStr">
        <is>
          <t>d값(파라미터 5114) 미확인 | 후퇴량 불확실 → 칩 배출 예측 불가 | 사내 장비 파라미터 확인 후 기록</t>
        </is>
      </c>
      <c r="K35" s="10" t="inlineStr"/>
      <c r="L35" s="10" t="inlineStr"/>
      <c r="M35" s="10" t="inlineStr"/>
      <c r="N35" s="10" t="inlineStr"/>
    </row>
    <row r="36">
      <c r="A36" s="7" t="n">
        <v>33</v>
      </c>
      <c r="B36" s="7" t="inlineStr">
        <is>
          <t>B-경과90일+</t>
        </is>
      </c>
      <c r="C36" s="8" t="inlineStr">
        <is>
          <t>G코드</t>
        </is>
      </c>
      <c r="D36" s="8" t="inlineStr">
        <is>
          <t>gcode/g73-고속펙드릴.md</t>
        </is>
      </c>
      <c r="E36" s="8" t="n">
        <v>185</v>
      </c>
      <c r="F36" s="8" t="inlineStr">
        <is>
          <t>확인 필요</t>
        </is>
      </c>
      <c r="G36" s="8" t="inlineStr">
        <is>
          <t>2026-05-26</t>
        </is>
      </c>
      <c r="H36" s="8" t="n">
        <v>138</v>
      </c>
      <c r="I36" s="8" t="n"/>
      <c r="J36" s="9" t="inlineStr">
        <is>
          <t>위 §2 문법대로. 부분 후퇴량 d = 파라미터 5114 (기본 설정 확인 필요).</t>
        </is>
      </c>
      <c r="K36" s="10" t="inlineStr"/>
      <c r="L36" s="10" t="inlineStr"/>
      <c r="M36" s="10" t="inlineStr"/>
      <c r="N36" s="10" t="inlineStr"/>
    </row>
    <row r="37">
      <c r="A37" s="7" t="n">
        <v>34</v>
      </c>
      <c r="B37" s="7" t="inlineStr">
        <is>
          <t>B-경과90일+</t>
        </is>
      </c>
      <c r="C37" s="11" t="inlineStr">
        <is>
          <t>CAD/CAM</t>
        </is>
      </c>
      <c r="D37" s="11" t="inlineStr">
        <is>
          <t>cadcam/anca-feedrate-gx7-fastgrind.md</t>
        </is>
      </c>
      <c r="E37" s="11" t="n">
        <v>365</v>
      </c>
      <c r="F37" s="11" t="inlineStr">
        <is>
          <t>확인 필요</t>
        </is>
      </c>
      <c r="G37" s="11" t="inlineStr">
        <is>
          <t>2026-05-28</t>
        </is>
      </c>
      <c r="H37" s="11" t="n">
        <v>136</v>
      </c>
      <c r="I37" s="11" t="n"/>
      <c r="J37" s="12" t="inlineStr">
        <is>
          <t>FastGrind의 이점은 Ball이 아닌 Corner Radius·Flat 소직경에서 확인 필요.</t>
        </is>
      </c>
      <c r="K37" s="10" t="inlineStr"/>
      <c r="L37" s="10" t="inlineStr"/>
      <c r="M37" s="10" t="inlineStr"/>
      <c r="N37" s="10" t="inlineStr"/>
    </row>
    <row r="38">
      <c r="A38" s="7" t="n">
        <v>35</v>
      </c>
      <c r="B38" s="7" t="inlineStr">
        <is>
          <t>B-경과90일+</t>
        </is>
      </c>
      <c r="C38" s="8" t="inlineStr">
        <is>
          <t>CAD/CAM</t>
        </is>
      </c>
      <c r="D38" s="8" t="inlineStr">
        <is>
          <t>cadcam/anca-feedrate-gx7-fastgrind.md</t>
        </is>
      </c>
      <c r="E38" s="8" t="n">
        <v>373</v>
      </c>
      <c r="F38" s="8" t="inlineStr">
        <is>
          <t>확인 필요</t>
        </is>
      </c>
      <c r="G38" s="8" t="inlineStr">
        <is>
          <t>2026-05-28</t>
        </is>
      </c>
      <c r="H38" s="8" t="n">
        <v>136</v>
      </c>
      <c r="I38" s="8" t="n"/>
      <c r="J38" s="9" t="inlineStr">
        <is>
          <t>이 피드 데이터는 특정 휠·소재·장비 상태 기준. 휠 마모·드레싱 상태·소재 경도 변화 시 재확인 필요.</t>
        </is>
      </c>
      <c r="K38" s="10" t="inlineStr"/>
      <c r="L38" s="10" t="inlineStr"/>
      <c r="M38" s="10" t="inlineStr"/>
      <c r="N38" s="10" t="inlineStr"/>
    </row>
    <row r="39">
      <c r="A39" s="7" t="n">
        <v>36</v>
      </c>
      <c r="B39" s="7" t="inlineStr">
        <is>
          <t>B-경과90일+</t>
        </is>
      </c>
      <c r="C39" s="11" t="inlineStr">
        <is>
          <t>공구·휠</t>
        </is>
      </c>
      <c r="D39" s="11" t="inlineStr">
        <is>
          <t>tools/wheels/index.md</t>
        </is>
      </c>
      <c r="E39" s="11" t="n">
        <v>98</v>
      </c>
      <c r="F39" s="11" t="inlineStr">
        <is>
          <t>확인 필요</t>
        </is>
      </c>
      <c r="G39" s="11" t="inlineStr">
        <is>
          <t>2026-05-29</t>
        </is>
      </c>
      <c r="H39" s="11" t="n">
        <v>135</v>
      </c>
      <c r="I39" s="11" t="n"/>
      <c r="J39" s="12"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39" s="10" t="inlineStr"/>
      <c r="L39" s="10" t="inlineStr"/>
      <c r="M39" s="10" t="inlineStr"/>
      <c r="N39" s="10" t="inlineStr"/>
    </row>
    <row r="40">
      <c r="A40" s="7" t="n">
        <v>37</v>
      </c>
      <c r="B40" s="7" t="inlineStr">
        <is>
          <t>B-경과90일+</t>
        </is>
      </c>
      <c r="C40" s="8" t="inlineStr">
        <is>
          <t>CAD/CAM</t>
        </is>
      </c>
      <c r="D40" s="8" t="inlineStr">
        <is>
          <t>cadcam/재연마-프로그램-워크플로우.md</t>
        </is>
      </c>
      <c r="E40" s="8" t="n">
        <v>218</v>
      </c>
      <c r="F40" s="8" t="inlineStr">
        <is>
          <t>확인 필요</t>
        </is>
      </c>
      <c r="G40" s="8" t="inlineStr">
        <is>
          <t>2026-06-01</t>
        </is>
      </c>
      <c r="H40" s="8" t="n">
        <v>132</v>
      </c>
      <c r="I40" s="8" t="n"/>
      <c r="J40" s="9" t="inlineStr">
        <is>
          <t>입고 검수 | 확인 필요 | 확인 필요 | 한경준 | 육안</t>
        </is>
      </c>
      <c r="K40" s="10" t="inlineStr"/>
      <c r="L40" s="10" t="inlineStr"/>
      <c r="M40" s="10" t="inlineStr"/>
      <c r="N40" s="10" t="inlineStr"/>
    </row>
    <row r="41">
      <c r="A41" s="7" t="n">
        <v>38</v>
      </c>
      <c r="B41" s="7" t="inlineStr">
        <is>
          <t>B-경과90일+</t>
        </is>
      </c>
      <c r="C41" s="11" t="inlineStr">
        <is>
          <t>CAD/CAM</t>
        </is>
      </c>
      <c r="D41" s="11" t="inlineStr">
        <is>
          <t>cadcam/재연마-프로그램-워크플로우.md</t>
        </is>
      </c>
      <c r="E41" s="11" t="n">
        <v>219</v>
      </c>
      <c r="F41" s="11" t="inlineStr">
        <is>
          <t>확인 필요</t>
        </is>
      </c>
      <c r="G41" s="11" t="inlineStr">
        <is>
          <t>2026-06-01</t>
        </is>
      </c>
      <c r="H41" s="11" t="n">
        <v>132</v>
      </c>
      <c r="I41" s="11" t="n"/>
      <c r="J41" s="12" t="inlineStr">
        <is>
          <t>CAD/CAM 프로그래밍 | 단축 (라이브러리 호출) | 확인 필요 | 한경준 | ANCA ToolRoom</t>
        </is>
      </c>
      <c r="K41" s="10" t="inlineStr"/>
      <c r="L41" s="10" t="inlineStr"/>
      <c r="M41" s="10" t="inlineStr"/>
      <c r="N41" s="10" t="inlineStr"/>
    </row>
    <row r="42">
      <c r="A42" s="7" t="n">
        <v>39</v>
      </c>
      <c r="B42" s="7" t="inlineStr">
        <is>
          <t>B-경과90일+</t>
        </is>
      </c>
      <c r="C42" s="8" t="inlineStr">
        <is>
          <t>CAD/CAM</t>
        </is>
      </c>
      <c r="D42" s="8" t="inlineStr">
        <is>
          <t>cadcam/재연마-프로그램-워크플로우.md</t>
        </is>
      </c>
      <c r="E42" s="8" t="n">
        <v>220</v>
      </c>
      <c r="F42" s="8" t="inlineStr">
        <is>
          <t>확인 필요</t>
        </is>
      </c>
      <c r="G42" s="8" t="inlineStr">
        <is>
          <t>2026-06-01</t>
        </is>
      </c>
      <c r="H42" s="8" t="n">
        <v>132</v>
      </c>
      <c r="I42" s="8" t="n"/>
      <c r="J42" s="9" t="inlineStr">
        <is>
          <t>시뮬레이션 | 확인 필요 | 확인 필요 | 한경준 | ANCA ToolRoom</t>
        </is>
      </c>
      <c r="K42" s="10" t="inlineStr"/>
      <c r="L42" s="10" t="inlineStr"/>
      <c r="M42" s="10" t="inlineStr"/>
      <c r="N42" s="10" t="inlineStr"/>
    </row>
    <row r="43">
      <c r="A43" s="7" t="n">
        <v>40</v>
      </c>
      <c r="B43" s="7" t="inlineStr">
        <is>
          <t>B-경과90일+</t>
        </is>
      </c>
      <c r="C43" s="11" t="inlineStr">
        <is>
          <t>CAD/CAM</t>
        </is>
      </c>
      <c r="D43" s="11" t="inlineStr">
        <is>
          <t>cadcam/재연마-프로그램-워크플로우.md</t>
        </is>
      </c>
      <c r="E43" s="11" t="n">
        <v>221</v>
      </c>
      <c r="F43" s="11" t="inlineStr">
        <is>
          <t>확인 필요</t>
        </is>
      </c>
      <c r="G43" s="11" t="inlineStr">
        <is>
          <t>2026-06-01</t>
        </is>
      </c>
      <c r="H43" s="11" t="n">
        <v>132</v>
      </c>
      <c r="I43" s="11" t="n"/>
      <c r="J43" s="12" t="inlineStr">
        <is>
          <t>머신 셋업·전송 | 확인 필요 | 확인 필요 | 한경준 | ToolRoom → 장비</t>
        </is>
      </c>
      <c r="K43" s="10" t="inlineStr"/>
      <c r="L43" s="10" t="inlineStr"/>
      <c r="M43" s="10" t="inlineStr"/>
      <c r="N43" s="10" t="inlineStr"/>
    </row>
    <row r="44">
      <c r="A44" s="7" t="n">
        <v>41</v>
      </c>
      <c r="B44" s="7" t="inlineStr">
        <is>
          <t>B-경과90일+</t>
        </is>
      </c>
      <c r="C44" s="8" t="inlineStr">
        <is>
          <t>CAD/CAM</t>
        </is>
      </c>
      <c r="D44" s="8" t="inlineStr">
        <is>
          <t>cadcam/재연마-프로그램-워크플로우.md</t>
        </is>
      </c>
      <c r="E44" s="8" t="n">
        <v>223</v>
      </c>
      <c r="F44" s="8" t="inlineStr">
        <is>
          <t>확인 필요</t>
        </is>
      </c>
      <c r="G44" s="8" t="inlineStr">
        <is>
          <t>2026-06-01</t>
        </is>
      </c>
      <c r="H44" s="8" t="n">
        <v>132</v>
      </c>
      <c r="I44" s="8" t="n"/>
      <c r="J44" s="9" t="inlineStr">
        <is>
          <t>검수·기록 | 확인 필요 | 확인 필요 | 한경준 | 육안</t>
        </is>
      </c>
      <c r="K44" s="10" t="inlineStr"/>
      <c r="L44" s="10" t="inlineStr"/>
      <c r="M44" s="10" t="inlineStr"/>
      <c r="N44" s="10" t="inlineStr"/>
    </row>
    <row r="45">
      <c r="A45" s="7" t="n">
        <v>42</v>
      </c>
      <c r="B45" s="7" t="inlineStr">
        <is>
          <t>B-경과90일+</t>
        </is>
      </c>
      <c r="C45" s="11" t="inlineStr">
        <is>
          <t>소재</t>
        </is>
      </c>
      <c r="D45" s="11" t="inlineStr">
        <is>
          <t>materials/초경.md</t>
        </is>
      </c>
      <c r="E45" s="11" t="n">
        <v>219</v>
      </c>
      <c r="F45" s="11" t="inlineStr">
        <is>
          <t>확인 필요</t>
        </is>
      </c>
      <c r="G45" s="11" t="inlineStr">
        <is>
          <t>2026-06-01</t>
        </is>
      </c>
      <c r="H45" s="11" t="n">
        <v>132</v>
      </c>
      <c r="I45" s="11" t="n"/>
      <c r="J45" s="12" t="inlineStr">
        <is>
          <t>[확인 필요 — 2026-06-01] 입고 공구 제조사 카탈로그·사양서에서 grain size 항목 확인 후 체크.</t>
        </is>
      </c>
      <c r="K45" s="10" t="inlineStr"/>
      <c r="L45" s="10" t="inlineStr"/>
      <c r="M45" s="10" t="inlineStr"/>
      <c r="N45" s="10" t="inlineStr"/>
    </row>
    <row r="46">
      <c r="A46" s="7" t="n">
        <v>43</v>
      </c>
      <c r="B46" s="7" t="inlineStr">
        <is>
          <t>B-경과90일+</t>
        </is>
      </c>
      <c r="C46" s="8" t="inlineStr">
        <is>
          <t>비교분석</t>
        </is>
      </c>
      <c r="D46" s="8" t="inlineStr">
        <is>
          <t>comparisons/재연마-벤치마크-takeda-industries.md</t>
        </is>
      </c>
      <c r="E46" s="8" t="n">
        <v>37</v>
      </c>
      <c r="F46" s="8" t="inlineStr">
        <is>
          <t>확인 필요</t>
        </is>
      </c>
      <c r="G46" s="8" t="inlineStr">
        <is>
          <t>2026-06-02</t>
        </is>
      </c>
      <c r="H46" s="8" t="n">
        <v>131</v>
      </c>
      <c r="I46" s="8" t="n"/>
      <c r="J46" s="9" t="inlineStr">
        <is>
          <t>재연마 비율 | 60% | — (확인 필요)</t>
        </is>
      </c>
      <c r="K46" s="10" t="inlineStr"/>
      <c r="L46" s="10" t="inlineStr"/>
      <c r="M46" s="10" t="inlineStr"/>
      <c r="N46" s="10" t="inlineStr"/>
    </row>
    <row r="47">
      <c r="A47" s="7" t="n">
        <v>44</v>
      </c>
      <c r="B47" s="7" t="inlineStr">
        <is>
          <t>B-경과90일+</t>
        </is>
      </c>
      <c r="C47" s="11" t="inlineStr">
        <is>
          <t>비교분석</t>
        </is>
      </c>
      <c r="D47" s="11" t="inlineStr">
        <is>
          <t>comparisons/재연마-벤치마크-takeda-industries.md</t>
        </is>
      </c>
      <c r="E47" s="11" t="n">
        <v>38</v>
      </c>
      <c r="F47" s="11" t="inlineStr">
        <is>
          <t>확인 필요</t>
        </is>
      </c>
      <c r="G47" s="11" t="inlineStr">
        <is>
          <t>2026-06-02</t>
        </is>
      </c>
      <c r="H47" s="11" t="n">
        <v>131</v>
      </c>
      <c r="I47" s="11" t="n"/>
      <c r="J47" s="12" t="inlineStr">
        <is>
          <t>제조 비율 | 40% | — (확인 필요)</t>
        </is>
      </c>
      <c r="K47" s="10" t="inlineStr"/>
      <c r="L47" s="10" t="inlineStr"/>
      <c r="M47" s="10" t="inlineStr"/>
      <c r="N47" s="10" t="inlineStr"/>
    </row>
    <row r="48">
      <c r="A48" s="7" t="n">
        <v>45</v>
      </c>
      <c r="B48" s="7" t="inlineStr">
        <is>
          <t>B-경과90일+</t>
        </is>
      </c>
      <c r="C48" s="8" t="inlineStr">
        <is>
          <t>비교분석</t>
        </is>
      </c>
      <c r="D48" s="8" t="inlineStr">
        <is>
          <t>comparisons/재연마-벤치마크-takeda-industries.md</t>
        </is>
      </c>
      <c r="E48" s="8" t="n">
        <v>39</v>
      </c>
      <c r="F48" s="8" t="inlineStr">
        <is>
          <t>확인 필요</t>
        </is>
      </c>
      <c r="G48" s="8" t="inlineStr">
        <is>
          <t>2026-06-02</t>
        </is>
      </c>
      <c r="H48" s="8" t="n">
        <v>131</v>
      </c>
      <c r="I48" s="8" t="n"/>
      <c r="J48" s="9" t="inlineStr">
        <is>
          <t>월 재연마 수량 | 약 2,000개 | — (확인 필요)</t>
        </is>
      </c>
      <c r="K48" s="10" t="inlineStr"/>
      <c r="L48" s="10" t="inlineStr"/>
      <c r="M48" s="10" t="inlineStr"/>
      <c r="N48" s="10" t="inlineStr"/>
    </row>
    <row r="49">
      <c r="A49" s="7" t="n">
        <v>46</v>
      </c>
      <c r="B49" s="7" t="inlineStr">
        <is>
          <t>B-경과90일+</t>
        </is>
      </c>
      <c r="C49" s="11" t="inlineStr">
        <is>
          <t>비교분석</t>
        </is>
      </c>
      <c r="D49" s="11" t="inlineStr">
        <is>
          <t>comparisons/재연마-벤치마크-takeda-industries.md</t>
        </is>
      </c>
      <c r="E49" s="11" t="n">
        <v>40</v>
      </c>
      <c r="F49" s="11" t="inlineStr">
        <is>
          <t>확인 필요</t>
        </is>
      </c>
      <c r="G49" s="11" t="inlineStr">
        <is>
          <t>2026-06-02</t>
        </is>
      </c>
      <c r="H49" s="11" t="n">
        <v>131</v>
      </c>
      <c r="I49" s="11" t="n"/>
      <c r="J49" s="12" t="inlineStr">
        <is>
          <t>성수기 월 제조 수량 | 최대 800개 | — (확인 필요)</t>
        </is>
      </c>
      <c r="K49" s="10" t="inlineStr"/>
      <c r="L49" s="10" t="inlineStr"/>
      <c r="M49" s="10" t="inlineStr"/>
      <c r="N49" s="10" t="inlineStr"/>
    </row>
    <row r="50">
      <c r="A50" s="7" t="n">
        <v>47</v>
      </c>
      <c r="B50" s="7" t="inlineStr">
        <is>
          <t>B-경과90일+</t>
        </is>
      </c>
      <c r="C50" s="8" t="inlineStr">
        <is>
          <t>설비</t>
        </is>
      </c>
      <c r="D50" s="8" t="inlineStr">
        <is>
          <t>machines/fx5-linear.md</t>
        </is>
      </c>
      <c r="E50" s="8" t="n">
        <v>74</v>
      </c>
      <c r="F50" s="8" t="inlineStr">
        <is>
          <t>확인 필요</t>
        </is>
      </c>
      <c r="G50" s="8" t="inlineStr">
        <is>
          <t>2026-06-02</t>
        </is>
      </c>
      <c r="H50" s="8" t="n">
        <v>131</v>
      </c>
      <c r="I50" s="8" t="n"/>
      <c r="J50" s="9" t="inlineStr">
        <is>
          <t>⚠️ 사내 적용 주의: 사내 장비에 LaserUltra가 설치되어 있는지 먼저 확인 필요. 설치 여부·활용 현황 → ANCA-사내적용-체크리스트-2026-05 참고.</t>
        </is>
      </c>
      <c r="K50" s="10" t="inlineStr"/>
      <c r="L50" s="10" t="inlineStr"/>
      <c r="M50" s="10" t="inlineStr"/>
      <c r="N50" s="10" t="inlineStr"/>
    </row>
    <row r="51">
      <c r="A51" s="7" t="n">
        <v>48</v>
      </c>
      <c r="B51" s="7" t="inlineStr">
        <is>
          <t>B-경과90일+</t>
        </is>
      </c>
      <c r="C51" s="11" t="inlineStr">
        <is>
          <t>설비</t>
        </is>
      </c>
      <c r="D51" s="11" t="inlineStr">
        <is>
          <t>machines/fx5-linear.md</t>
        </is>
      </c>
      <c r="E51" s="11" t="n">
        <v>123</v>
      </c>
      <c r="F51" s="11" t="inlineStr">
        <is>
          <t>확인 필요</t>
        </is>
      </c>
      <c r="G51" s="11" t="inlineStr">
        <is>
          <t>2026-06-02</t>
        </is>
      </c>
      <c r="H51" s="11" t="n">
        <v>131</v>
      </c>
      <c r="I51" s="11" t="n"/>
      <c r="J51" s="12" t="inlineStr">
        <is>
          <t>포지셔닝 | 소형·범용 | 확인 필요</t>
        </is>
      </c>
      <c r="K51" s="10" t="inlineStr"/>
      <c r="L51" s="10" t="inlineStr"/>
      <c r="M51" s="10" t="inlineStr"/>
      <c r="N51" s="10" t="inlineStr"/>
    </row>
    <row r="52">
      <c r="A52" s="7" t="n">
        <v>49</v>
      </c>
      <c r="B52" s="7" t="inlineStr">
        <is>
          <t>B-경과90일+</t>
        </is>
      </c>
      <c r="C52" s="8" t="inlineStr">
        <is>
          <t>설비</t>
        </is>
      </c>
      <c r="D52" s="8" t="inlineStr">
        <is>
          <t>machines/fx5-linear.md</t>
        </is>
      </c>
      <c r="E52" s="8" t="n">
        <v>124</v>
      </c>
      <c r="F52" s="8" t="inlineStr">
        <is>
          <t>확인 필요</t>
        </is>
      </c>
      <c r="G52" s="8" t="inlineStr">
        <is>
          <t>2026-06-02</t>
        </is>
      </c>
      <c r="H52" s="8" t="n">
        <v>131</v>
      </c>
      <c r="I52" s="8" t="n"/>
      <c r="J52" s="9" t="inlineStr">
        <is>
          <t>Simple Loader | 기본 탑재 | 옵션 여부 확인 필요</t>
        </is>
      </c>
      <c r="K52" s="10" t="inlineStr"/>
      <c r="L52" s="10" t="inlineStr"/>
      <c r="M52" s="10" t="inlineStr"/>
      <c r="N52" s="10" t="inlineStr"/>
    </row>
    <row r="53">
      <c r="A53" s="7" t="n">
        <v>50</v>
      </c>
      <c r="B53" s="7" t="inlineStr">
        <is>
          <t>B-경과90일+</t>
        </is>
      </c>
      <c r="C53" s="11" t="inlineStr">
        <is>
          <t>G코드</t>
        </is>
      </c>
      <c r="D53" s="11" t="inlineStr">
        <is>
          <t>gcode/g83-드릴사이클.md</t>
        </is>
      </c>
      <c r="E53" s="11" t="n">
        <v>223</v>
      </c>
      <c r="F53" s="11" t="inlineStr">
        <is>
          <t>확인 필요</t>
        </is>
      </c>
      <c r="G53" s="11" t="inlineStr">
        <is>
          <t>2026-06-05</t>
        </is>
      </c>
      <c r="H53" s="11" t="n">
        <v>128</v>
      </c>
      <c r="I53" s="11" t="n"/>
      <c r="J53" s="12" t="inlineStr">
        <is>
          <t>Ø2 | A6061 | 150 | 23,850 | 0.050 | 1,190 | 0.7 | ⚠️ 추정값 — 스핀들 최대 RPM 확인 필요</t>
        </is>
      </c>
      <c r="K53" s="10" t="inlineStr"/>
      <c r="L53" s="10" t="inlineStr"/>
      <c r="M53" s="10" t="inlineStr"/>
      <c r="N53" s="10" t="inlineStr"/>
    </row>
    <row r="54">
      <c r="A54" s="7" t="n">
        <v>51</v>
      </c>
      <c r="B54" s="7" t="inlineStr">
        <is>
          <t>B-경과90일+</t>
        </is>
      </c>
      <c r="C54" s="8" t="inlineStr">
        <is>
          <t>G코드</t>
        </is>
      </c>
      <c r="D54" s="8" t="inlineStr">
        <is>
          <t>gcode/g83-드릴사이클.md</t>
        </is>
      </c>
      <c r="E54" s="8" t="n">
        <v>226</v>
      </c>
      <c r="F54" s="8" t="inlineStr">
        <is>
          <t>확인 필요</t>
        </is>
      </c>
      <c r="G54" s="8" t="inlineStr">
        <is>
          <t>2026-06-05</t>
        </is>
      </c>
      <c r="H54" s="8" t="n">
        <v>128</v>
      </c>
      <c r="I54" s="8" t="n"/>
      <c r="J54" s="9" t="inlineStr">
        <is>
          <t>Ø3 | A6061 | 150 | 15,900 | 0.060 | 950 | 1.0 | ⚠️ 추정값 — 스핀들 최대 RPM 확인 필요</t>
        </is>
      </c>
      <c r="K54" s="10" t="inlineStr"/>
      <c r="L54" s="10" t="inlineStr"/>
      <c r="M54" s="10" t="inlineStr"/>
      <c r="N54" s="10" t="inlineStr"/>
    </row>
    <row r="55">
      <c r="A55" s="7" t="n">
        <v>52</v>
      </c>
      <c r="B55" s="7" t="inlineStr">
        <is>
          <t>B-경과90일+</t>
        </is>
      </c>
      <c r="C55" s="11" t="inlineStr">
        <is>
          <t>소재</t>
        </is>
      </c>
      <c r="D55" s="11" t="inlineStr">
        <is>
          <t>materials/공구-코팅.md</t>
        </is>
      </c>
      <c r="E55" s="11" t="n">
        <v>291</v>
      </c>
      <c r="F55" s="11" t="inlineStr">
        <is>
          <t>확인 필요</t>
        </is>
      </c>
      <c r="G55" s="11" t="inlineStr">
        <is>
          <t>2026-06-05</t>
        </is>
      </c>
      <c r="H55" s="11" t="n">
        <v>128</v>
      </c>
      <c r="I55" s="11" t="n"/>
      <c r="J55" s="12" t="inlineStr">
        <is>
          <t>보림시스템(주) | Super-TiN·TiCN·DLC·CrTiN·CrN·TiAlN·AlTiN·AlCrN/Si3N4·AlTiN/Si3N4·그라핀(ta-C) | 2일 | 없음 | 확인 필요 | bocot 브랜드. 그라핀 박리 장비 보유 → 재연마 후 재코팅 가능. 사내 경험값 (2026-06-05 한경준)</t>
        </is>
      </c>
      <c r="K55" s="10" t="inlineStr"/>
      <c r="L55" s="10" t="inlineStr"/>
      <c r="M55" s="10" t="inlineStr"/>
      <c r="N55" s="10" t="inlineStr"/>
    </row>
    <row r="56">
      <c r="A56" s="7" t="n">
        <v>53</v>
      </c>
      <c r="B56" s="7" t="inlineStr">
        <is>
          <t>B-경과90일+</t>
        </is>
      </c>
      <c r="C56" s="8" t="inlineStr">
        <is>
          <t>소재</t>
        </is>
      </c>
      <c r="D56" s="8" t="inlineStr">
        <is>
          <t>materials/공구-코팅.md</t>
        </is>
      </c>
      <c r="E56" s="8" t="n">
        <v>361</v>
      </c>
      <c r="F56" s="8" t="inlineStr">
        <is>
          <t>확인 필요</t>
        </is>
      </c>
      <c r="G56" s="8" t="inlineStr">
        <is>
          <t>2026-06-05</t>
        </is>
      </c>
      <c r="H56" s="8" t="n">
        <v>128</v>
      </c>
      <c r="I56" s="8" t="n"/>
      <c r="J56" s="9" t="inlineStr">
        <is>
          <t>AlTiN (뮤) | 확인 필요 | 확인 필요 | ~80% | — | 사내 경험값 (2026-06-05)</t>
        </is>
      </c>
      <c r="K56" s="10" t="inlineStr"/>
      <c r="L56" s="10" t="inlineStr"/>
      <c r="M56" s="10" t="inlineStr"/>
      <c r="N56" s="10" t="inlineStr"/>
    </row>
    <row r="57">
      <c r="A57" s="7" t="n">
        <v>54</v>
      </c>
      <c r="B57" s="7" t="inlineStr">
        <is>
          <t>B-경과90일+</t>
        </is>
      </c>
      <c r="C57" s="11" t="inlineStr">
        <is>
          <t>소재</t>
        </is>
      </c>
      <c r="D57" s="11" t="inlineStr">
        <is>
          <t>materials/공구-코팅.md</t>
        </is>
      </c>
      <c r="E57" s="11" t="n">
        <v>362</v>
      </c>
      <c r="F57" s="11" t="inlineStr">
        <is>
          <t>확인 필요</t>
        </is>
      </c>
      <c r="G57" s="11" t="inlineStr">
        <is>
          <t>2026-06-05</t>
        </is>
      </c>
      <c r="H57" s="11" t="n">
        <v>128</v>
      </c>
      <c r="I57" s="11" t="n"/>
      <c r="J57" s="12" t="inlineStr">
        <is>
          <t>TiSiN (울트라) | 확인 필요 | 확인 필요 | ~80% | — | 사내 경험값 (2026-06-05)</t>
        </is>
      </c>
      <c r="K57" s="10" t="inlineStr"/>
      <c r="L57" s="10" t="inlineStr"/>
      <c r="M57" s="10" t="inlineStr"/>
      <c r="N57" s="10" t="inlineStr"/>
    </row>
    <row r="58">
      <c r="A58" s="7" t="n">
        <v>55</v>
      </c>
      <c r="B58" s="7" t="inlineStr">
        <is>
          <t>B-경과90일+</t>
        </is>
      </c>
      <c r="C58" s="8" t="inlineStr">
        <is>
          <t>소재</t>
        </is>
      </c>
      <c r="D58" s="8" t="inlineStr">
        <is>
          <t>materials/초경.md</t>
        </is>
      </c>
      <c r="E58" s="8" t="n">
        <v>237</v>
      </c>
      <c r="F58" s="8" t="inlineStr">
        <is>
          <t>확인 필요</t>
        </is>
      </c>
      <c r="G58" s="8" t="inlineStr">
        <is>
          <t>2026-06-05</t>
        </is>
      </c>
      <c r="H58" s="8" t="n">
        <v>128</v>
      </c>
      <c r="I58" s="8" t="n"/>
      <c r="J58" s="9" t="inlineStr">
        <is>
          <t>보림시스템 | AlTiN(뮤)·TiSiN(울트라)·울트라-X 등 | 확인 필요 | 확인 필요 | 사내 유일 재코팅 외주처 (2026-06-05 확인)</t>
        </is>
      </c>
      <c r="K58" s="10" t="inlineStr"/>
      <c r="L58" s="10" t="inlineStr"/>
      <c r="M58" s="10" t="inlineStr"/>
      <c r="N58" s="10" t="inlineStr"/>
    </row>
    <row r="59">
      <c r="A59" s="7" t="n">
        <v>56</v>
      </c>
      <c r="B59" s="7" t="inlineStr">
        <is>
          <t>B-경과90일+</t>
        </is>
      </c>
      <c r="C59" s="11" t="inlineStr">
        <is>
          <t>보고</t>
        </is>
      </c>
      <c r="D59" s="11" t="inlineStr">
        <is>
          <t>reports/2026-06-10_독립실행도구_완성도보고서.md</t>
        </is>
      </c>
      <c r="E59" s="11" t="n">
        <v>43</v>
      </c>
      <c r="F59" s="11" t="inlineStr">
        <is>
          <t>미확인</t>
        </is>
      </c>
      <c r="G59" s="11" t="inlineStr">
        <is>
          <t>2026-06-10</t>
        </is>
      </c>
      <c r="H59" s="11" t="n">
        <v>123</v>
      </c>
      <c r="I59" s="11" t="n"/>
      <c r="J59" s="12" t="inlineStr">
        <is>
          <t>local 모드 테스트만 수행. GitHub Token이 있는 환경에서 실제 push 성공 여부는 미확인</t>
        </is>
      </c>
      <c r="K59" s="10" t="inlineStr"/>
      <c r="L59" s="10" t="inlineStr"/>
      <c r="M59" s="10" t="inlineStr"/>
      <c r="N59" s="10" t="inlineStr"/>
    </row>
    <row r="60">
      <c r="A60" s="7" t="n">
        <v>57</v>
      </c>
      <c r="B60" s="7" t="inlineStr">
        <is>
          <t>B-경과90일+</t>
        </is>
      </c>
      <c r="C60" s="8" t="inlineStr">
        <is>
          <t>비교분석</t>
        </is>
      </c>
      <c r="D60" s="8" t="inlineStr">
        <is>
          <t>comparisons/AL엔드밀-3종-비교.md</t>
        </is>
      </c>
      <c r="E60" s="8" t="n">
        <v>139</v>
      </c>
      <c r="F60" s="8" t="inlineStr">
        <is>
          <t>미확인</t>
        </is>
      </c>
      <c r="G60" s="8" t="inlineStr">
        <is>
          <t>2026-06-12</t>
        </is>
      </c>
      <c r="H60" s="8" t="n">
        <v>121</v>
      </c>
      <c r="I60" s="8" t="n"/>
      <c r="J60" s="9" t="inlineStr">
        <is>
          <t>[x] 코팅 종류 공식 확인 — YG-1 완료([VEN-YG1-ALUCUT], 2026-06-12). OKE·J.J는 여전히 미확인(제조사 카탈로그 미보유) — 부분 완료로 하향.</t>
        </is>
      </c>
      <c r="K60" s="10" t="inlineStr"/>
      <c r="L60" s="10" t="inlineStr"/>
      <c r="M60" s="10" t="inlineStr"/>
      <c r="N60" s="10" t="inlineStr"/>
    </row>
    <row r="61">
      <c r="A61" s="7" t="n">
        <v>58</v>
      </c>
      <c r="B61" s="7" t="inlineStr">
        <is>
          <t>B-경과90일+</t>
        </is>
      </c>
      <c r="C61" s="11" t="inlineStr">
        <is>
          <t>설비</t>
        </is>
      </c>
      <c r="D61" s="11" t="inlineStr">
        <is>
          <t>machines/fast-wrist.md</t>
        </is>
      </c>
      <c r="E61" s="11" t="n">
        <v>21</v>
      </c>
      <c r="F61" s="11" t="inlineStr">
        <is>
          <t>확인 필요</t>
        </is>
      </c>
      <c r="G61" s="11" t="inlineStr">
        <is>
          <t>2026-06-12</t>
        </is>
      </c>
      <c r="H61" s="11" t="n">
        <v>121</v>
      </c>
      <c r="I61" s="11" t="n"/>
      <c r="J61" s="12" t="inlineStr">
        <is>
          <t>설치 위치 | 확인 필요</t>
        </is>
      </c>
      <c r="K61" s="10" t="inlineStr"/>
      <c r="L61" s="10" t="inlineStr"/>
      <c r="M61" s="10" t="inlineStr"/>
      <c r="N61" s="10" t="inlineStr"/>
    </row>
    <row r="62">
      <c r="A62" s="7" t="n">
        <v>59</v>
      </c>
      <c r="B62" s="7" t="inlineStr">
        <is>
          <t>B-경과90일+</t>
        </is>
      </c>
      <c r="C62" s="8" t="inlineStr">
        <is>
          <t>설비</t>
        </is>
      </c>
      <c r="D62" s="8" t="inlineStr">
        <is>
          <t>machines/fast-wrist.md</t>
        </is>
      </c>
      <c r="E62" s="8" t="n">
        <v>29</v>
      </c>
      <c r="F62" s="8" t="inlineStr">
        <is>
          <t>확인 필요</t>
        </is>
      </c>
      <c r="G62" s="8" t="inlineStr">
        <is>
          <t>2026-06-12</t>
        </is>
      </c>
      <c r="H62" s="8" t="n">
        <v>121</v>
      </c>
      <c r="I62" s="8" t="n"/>
      <c r="J62" s="9" t="inlineStr">
        <is>
          <t>권장 에어압 | 확인 필요 bar | —</t>
        </is>
      </c>
      <c r="K62" s="10" t="inlineStr"/>
      <c r="L62" s="10" t="inlineStr"/>
      <c r="M62" s="10" t="inlineStr"/>
      <c r="N62" s="10" t="inlineStr"/>
    </row>
    <row r="63">
      <c r="A63" s="7" t="n">
        <v>60</v>
      </c>
      <c r="B63" s="7" t="inlineStr">
        <is>
          <t>B-경과90일+</t>
        </is>
      </c>
      <c r="C63" s="11" t="inlineStr">
        <is>
          <t>CAD/CAM</t>
        </is>
      </c>
      <c r="D63" s="11" t="inlineStr">
        <is>
          <t>cadcam/anca-rfid-workflow.md</t>
        </is>
      </c>
      <c r="E63" s="11" t="n">
        <v>86</v>
      </c>
      <c r="F63" s="11" t="inlineStr">
        <is>
          <t>확인 필요</t>
        </is>
      </c>
      <c r="G63" s="11" t="inlineStr">
        <is>
          <t>2026-06-16</t>
        </is>
      </c>
      <c r="H63" s="11" t="n">
        <v>117</v>
      </c>
      <c r="I63" s="11" t="n"/>
      <c r="J63" s="12" t="inlineStr">
        <is>
          <t>항목 | 내용 | 확인 필요</t>
        </is>
      </c>
      <c r="K63" s="10" t="inlineStr"/>
      <c r="L63" s="10" t="inlineStr"/>
      <c r="M63" s="10" t="inlineStr"/>
      <c r="N63" s="10" t="inlineStr"/>
    </row>
    <row r="64">
      <c r="A64" s="7" t="n">
        <v>61</v>
      </c>
      <c r="B64" s="7" t="inlineStr">
        <is>
          <t>B-경과90일+</t>
        </is>
      </c>
      <c r="C64" s="8" t="inlineStr">
        <is>
          <t>기타</t>
        </is>
      </c>
      <c r="D64" s="8" t="inlineStr">
        <is>
          <t>index.md</t>
        </is>
      </c>
      <c r="E64" s="8" t="n">
        <v>19</v>
      </c>
      <c r="F64" s="8" t="inlineStr">
        <is>
          <t>미확인</t>
        </is>
      </c>
      <c r="G64" s="8" t="inlineStr">
        <is>
          <t>2026-06-29</t>
        </is>
      </c>
      <c r="H64" s="8" t="n">
        <v>104</v>
      </c>
      <c r="I64" s="8" t="n"/>
      <c r="J64" s="9" t="inlineStr">
        <is>
          <t>anca-중고-리퍼비시-매물-조사 — ANCA 중고·리퍼비시 장비 글로벌·국내 매물 조사. MachineTools.com 13건·Machineseeker.com 3건·국내 ANCA 미확인·Walter 국내 1건. 구매 채널·도입 체크리스트 포함. (2026-06-29 신규)</t>
        </is>
      </c>
      <c r="K64" s="10" t="inlineStr"/>
      <c r="L64" s="10" t="inlineStr"/>
      <c r="M64" s="10" t="inlineStr"/>
      <c r="N64" s="10" t="inlineStr"/>
    </row>
    <row r="65">
      <c r="A65" s="7" t="n">
        <v>62</v>
      </c>
      <c r="B65" s="7" t="inlineStr">
        <is>
          <t>B-경과90일+</t>
        </is>
      </c>
      <c r="C65" s="11" t="inlineStr">
        <is>
          <t>설비</t>
        </is>
      </c>
      <c r="D65" s="11" t="inlineStr">
        <is>
          <t>machines/anca-중고-리퍼비시-매물-조사.md</t>
        </is>
      </c>
      <c r="E65" s="11" t="n">
        <v>84</v>
      </c>
      <c r="F65" s="11" t="inlineStr">
        <is>
          <t>미확인</t>
        </is>
      </c>
      <c r="G65" s="11" t="inlineStr">
        <is>
          <t>2026-06-29</t>
        </is>
      </c>
      <c r="H65" s="11" t="n">
        <v>104</v>
      </c>
      <c r="I65" s="11" t="n"/>
      <c r="J65" s="12" t="inlineStr">
        <is>
          <t>ANCA 공식 Certified Used 프로그램: 검색 결과 미확인. ANCA Korea 직접 문의 필요.</t>
        </is>
      </c>
      <c r="K65" s="10" t="inlineStr"/>
      <c r="L65" s="10" t="inlineStr"/>
      <c r="M65" s="10" t="inlineStr"/>
      <c r="N65" s="10" t="inlineStr"/>
    </row>
    <row r="66">
      <c r="A66" s="7" t="n">
        <v>63</v>
      </c>
      <c r="B66" s="7" t="inlineStr">
        <is>
          <t>B-경과90일+</t>
        </is>
      </c>
      <c r="C66" s="8" t="inlineStr">
        <is>
          <t>설비</t>
        </is>
      </c>
      <c r="D66" s="8" t="inlineStr">
        <is>
          <t>machines/anca-중고-리퍼비시-매물-조사.md</t>
        </is>
      </c>
      <c r="E66" s="8" t="n">
        <v>106</v>
      </c>
      <c r="F66" s="8" t="inlineStr">
        <is>
          <t>미확인</t>
        </is>
      </c>
      <c r="G66" s="8" t="inlineStr">
        <is>
          <t>2026-06-29</t>
        </is>
      </c>
      <c r="H66" s="8" t="n">
        <v>104</v>
      </c>
      <c r="I66" s="8" t="n"/>
      <c r="J66" s="9" t="inlineStr">
        <is>
          <t>ANCA Korea — 공식 리퍼비시 또는 중고 프로그램 존재 여부 직접 문의 필요. 국내 중고 산업기계 플랫폼에는 현재 ANCA 매물 미확인.</t>
        </is>
      </c>
      <c r="K66" s="10" t="inlineStr"/>
      <c r="L66" s="10" t="inlineStr"/>
      <c r="M66" s="10" t="inlineStr"/>
      <c r="N66" s="10" t="inlineStr"/>
    </row>
    <row r="67">
      <c r="A67" s="7" t="n">
        <v>64</v>
      </c>
      <c r="B67" s="7" t="inlineStr">
        <is>
          <t>B-경과90일+</t>
        </is>
      </c>
      <c r="C67" s="11" t="inlineStr">
        <is>
          <t>설비</t>
        </is>
      </c>
      <c r="D67" s="11" t="inlineStr">
        <is>
          <t>machines/anca-중고-리퍼비시-매물-조사.md</t>
        </is>
      </c>
      <c r="E67" s="11" t="n">
        <v>126</v>
      </c>
      <c r="F67" s="11" t="inlineStr">
        <is>
          <t>미확인</t>
        </is>
      </c>
      <c r="G67" s="11" t="inlineStr">
        <is>
          <t>2026-06-29</t>
        </is>
      </c>
      <c r="H67" s="11" t="n">
        <v>104</v>
      </c>
      <c r="I67" s="11" t="n"/>
      <c r="J67"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67" s="10" t="inlineStr"/>
      <c r="L67" s="10" t="inlineStr"/>
      <c r="M67" s="10" t="inlineStr"/>
      <c r="N67" s="10" t="inlineStr"/>
    </row>
    <row r="68">
      <c r="A68" s="7" t="n">
        <v>65</v>
      </c>
      <c r="B68" s="7" t="inlineStr">
        <is>
          <t>B-경과90일+</t>
        </is>
      </c>
      <c r="C68" s="8" t="inlineStr">
        <is>
          <t>설비</t>
        </is>
      </c>
      <c r="D68" s="8" t="inlineStr">
        <is>
          <t>machines/anca-중고-리퍼비시-매물-조사.md</t>
        </is>
      </c>
      <c r="E68" s="8" t="n">
        <v>128</v>
      </c>
      <c r="F68" s="8" t="inlineStr">
        <is>
          <t>확인 필요</t>
        </is>
      </c>
      <c r="G68" s="8" t="inlineStr">
        <is>
          <t>2026-06-29</t>
        </is>
      </c>
      <c r="H68" s="8" t="n">
        <v>104</v>
      </c>
      <c r="I68" s="8" t="n"/>
      <c r="J68" s="9" t="inlineStr">
        <is>
          <t>추후 확인 필요 채널:</t>
        </is>
      </c>
      <c r="K68" s="10" t="inlineStr"/>
      <c r="L68" s="10" t="inlineStr"/>
      <c r="M68" s="10" t="inlineStr"/>
      <c r="N68" s="10" t="inlineStr"/>
    </row>
    <row r="69">
      <c r="A69" s="7" t="n">
        <v>66</v>
      </c>
      <c r="B69" s="7" t="inlineStr">
        <is>
          <t>B-경과90일+</t>
        </is>
      </c>
      <c r="C69" s="11" t="inlineStr">
        <is>
          <t>설비</t>
        </is>
      </c>
      <c r="D69" s="11" t="inlineStr">
        <is>
          <t>machines/anca-중고-리퍼비시-매물-조사.md</t>
        </is>
      </c>
      <c r="E69" s="11" t="n">
        <v>153</v>
      </c>
      <c r="F69" s="11" t="inlineStr">
        <is>
          <t>확인 필요</t>
        </is>
      </c>
      <c r="G69" s="11" t="inlineStr">
        <is>
          <t>2026-06-29</t>
        </is>
      </c>
      <c r="H69" s="11" t="n">
        <v>104</v>
      </c>
      <c r="I69" s="11" t="n"/>
      <c r="J69"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69" s="10" t="inlineStr"/>
      <c r="L69" s="10" t="inlineStr"/>
      <c r="M69" s="10" t="inlineStr"/>
      <c r="N69" s="10" t="inlineStr"/>
    </row>
    <row r="70">
      <c r="A70" s="7" t="n">
        <v>67</v>
      </c>
      <c r="B70" s="7" t="inlineStr">
        <is>
          <t>B-경과90일+</t>
        </is>
      </c>
      <c r="C70" s="8" t="inlineStr">
        <is>
          <t>프로젝트</t>
        </is>
      </c>
      <c r="D70" s="8" t="inlineStr">
        <is>
          <t>projects/ANCA-장비-투자-생산력강화-검토.md</t>
        </is>
      </c>
      <c r="E70" s="8" t="n">
        <v>69</v>
      </c>
      <c r="F70" s="8" t="inlineStr">
        <is>
          <t>확인 필요</t>
        </is>
      </c>
      <c r="G70" s="8" t="inlineStr">
        <is>
          <t>2026-06-29</t>
        </is>
      </c>
      <c r="H70" s="8" t="n">
        <v>104</v>
      </c>
      <c r="I70" s="8" t="n"/>
      <c r="J70" s="9" t="inlineStr">
        <is>
          <t>참고자료: anca-중고-리퍼비시-매물-조사(2026-06-29) — GX7(2014년형, 유럽 Machineseeker 매물) 등 기존 조사 존재. 신품/중고가 미정인 현 단계에서 이 조사가 직접 후보인지 확인 필요.</t>
        </is>
      </c>
      <c r="K70" s="10" t="inlineStr"/>
      <c r="L70" s="10" t="inlineStr"/>
      <c r="M70" s="10" t="inlineStr"/>
      <c r="N70" s="10" t="inlineStr"/>
    </row>
    <row r="71">
      <c r="A71" s="7" t="n">
        <v>68</v>
      </c>
      <c r="B71" s="7" t="inlineStr">
        <is>
          <t>B-경과90일+</t>
        </is>
      </c>
      <c r="C71" s="11" t="inlineStr">
        <is>
          <t>CAD/CAM</t>
        </is>
      </c>
      <c r="D71" s="11" t="inlineStr">
        <is>
          <t>cadcam/원통연삭-방식-기초.md</t>
        </is>
      </c>
      <c r="E71" s="11" t="n">
        <v>22</v>
      </c>
      <c r="F71" s="11" t="inlineStr">
        <is>
          <t>확인 필요</t>
        </is>
      </c>
      <c r="G71" s="11" t="inlineStr">
        <is>
          <t>2026-07-01</t>
        </is>
      </c>
      <c r="H71" s="11" t="n">
        <v>102</v>
      </c>
      <c r="I71" s="11" t="n"/>
      <c r="J71" s="12"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71" s="10" t="inlineStr"/>
      <c r="L71" s="10" t="inlineStr"/>
      <c r="M71" s="10" t="inlineStr"/>
      <c r="N71" s="10" t="inlineStr"/>
    </row>
    <row r="72">
      <c r="A72" s="7" t="n">
        <v>69</v>
      </c>
      <c r="B72" s="7" t="inlineStr">
        <is>
          <t>B-경과90일+</t>
        </is>
      </c>
      <c r="C72" s="8" t="inlineStr">
        <is>
          <t>CAD/CAM</t>
        </is>
      </c>
      <c r="D72" s="8" t="inlineStr">
        <is>
          <t>cadcam/원통연삭-방식-기초.md</t>
        </is>
      </c>
      <c r="E72" s="8" t="n">
        <v>104</v>
      </c>
      <c r="F72" s="8" t="inlineStr">
        <is>
          <t>확인 필요</t>
        </is>
      </c>
      <c r="G72" s="8" t="inlineStr">
        <is>
          <t>2026-07-01</t>
        </is>
      </c>
      <c r="H72" s="8" t="n">
        <v>102</v>
      </c>
      <c r="I72" s="8" t="n"/>
      <c r="J72" s="9" t="inlineStr">
        <is>
          <t>⚠️ 이 재정의는 아직 한경준님 확인·홍익다이아 기술 의견 확인 전 단계입니다 — "확인 필요"로 유지.</t>
        </is>
      </c>
      <c r="K72" s="10" t="inlineStr"/>
      <c r="L72" s="10" t="inlineStr"/>
      <c r="M72" s="10" t="inlineStr"/>
      <c r="N72" s="10" t="inlineStr"/>
    </row>
    <row r="73">
      <c r="A73" s="7" t="n">
        <v>70</v>
      </c>
      <c r="B73" s="7" t="inlineStr">
        <is>
          <t>B-경과90일+</t>
        </is>
      </c>
      <c r="C73" s="11" t="inlineStr">
        <is>
          <t>CAD/CAM</t>
        </is>
      </c>
      <c r="D73" s="11" t="inlineStr">
        <is>
          <t>cadcam/원통연삭-방식-기초.md</t>
        </is>
      </c>
      <c r="E73" s="11" t="n">
        <v>119</v>
      </c>
      <c r="F73" s="11" t="inlineStr">
        <is>
          <t>확인 필요</t>
        </is>
      </c>
      <c r="G73" s="11" t="inlineStr">
        <is>
          <t>2026-07-01</t>
        </is>
      </c>
      <c r="H73" s="11" t="n">
        <v>102</v>
      </c>
      <c r="I73" s="11" t="n"/>
      <c r="J73" s="12" t="inlineStr">
        <is>
          <t>학술 핸드북 (일반 정의 근거 — 정확한 페이지 확인 필요)</t>
        </is>
      </c>
      <c r="K73" s="10" t="inlineStr"/>
      <c r="L73" s="10" t="inlineStr"/>
      <c r="M73" s="10" t="inlineStr"/>
      <c r="N73" s="10" t="inlineStr"/>
    </row>
    <row r="74">
      <c r="A74" s="7" t="n">
        <v>71</v>
      </c>
      <c r="B74" s="7" t="inlineStr">
        <is>
          <t>B-경과90일+</t>
        </is>
      </c>
      <c r="C74" s="8" t="inlineStr">
        <is>
          <t>공구·휠</t>
        </is>
      </c>
      <c r="D74" s="8" t="inlineStr">
        <is>
          <t>tools/wheels/원통연마-휠-12도-스펙.md</t>
        </is>
      </c>
      <c r="E74" s="8" t="n">
        <v>17</v>
      </c>
      <c r="F74" s="8" t="inlineStr">
        <is>
          <t>미확정</t>
        </is>
      </c>
      <c r="G74" s="8" t="inlineStr">
        <is>
          <t>2026-07-01</t>
        </is>
      </c>
      <c r="H74" s="8" t="n">
        <v>102</v>
      </c>
      <c r="I74" s="8" t="n"/>
      <c r="J74" s="9" t="inlineStr">
        <is>
          <t>외경(Ø)·Bond·제조사 미확정 — 홍익다이아 또는 이화다이아 문의 후 보완 필요.</t>
        </is>
      </c>
      <c r="K74" s="10" t="inlineStr"/>
      <c r="L74" s="10" t="inlineStr"/>
      <c r="M74" s="10" t="inlineStr"/>
      <c r="N74" s="10" t="inlineStr"/>
    </row>
    <row r="75">
      <c r="A75" s="7" t="n">
        <v>72</v>
      </c>
      <c r="B75" s="7" t="inlineStr">
        <is>
          <t>B-경과90일+</t>
        </is>
      </c>
      <c r="C75" s="11" t="inlineStr">
        <is>
          <t>공구·휠</t>
        </is>
      </c>
      <c r="D75" s="11" t="inlineStr">
        <is>
          <t>tools/wheels/원통연마-휠-12도-스펙.md</t>
        </is>
      </c>
      <c r="E75" s="11" t="n">
        <v>47</v>
      </c>
      <c r="F75" s="11" t="inlineStr">
        <is>
          <t>확인 필요</t>
        </is>
      </c>
      <c r="G75" s="11" t="inlineStr">
        <is>
          <t>2026-07-01</t>
        </is>
      </c>
      <c r="H75" s="11" t="n">
        <v>102</v>
      </c>
      <c r="I75" s="11" t="n"/>
      <c r="J75" s="12" t="inlineStr">
        <is>
          <t>신뢰도: 경사부 길이(8mm) = 실측 검증 / 경사각 = 확인 필요</t>
        </is>
      </c>
      <c r="K75" s="10" t="inlineStr"/>
      <c r="L75" s="10" t="inlineStr"/>
      <c r="M75" s="10" t="inlineStr"/>
      <c r="N75" s="10" t="inlineStr"/>
    </row>
    <row r="76">
      <c r="A76" s="7" t="n">
        <v>73</v>
      </c>
      <c r="B76" s="7" t="inlineStr">
        <is>
          <t>B-경과90일+</t>
        </is>
      </c>
      <c r="C76" s="8" t="inlineStr">
        <is>
          <t>공구·휠</t>
        </is>
      </c>
      <c r="D76" s="8" t="inlineStr">
        <is>
          <t>tools/wheels/원통연마-휠-12도-스펙.md</t>
        </is>
      </c>
      <c r="E76" s="8" t="n">
        <v>99</v>
      </c>
      <c r="F76" s="8" t="inlineStr">
        <is>
          <t>확인 필요</t>
        </is>
      </c>
      <c r="G76" s="8" t="inlineStr">
        <is>
          <t>2026-07-01</t>
        </is>
      </c>
      <c r="H76" s="8" t="n">
        <v>102</v>
      </c>
      <c r="I76" s="8" t="n"/>
      <c r="J76" s="9" t="inlineStr">
        <is>
          <t>바디 후육 6mm = 12° 경사면 형상 지지 최소 두께 (홍익다이아 문의 시 확인 필요)</t>
        </is>
      </c>
      <c r="K76" s="10" t="inlineStr"/>
      <c r="L76" s="10" t="inlineStr"/>
      <c r="M76" s="10" t="inlineStr"/>
      <c r="N76" s="10" t="inlineStr"/>
    </row>
    <row r="77">
      <c r="A77" s="7" t="n">
        <v>74</v>
      </c>
      <c r="B77" s="7" t="inlineStr">
        <is>
          <t>B-경과90일+</t>
        </is>
      </c>
      <c r="C77" s="11" t="inlineStr">
        <is>
          <t>공구·휠</t>
        </is>
      </c>
      <c r="D77" s="11" t="inlineStr">
        <is>
          <t>tools/wheels/원통연마-휠-12도-스펙.md</t>
        </is>
      </c>
      <c r="E77" s="11" t="n">
        <v>126</v>
      </c>
      <c r="F77" s="11" t="inlineStr">
        <is>
          <t>미확정</t>
        </is>
      </c>
      <c r="G77" s="11" t="inlineStr">
        <is>
          <t>2026-07-01</t>
        </is>
      </c>
      <c r="H77" s="11" t="n">
        <v>102</v>
      </c>
      <c r="I77" s="11" t="n"/>
      <c r="J77" s="12" t="inlineStr">
        <is>
          <t>C값 트레이드오프 (2026-07-01 논의, 미확정):</t>
        </is>
      </c>
      <c r="K77" s="10" t="inlineStr"/>
      <c r="L77" s="10" t="inlineStr"/>
      <c r="M77" s="10" t="inlineStr"/>
      <c r="N77" s="10" t="inlineStr"/>
    </row>
    <row r="78">
      <c r="A78" s="7" t="n">
        <v>75</v>
      </c>
      <c r="B78" s="7" t="inlineStr">
        <is>
          <t>B-경과90일+</t>
        </is>
      </c>
      <c r="C78" s="8" t="inlineStr">
        <is>
          <t>공구·휠</t>
        </is>
      </c>
      <c r="D78" s="8" t="inlineStr">
        <is>
          <t>tools/wheels/원통연마-휠-12도-스펙.md</t>
        </is>
      </c>
      <c r="E78" s="8" t="n">
        <v>137</v>
      </c>
      <c r="F78" s="8" t="inlineStr">
        <is>
          <t>확인 필요</t>
        </is>
      </c>
      <c r="G78" s="8" t="inlineStr">
        <is>
          <t>2026-07-01</t>
        </is>
      </c>
      <c r="H78" s="8" t="n">
        <v>102</v>
      </c>
      <c r="I78" s="8" t="n"/>
      <c r="J78" s="9" t="inlineStr">
        <is>
          <t>근거·상세 개념: cadcam/원통연삭-방식-기초 §5 참조. 아직 홍익다이아 기술 의견 확인 전 — B값 자체는 여전히 "확인 필요".</t>
        </is>
      </c>
      <c r="K78" s="10" t="inlineStr"/>
      <c r="L78" s="10" t="inlineStr"/>
      <c r="M78" s="10" t="inlineStr"/>
      <c r="N78" s="10" t="inlineStr"/>
    </row>
    <row r="79">
      <c r="A79" s="7" t="n">
        <v>76</v>
      </c>
      <c r="B79" s="7" t="inlineStr">
        <is>
          <t>B-경과90일+</t>
        </is>
      </c>
      <c r="C79" s="11" t="inlineStr">
        <is>
          <t>공구·휠</t>
        </is>
      </c>
      <c r="D79" s="11" t="inlineStr">
        <is>
          <t>tools/wheels/원통연마-휠-12도-스펙.md</t>
        </is>
      </c>
      <c r="E79" s="11" t="n">
        <v>174</v>
      </c>
      <c r="F79" s="11" t="inlineStr">
        <is>
          <t>미확인</t>
        </is>
      </c>
      <c r="G79" s="11" t="inlineStr">
        <is>
          <t>2026-07-01</t>
        </is>
      </c>
      <c r="H79" s="11" t="n">
        <v>102</v>
      </c>
      <c r="I79" s="11" t="n"/>
      <c r="J79" s="12"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79" s="10" t="inlineStr"/>
      <c r="L79" s="10" t="inlineStr"/>
      <c r="M79" s="10" t="inlineStr"/>
      <c r="N79" s="10" t="inlineStr"/>
    </row>
    <row r="80">
      <c r="A80" s="7" t="n">
        <v>77</v>
      </c>
      <c r="B80" s="7" t="inlineStr">
        <is>
          <t>B-경과90일+</t>
        </is>
      </c>
      <c r="C80" s="8" t="inlineStr">
        <is>
          <t>공구·휠</t>
        </is>
      </c>
      <c r="D80" s="8" t="inlineStr">
        <is>
          <t>tools/wheels/원통연마-휠-12도-스펙.md</t>
        </is>
      </c>
      <c r="E80" s="8" t="n">
        <v>219</v>
      </c>
      <c r="F80" s="8" t="inlineStr">
        <is>
          <t>확인 필요</t>
        </is>
      </c>
      <c r="G80" s="8" t="inlineStr">
        <is>
          <t>2026-07-01</t>
        </is>
      </c>
      <c r="H80" s="8" t="n">
        <v>102</v>
      </c>
      <c r="I80" s="8" t="n"/>
      <c r="J80" s="9" t="inlineStr">
        <is>
          <t>ANCA GX7 | 8,500 rpm | 벨트 드라이브 | 추정값 — 제조사 문서 확인 필요</t>
        </is>
      </c>
      <c r="K80" s="10" t="inlineStr"/>
      <c r="L80" s="10" t="inlineStr"/>
      <c r="M80" s="10" t="inlineStr"/>
      <c r="N80" s="10" t="inlineStr"/>
    </row>
    <row r="81">
      <c r="A81" s="7" t="n">
        <v>78</v>
      </c>
      <c r="B81" s="7" t="inlineStr">
        <is>
          <t>B-경과90일+</t>
        </is>
      </c>
      <c r="C81" s="11" t="inlineStr">
        <is>
          <t>공구·휠</t>
        </is>
      </c>
      <c r="D81" s="11" t="inlineStr">
        <is>
          <t>tools/wheels/원통연마-휠-12도-스펙.md</t>
        </is>
      </c>
      <c r="E81" s="11" t="n">
        <v>220</v>
      </c>
      <c r="F81" s="11" t="inlineStr">
        <is>
          <t>확인 필요</t>
        </is>
      </c>
      <c r="G81" s="11" t="inlineStr">
        <is>
          <t>2026-07-01</t>
        </is>
      </c>
      <c r="H81" s="11" t="n">
        <v>102</v>
      </c>
      <c r="I81" s="11" t="n"/>
      <c r="J81" s="12" t="inlineStr">
        <is>
          <t>ANCA FastGrind (MG7) | 10,000 rpm | 직결 드라이브 | 추정값 — 제조사 문서 확인 필요</t>
        </is>
      </c>
      <c r="K81" s="10" t="inlineStr"/>
      <c r="L81" s="10" t="inlineStr"/>
      <c r="M81" s="10" t="inlineStr"/>
      <c r="N81" s="10" t="inlineStr"/>
    </row>
    <row r="82">
      <c r="A82" s="7" t="n">
        <v>79</v>
      </c>
      <c r="B82" s="7" t="inlineStr">
        <is>
          <t>B-경과90일+</t>
        </is>
      </c>
      <c r="C82" s="8" t="inlineStr">
        <is>
          <t>공구·휠</t>
        </is>
      </c>
      <c r="D82" s="8" t="inlineStr">
        <is>
          <t>tools/wheels/원통연마-휠-12도-스펙.md</t>
        </is>
      </c>
      <c r="E82" s="8" t="n">
        <v>264</v>
      </c>
      <c r="F82" s="8" t="inlineStr">
        <is>
          <t>확인 필요</t>
        </is>
      </c>
      <c r="G82" s="8" t="inlineStr">
        <is>
          <t>2026-07-01</t>
        </is>
      </c>
      <c r="H82" s="8" t="n">
        <v>102</v>
      </c>
      <c r="I82" s="8" t="n"/>
      <c r="J82" s="9" t="inlineStr">
        <is>
          <t>항목 | 현황 | 확인 필요</t>
        </is>
      </c>
      <c r="K82" s="10" t="inlineStr"/>
      <c r="L82" s="10" t="inlineStr"/>
      <c r="M82" s="10" t="inlineStr"/>
      <c r="N82" s="10" t="inlineStr"/>
    </row>
    <row r="83">
      <c r="A83" s="7" t="n">
        <v>80</v>
      </c>
      <c r="B83" s="7" t="inlineStr">
        <is>
          <t>B-경과90일+</t>
        </is>
      </c>
      <c r="C83" s="11" t="inlineStr">
        <is>
          <t>공구·휠</t>
        </is>
      </c>
      <c r="D83" s="11" t="inlineStr">
        <is>
          <t>tools/wheels/원통연마-휠-12도-스펙.md</t>
        </is>
      </c>
      <c r="E83" s="11" t="n">
        <v>266</v>
      </c>
      <c r="F83" s="11" t="inlineStr">
        <is>
          <t>미확정</t>
        </is>
      </c>
      <c r="G83" s="11" t="inlineStr">
        <is>
          <t>2026-07-01</t>
        </is>
      </c>
      <c r="H83" s="11" t="n">
        <v>102</v>
      </c>
      <c r="I83" s="11" t="n"/>
      <c r="J83" s="12" t="inlineStr">
        <is>
          <t>외경 (Ø) | 미확정 | 홍익다이아 또는 이화다이아 문의</t>
        </is>
      </c>
      <c r="K83" s="10" t="inlineStr"/>
      <c r="L83" s="10" t="inlineStr"/>
      <c r="M83" s="10" t="inlineStr"/>
      <c r="N83" s="10" t="inlineStr"/>
    </row>
    <row r="84">
      <c r="A84" s="7" t="n">
        <v>81</v>
      </c>
      <c r="B84" s="7" t="inlineStr">
        <is>
          <t>B-경과90일+</t>
        </is>
      </c>
      <c r="C84" s="8" t="inlineStr">
        <is>
          <t>공구·휠</t>
        </is>
      </c>
      <c r="D84" s="8" t="inlineStr">
        <is>
          <t>tools/wheels/원통연마-휠-12도-스펙.md</t>
        </is>
      </c>
      <c r="E84" s="8" t="n">
        <v>268</v>
      </c>
      <c r="F84" s="8" t="inlineStr">
        <is>
          <t>미확정</t>
        </is>
      </c>
      <c r="G84" s="8" t="inlineStr">
        <is>
          <t>2026-07-01</t>
        </is>
      </c>
      <c r="H84" s="8" t="n">
        <v>102</v>
      </c>
      <c r="I84" s="8" t="n"/>
      <c r="J84" s="9" t="inlineStr">
        <is>
          <t>허브 규격 | 미확정 | 장비 스핀들 규격에 맞춰야 함</t>
        </is>
      </c>
      <c r="K84" s="10" t="inlineStr"/>
      <c r="L84" s="10" t="inlineStr"/>
      <c r="M84" s="10" t="inlineStr"/>
      <c r="N84" s="10" t="inlineStr"/>
    </row>
    <row r="85">
      <c r="A85" s="7" t="n">
        <v>82</v>
      </c>
      <c r="B85" s="7" t="inlineStr">
        <is>
          <t>B-경과90일+</t>
        </is>
      </c>
      <c r="C85" s="11" t="inlineStr">
        <is>
          <t>공구·휠</t>
        </is>
      </c>
      <c r="D85" s="11" t="inlineStr">
        <is>
          <t>tools/wheels/원통연마-휠-12도-스펙.md</t>
        </is>
      </c>
      <c r="E85" s="11" t="n">
        <v>269</v>
      </c>
      <c r="F85" s="11" t="inlineStr">
        <is>
          <t>미확정</t>
        </is>
      </c>
      <c r="G85" s="11" t="inlineStr">
        <is>
          <t>2026-07-01</t>
        </is>
      </c>
      <c r="H85" s="11" t="n">
        <v>102</v>
      </c>
      <c r="I85" s="11" t="n"/>
      <c r="J85" s="12" t="inlineStr">
        <is>
          <t>최대 허용 RPM | 미확정 | 제조사 안전 인증값 확인 필수</t>
        </is>
      </c>
      <c r="K85" s="10" t="inlineStr"/>
      <c r="L85" s="10" t="inlineStr"/>
      <c r="M85" s="10" t="inlineStr"/>
      <c r="N85" s="10" t="inlineStr"/>
    </row>
    <row r="86">
      <c r="A86" s="7" t="n">
        <v>83</v>
      </c>
      <c r="B86" s="7" t="inlineStr">
        <is>
          <t>B-경과90일+</t>
        </is>
      </c>
      <c r="C86" s="8" t="inlineStr">
        <is>
          <t>공구·휠</t>
        </is>
      </c>
      <c r="D86" s="8" t="inlineStr">
        <is>
          <t>tools/wheels/원통연마-휠-12도-스펙.md</t>
        </is>
      </c>
      <c r="E86" s="8" t="n">
        <v>270</v>
      </c>
      <c r="F86" s="8" t="inlineStr">
        <is>
          <t>미확정</t>
        </is>
      </c>
      <c r="G86" s="8" t="inlineStr">
        <is>
          <t>2026-07-01</t>
        </is>
      </c>
      <c r="H86" s="8" t="n">
        <v>102</v>
      </c>
      <c r="I86" s="8" t="n"/>
      <c r="J86" s="9" t="inlineStr">
        <is>
          <t>드레싱 방법·주기 | 미확정 | 다이아 드레서 or 드레싱 롤</t>
        </is>
      </c>
      <c r="K86" s="10" t="inlineStr"/>
      <c r="L86" s="10" t="inlineStr"/>
      <c r="M86" s="10" t="inlineStr"/>
      <c r="N86" s="10" t="inlineStr"/>
    </row>
    <row r="87">
      <c r="A87" s="7" t="n">
        <v>84</v>
      </c>
      <c r="B87" s="7" t="inlineStr">
        <is>
          <t>B-경과90일+</t>
        </is>
      </c>
      <c r="C87" s="11" t="inlineStr">
        <is>
          <t>공구·휠</t>
        </is>
      </c>
      <c r="D87" s="11" t="inlineStr">
        <is>
          <t>tools/wheels/원통연마-휠-12도-스펙.md</t>
        </is>
      </c>
      <c r="E87" s="11" t="n">
        <v>271</v>
      </c>
      <c r="F87" s="11" t="inlineStr">
        <is>
          <t>미확정</t>
        </is>
      </c>
      <c r="G87" s="11" t="inlineStr">
        <is>
          <t>2026-07-01</t>
        </is>
      </c>
      <c r="H87" s="11" t="n">
        <v>102</v>
      </c>
      <c r="I87" s="11" t="n"/>
      <c r="J87" s="12" t="inlineStr">
        <is>
          <t>납기·단가 | 미확정 | 수량 3종 × 각 수량 협의</t>
        </is>
      </c>
      <c r="K87" s="10" t="inlineStr"/>
      <c r="L87" s="10" t="inlineStr"/>
      <c r="M87" s="10" t="inlineStr"/>
      <c r="N87" s="10" t="inlineStr"/>
    </row>
    <row r="88">
      <c r="A88" s="7" t="n">
        <v>85</v>
      </c>
      <c r="B88" s="7" t="inlineStr">
        <is>
          <t>B-경과90일+</t>
        </is>
      </c>
      <c r="C88" s="8" t="inlineStr">
        <is>
          <t>비교분석</t>
        </is>
      </c>
      <c r="D88" s="8" t="inlineStr">
        <is>
          <t>comparisons/AL엔드밀-3종-비교.md</t>
        </is>
      </c>
      <c r="E88" s="8" t="n">
        <v>36</v>
      </c>
      <c r="F88" s="8" t="inlineStr">
        <is>
          <t>미확인</t>
        </is>
      </c>
      <c r="G88" s="8" t="inlineStr">
        <is>
          <t>2026-07-08</t>
        </is>
      </c>
      <c r="H88" s="8" t="n">
        <v>95</v>
      </c>
      <c r="I88" s="8" t="n"/>
      <c r="J88" s="9" t="inlineStr">
        <is>
          <t>OKE·J.J 코팅 종류는 추정값 유지 (제조사 카탈로그 미확인).</t>
        </is>
      </c>
      <c r="K88" s="10" t="inlineStr"/>
      <c r="L88" s="10" t="inlineStr"/>
      <c r="M88" s="10" t="inlineStr"/>
      <c r="N88" s="10" t="inlineStr"/>
    </row>
    <row r="89">
      <c r="A89" s="7" t="n">
        <v>86</v>
      </c>
      <c r="B89" s="7" t="inlineStr">
        <is>
          <t>B-경과90일+</t>
        </is>
      </c>
      <c r="C89" s="11" t="inlineStr">
        <is>
          <t>비교분석</t>
        </is>
      </c>
      <c r="D89" s="11" t="inlineStr">
        <is>
          <t>comparisons/AL엔드밀-3종-비교.md</t>
        </is>
      </c>
      <c r="E89" s="11" t="n">
        <v>57</v>
      </c>
      <c r="F89" s="11" t="inlineStr">
        <is>
          <t>미확인</t>
        </is>
      </c>
      <c r="G89" s="11" t="inlineStr">
        <is>
          <t>2026-07-08</t>
        </is>
      </c>
      <c r="H89" s="11" t="n">
        <v>95</v>
      </c>
      <c r="I89" s="11" t="n"/>
      <c r="J89" s="12" t="inlineStr">
        <is>
          <t>쿨런트 | 수용성 (농도·압력 미확인) | —</t>
        </is>
      </c>
      <c r="K89" s="10" t="inlineStr"/>
      <c r="L89" s="10" t="inlineStr"/>
      <c r="M89" s="10" t="inlineStr"/>
      <c r="N89" s="10" t="inlineStr"/>
    </row>
    <row r="90">
      <c r="A90" s="7" t="n">
        <v>87</v>
      </c>
      <c r="B90" s="7" t="inlineStr">
        <is>
          <t>B-경과90일+</t>
        </is>
      </c>
      <c r="C90" s="8" t="inlineStr">
        <is>
          <t>비교분석</t>
        </is>
      </c>
      <c r="D90" s="8" t="inlineStr">
        <is>
          <t>comparisons/AL엔드밀-3종-비교.md</t>
        </is>
      </c>
      <c r="E90" s="8" t="n">
        <v>127</v>
      </c>
      <c r="F90" s="8" t="inlineStr">
        <is>
          <t>미확인</t>
        </is>
      </c>
      <c r="G90" s="8" t="inlineStr">
        <is>
          <t>2026-07-08</t>
        </is>
      </c>
      <c r="H90" s="8" t="n">
        <v>95</v>
      </c>
      <c r="I90" s="8" t="n"/>
      <c r="J90" s="9" t="inlineStr">
        <is>
          <t>쿨런트 농도/pH | 미확인</t>
        </is>
      </c>
      <c r="K90" s="10" t="inlineStr"/>
      <c r="L90" s="10" t="inlineStr"/>
      <c r="M90" s="10" t="inlineStr"/>
      <c r="N90" s="10" t="inlineStr"/>
    </row>
    <row r="91">
      <c r="A91" s="7" t="n">
        <v>88</v>
      </c>
      <c r="B91" s="7" t="inlineStr">
        <is>
          <t>B-경과90일+</t>
        </is>
      </c>
      <c r="C91" s="11" t="inlineStr">
        <is>
          <t>비교분석</t>
        </is>
      </c>
      <c r="D91" s="11" t="inlineStr">
        <is>
          <t>comparisons/AL엔드밀-3종-비교.md</t>
        </is>
      </c>
      <c r="E91" s="11" t="n">
        <v>136</v>
      </c>
      <c r="F91" s="11" t="inlineStr">
        <is>
          <t>확인 필요</t>
        </is>
      </c>
      <c r="G91" s="11" t="inlineStr">
        <is>
          <t>2026-07-08</t>
        </is>
      </c>
      <c r="H91" s="11" t="n">
        <v>95</v>
      </c>
      <c r="I91" s="11" t="n"/>
      <c r="J91" s="12" t="inlineStr">
        <is>
          <t>[ ] J.J vs YG-1 동일 조건 반복 테스트 — 1회 테스트 한계, 재현성 확인 필요</t>
        </is>
      </c>
      <c r="K91" s="10" t="inlineStr"/>
      <c r="L91" s="10" t="inlineStr"/>
      <c r="M91" s="10" t="inlineStr"/>
      <c r="N91" s="10" t="inlineStr"/>
    </row>
    <row r="92">
      <c r="A92" s="7" t="n">
        <v>89</v>
      </c>
      <c r="B92" s="7" t="inlineStr">
        <is>
          <t>B-경과90일+</t>
        </is>
      </c>
      <c r="C92" s="8" t="inlineStr">
        <is>
          <t>비교분석</t>
        </is>
      </c>
      <c r="D92" s="8" t="inlineStr">
        <is>
          <t>comparisons/NC드릴-4종-비교-D4.md</t>
        </is>
      </c>
      <c r="E92" s="8" t="n">
        <v>151</v>
      </c>
      <c r="F92" s="8" t="inlineStr">
        <is>
          <t>확인 필요</t>
        </is>
      </c>
      <c r="G92" s="8" t="inlineStr">
        <is>
          <t>2026-07-09</t>
        </is>
      </c>
      <c r="H92" s="8" t="n">
        <v>94</v>
      </c>
      <c r="I92" s="8" t="n"/>
      <c r="J92" s="9"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92" s="10" t="inlineStr"/>
      <c r="L92" s="10" t="inlineStr"/>
      <c r="M92" s="10" t="inlineStr"/>
      <c r="N92" s="10" t="inlineStr"/>
    </row>
    <row r="93">
      <c r="A93" s="7" t="n">
        <v>90</v>
      </c>
      <c r="B93" s="7" t="inlineStr">
        <is>
          <t>B-경과90일+</t>
        </is>
      </c>
      <c r="C93" s="11" t="inlineStr">
        <is>
          <t>비교분석</t>
        </is>
      </c>
      <c r="D93" s="11" t="inlineStr">
        <is>
          <t>comparisons/NC드릴-4종-비교-D4.md</t>
        </is>
      </c>
      <c r="E93" s="11" t="n">
        <v>209</v>
      </c>
      <c r="F93" s="11" t="inlineStr">
        <is>
          <t>미확인</t>
        </is>
      </c>
      <c r="G93" s="11" t="inlineStr">
        <is>
          <t>2026-07-09</t>
        </is>
      </c>
      <c r="H93" s="11" t="n">
        <v>94</v>
      </c>
      <c r="I93" s="11" t="n"/>
      <c r="J93" s="12" t="inlineStr">
        <is>
          <t>냉각 | 습식 (농도 미확인)</t>
        </is>
      </c>
      <c r="K93" s="10" t="inlineStr"/>
      <c r="L93" s="10" t="inlineStr"/>
      <c r="M93" s="10" t="inlineStr"/>
      <c r="N93" s="10" t="inlineStr"/>
    </row>
    <row r="94">
      <c r="A94" s="7" t="n">
        <v>91</v>
      </c>
      <c r="B94" s="7" t="inlineStr">
        <is>
          <t>B-경과90일+</t>
        </is>
      </c>
      <c r="C94" s="8" t="inlineStr">
        <is>
          <t>비교분석</t>
        </is>
      </c>
      <c r="D94" s="8" t="inlineStr">
        <is>
          <t>comparisons/NC드릴-4종-비교-D4.md</t>
        </is>
      </c>
      <c r="E94" s="8" t="n">
        <v>273</v>
      </c>
      <c r="F94" s="8" t="inlineStr">
        <is>
          <t>미확인</t>
        </is>
      </c>
      <c r="G94" s="8" t="inlineStr">
        <is>
          <t>2026-07-09</t>
        </is>
      </c>
      <c r="H94" s="8" t="n">
        <v>94</v>
      </c>
      <c r="I94" s="8" t="n"/>
      <c r="J94" s="9" t="inlineStr">
        <is>
          <t>TiSiN vs AlTiN 코팅 특성 비교 (신뢰도: 추정값 — 제조사 카탈로그 미확인) [ACA-KURAM2016]:</t>
        </is>
      </c>
      <c r="K94" s="10" t="inlineStr"/>
      <c r="L94" s="10" t="inlineStr"/>
      <c r="M94" s="10" t="inlineStr"/>
      <c r="N94" s="10" t="inlineStr"/>
    </row>
    <row r="95">
      <c r="A95" s="7" t="n">
        <v>92</v>
      </c>
      <c r="B95" s="7" t="inlineStr">
        <is>
          <t>B-경과90일+</t>
        </is>
      </c>
      <c r="C95" s="11" t="inlineStr">
        <is>
          <t>비교분석</t>
        </is>
      </c>
      <c r="D95" s="11" t="inlineStr">
        <is>
          <t>comparisons/NC드릴-4종-비교-D4.md</t>
        </is>
      </c>
      <c r="E95" s="11" t="n">
        <v>294</v>
      </c>
      <c r="F95" s="11" t="inlineStr">
        <is>
          <t>확인 필요</t>
        </is>
      </c>
      <c r="G95" s="11" t="inlineStr">
        <is>
          <t>2026-07-09</t>
        </is>
      </c>
      <c r="H95" s="11" t="n">
        <v>94</v>
      </c>
      <c r="I95" s="11" t="n"/>
      <c r="J95" s="12" t="inlineStr">
        <is>
          <t>위험 구간: Vc &gt; 100 m/min — NC_3 이후 데이터 확인 필요</t>
        </is>
      </c>
      <c r="K95" s="10" t="inlineStr"/>
      <c r="L95" s="10" t="inlineStr"/>
      <c r="M95" s="10" t="inlineStr"/>
      <c r="N95" s="10" t="inlineStr"/>
    </row>
    <row r="96">
      <c r="A96" s="7" t="n">
        <v>93</v>
      </c>
      <c r="B96" s="7" t="inlineStr">
        <is>
          <t>B-경과90일+</t>
        </is>
      </c>
      <c r="C96" s="8" t="inlineStr">
        <is>
          <t>비교분석</t>
        </is>
      </c>
      <c r="D96" s="8" t="inlineStr">
        <is>
          <t>comparisons/T드릴-인덱서블-7종-비교-D20.md</t>
        </is>
      </c>
      <c r="E96" s="8" t="n">
        <v>58</v>
      </c>
      <c r="F96" s="8" t="inlineStr">
        <is>
          <t>확인 필요</t>
        </is>
      </c>
      <c r="G96" s="8" t="inlineStr">
        <is>
          <t>2026-07-09</t>
        </is>
      </c>
      <c r="H96" s="8" t="n">
        <v>94</v>
      </c>
      <c r="I96" s="8" t="n"/>
      <c r="J96" s="9" t="inlineStr">
        <is>
          <t>런아웃(R/O) 수치: S 5D(0.01mm) 양호, W 5D(0.25mm) 불량. 편심값은 기준 단위 불명확 — 내부 기록 확인 필요.</t>
        </is>
      </c>
      <c r="K96" s="10" t="inlineStr"/>
      <c r="L96" s="10" t="inlineStr"/>
      <c r="M96" s="10" t="inlineStr"/>
      <c r="N96" s="10" t="inlineStr"/>
    </row>
    <row r="97">
      <c r="A97" s="7" t="n">
        <v>94</v>
      </c>
      <c r="B97" s="7" t="inlineStr">
        <is>
          <t>B-경과90일+</t>
        </is>
      </c>
      <c r="C97" s="11" t="inlineStr">
        <is>
          <t>비교분석</t>
        </is>
      </c>
      <c r="D97" s="11" t="inlineStr">
        <is>
          <t>comparisons/T드릴-인덱서블-7종-비교-D20.md</t>
        </is>
      </c>
      <c r="E97" s="11" t="n">
        <v>73</v>
      </c>
      <c r="F97" s="11" t="inlineStr">
        <is>
          <t>미확인</t>
        </is>
      </c>
      <c r="G97" s="11" t="inlineStr">
        <is>
          <t>2026-07-09</t>
        </is>
      </c>
      <c r="H97" s="11" t="n">
        <v>94</v>
      </c>
      <c r="I97" s="11" t="n"/>
      <c r="J97" s="12" t="inlineStr">
        <is>
          <t>쿨런트 | 미확인 | —</t>
        </is>
      </c>
      <c r="K97" s="10" t="inlineStr"/>
      <c r="L97" s="10" t="inlineStr"/>
      <c r="M97" s="10" t="inlineStr"/>
      <c r="N97" s="10" t="inlineStr"/>
    </row>
    <row r="98">
      <c r="A98" s="7" t="n">
        <v>95</v>
      </c>
      <c r="B98" s="7" t="inlineStr">
        <is>
          <t>B-경과90일+</t>
        </is>
      </c>
      <c r="C98" s="8" t="inlineStr">
        <is>
          <t>비교분석</t>
        </is>
      </c>
      <c r="D98" s="8" t="inlineStr">
        <is>
          <t>comparisons/T드릴-인덱서블-7종-비교-D20.md</t>
        </is>
      </c>
      <c r="E98" s="8" t="n">
        <v>179</v>
      </c>
      <c r="F98" s="8" t="inlineStr">
        <is>
          <t>확인 필요</t>
        </is>
      </c>
      <c r="G98" s="8" t="inlineStr">
        <is>
          <t>2026-07-09</t>
        </is>
      </c>
      <c r="H98" s="8" t="n">
        <v>94</v>
      </c>
      <c r="I98" s="8" t="n"/>
      <c r="J98" s="9"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98" s="10" t="inlineStr"/>
      <c r="L98" s="10" t="inlineStr"/>
      <c r="M98" s="10" t="inlineStr"/>
      <c r="N98" s="10" t="inlineStr"/>
    </row>
    <row r="99">
      <c r="A99" s="7" t="n">
        <v>96</v>
      </c>
      <c r="B99" s="7" t="inlineStr">
        <is>
          <t>B-경과90일+</t>
        </is>
      </c>
      <c r="C99" s="11" t="inlineStr">
        <is>
          <t>비교분석</t>
        </is>
      </c>
      <c r="D99" s="11" t="inlineStr">
        <is>
          <t>comparisons/드릴-6종-비교-D5.md</t>
        </is>
      </c>
      <c r="E99" s="11" t="n">
        <v>71</v>
      </c>
      <c r="F99" s="11" t="inlineStr">
        <is>
          <t>미확인</t>
        </is>
      </c>
      <c r="G99" s="11" t="inlineStr">
        <is>
          <t>2026-07-09</t>
        </is>
      </c>
      <c r="H99" s="11" t="n">
        <v>94</v>
      </c>
      <c r="I99" s="11" t="n"/>
      <c r="J99" s="12" t="inlineStr">
        <is>
          <t>YG-1 | DPP | — | — | — | — | 미확인</t>
        </is>
      </c>
      <c r="K99" s="10" t="inlineStr"/>
      <c r="L99" s="10" t="inlineStr"/>
      <c r="M99" s="10" t="inlineStr"/>
      <c r="N99" s="10" t="inlineStr"/>
    </row>
    <row r="100">
      <c r="A100" s="7" t="n">
        <v>97</v>
      </c>
      <c r="B100" s="7" t="inlineStr">
        <is>
          <t>B-경과90일+</t>
        </is>
      </c>
      <c r="C100" s="8" t="inlineStr">
        <is>
          <t>비교분석</t>
        </is>
      </c>
      <c r="D100" s="8" t="inlineStr">
        <is>
          <t>comparisons/드릴-6종-비교-D5.md</t>
        </is>
      </c>
      <c r="E100" s="8" t="n">
        <v>72</v>
      </c>
      <c r="F100" s="8" t="inlineStr">
        <is>
          <t>미확인</t>
        </is>
      </c>
      <c r="G100" s="8" t="inlineStr">
        <is>
          <t>2026-07-09</t>
        </is>
      </c>
      <c r="H100" s="8" t="n">
        <v>94</v>
      </c>
      <c r="I100" s="8" t="n"/>
      <c r="J100" s="9" t="inlineStr">
        <is>
          <t>블루텍 | BTT | — | — | — | — | 미확인</t>
        </is>
      </c>
      <c r="K100" s="10" t="inlineStr"/>
      <c r="L100" s="10" t="inlineStr"/>
      <c r="M100" s="10" t="inlineStr"/>
      <c r="N100" s="10" t="inlineStr"/>
    </row>
    <row r="101">
      <c r="A101" s="7" t="n">
        <v>98</v>
      </c>
      <c r="B101" s="7" t="inlineStr">
        <is>
          <t>B-경과90일+</t>
        </is>
      </c>
      <c r="C101" s="11" t="inlineStr">
        <is>
          <t>비교분석</t>
        </is>
      </c>
      <c r="D101" s="11" t="inlineStr">
        <is>
          <t>comparisons/드릴-6종-비교-D5.md</t>
        </is>
      </c>
      <c r="E101" s="11" t="n">
        <v>180</v>
      </c>
      <c r="F101" s="11" t="inlineStr">
        <is>
          <t>확인 필요</t>
        </is>
      </c>
      <c r="G101" s="11" t="inlineStr">
        <is>
          <t>2026-07-09</t>
        </is>
      </c>
      <c r="H101" s="11" t="n">
        <v>94</v>
      </c>
      <c r="I101" s="11" t="n"/>
      <c r="J101" s="12"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01" s="10" t="inlineStr"/>
      <c r="L101" s="10" t="inlineStr"/>
      <c r="M101" s="10" t="inlineStr"/>
      <c r="N101" s="10" t="inlineStr"/>
    </row>
    <row r="102">
      <c r="A102" s="7" t="n">
        <v>99</v>
      </c>
      <c r="B102" s="7" t="inlineStr">
        <is>
          <t>B-경과90일+</t>
        </is>
      </c>
      <c r="C102" s="8" t="inlineStr">
        <is>
          <t>비교분석</t>
        </is>
      </c>
      <c r="D102" s="8" t="inlineStr">
        <is>
          <t>comparisons/드릴-6종-비교-D5.md</t>
        </is>
      </c>
      <c r="E102" s="8" t="n">
        <v>201</v>
      </c>
      <c r="F102" s="8" t="inlineStr">
        <is>
          <t>미확인</t>
        </is>
      </c>
      <c r="G102" s="8" t="inlineStr">
        <is>
          <t>2026-07-09</t>
        </is>
      </c>
      <c r="H102" s="8" t="n">
        <v>94</v>
      </c>
      <c r="I102" s="8" t="n"/>
      <c r="J102" s="9" t="inlineStr">
        <is>
          <t>[ ] YG-1·블루텍 카탈로그 권장 조건 확인 (현재 미확인)</t>
        </is>
      </c>
      <c r="K102" s="10" t="inlineStr"/>
      <c r="L102" s="10" t="inlineStr"/>
      <c r="M102" s="10" t="inlineStr"/>
      <c r="N102" s="10" t="inlineStr"/>
    </row>
    <row r="103">
      <c r="A103" s="7" t="n">
        <v>100</v>
      </c>
      <c r="B103" s="7" t="inlineStr">
        <is>
          <t>B-경과90일+</t>
        </is>
      </c>
      <c r="C103" s="11" t="inlineStr">
        <is>
          <t>비교분석</t>
        </is>
      </c>
      <c r="D103" s="11" t="inlineStr">
        <is>
          <t>comparisons/아큐센터-비교.md</t>
        </is>
      </c>
      <c r="E103" s="11" t="n">
        <v>21</v>
      </c>
      <c r="F103" s="11" t="inlineStr">
        <is>
          <t>미확인</t>
        </is>
      </c>
      <c r="G103" s="11" t="inlineStr">
        <is>
          <t>2026-07-09</t>
        </is>
      </c>
      <c r="H103" s="11" t="n">
        <v>94</v>
      </c>
      <c r="I103" s="11" t="n"/>
      <c r="J103" s="12" t="inlineStr">
        <is>
          <t>신뢰도: 추정값 (원본 문서 0.보고서_아큐센터 성능 테스트.hwp가 표·이미지 위주라 hwp5txt로 텍스트 추출 안 됨 — 정성/정량 결론 미확인)</t>
        </is>
      </c>
      <c r="K103" s="10" t="inlineStr"/>
      <c r="L103" s="10" t="inlineStr"/>
      <c r="M103" s="10" t="inlineStr"/>
      <c r="N103" s="10" t="inlineStr"/>
    </row>
    <row r="104">
      <c r="A104" s="7" t="n">
        <v>101</v>
      </c>
      <c r="B104" s="7" t="inlineStr">
        <is>
          <t>B-경과90일+</t>
        </is>
      </c>
      <c r="C104" s="8" t="inlineStr">
        <is>
          <t>비교분석</t>
        </is>
      </c>
      <c r="D104" s="8" t="inlineStr">
        <is>
          <t>comparisons/아큐센터-비교.md</t>
        </is>
      </c>
      <c r="E104" s="8" t="n">
        <v>34</v>
      </c>
      <c r="F104" s="8" t="inlineStr">
        <is>
          <t>미확정</t>
        </is>
      </c>
      <c r="G104" s="8" t="inlineStr">
        <is>
          <t>2026-07-09</t>
        </is>
      </c>
      <c r="H104" s="8" t="n">
        <v>94</v>
      </c>
      <c r="I104" s="8" t="n"/>
      <c r="J104" s="9" t="inlineStr">
        <is>
          <t>영상 추가 | S사·Y사 추정 | 3.S사_1~2.mp4, 4.Y사_1~2.mp4 (파일명 번호 기준 추정, 국내 S/Y사와 매칭 미확정)</t>
        </is>
      </c>
      <c r="K104" s="10" t="inlineStr"/>
      <c r="L104" s="10" t="inlineStr"/>
      <c r="M104" s="10" t="inlineStr"/>
      <c r="N104" s="10" t="inlineStr"/>
    </row>
    <row r="105">
      <c r="A105" s="7" t="n">
        <v>102</v>
      </c>
      <c r="B105" s="7" t="inlineStr">
        <is>
          <t>B-경과90일+</t>
        </is>
      </c>
      <c r="C105" s="11" t="inlineStr">
        <is>
          <t>비교분석</t>
        </is>
      </c>
      <c r="D105" s="11" t="inlineStr">
        <is>
          <t>comparisons/아큐센터-비교.md</t>
        </is>
      </c>
      <c r="E105" s="11" t="n">
        <v>36</v>
      </c>
      <c r="F105" s="11" t="inlineStr">
        <is>
          <t>확인 필요</t>
        </is>
      </c>
      <c r="G105" s="11" t="inlineStr">
        <is>
          <t>2026-07-09</t>
        </is>
      </c>
      <c r="H105" s="11" t="n">
        <v>94</v>
      </c>
      <c r="I105" s="11" t="n"/>
      <c r="J105" s="12" t="inlineStr">
        <is>
          <t>"미사용" 사진이 K사·W사에만 있어, 해외 제품은 신품 상태 사진을 별도로 남긴 것으로 추정(확인 필요).</t>
        </is>
      </c>
      <c r="K105" s="10" t="inlineStr"/>
      <c r="L105" s="10" t="inlineStr"/>
      <c r="M105" s="10" t="inlineStr"/>
      <c r="N105" s="10" t="inlineStr"/>
    </row>
    <row r="106">
      <c r="A106" s="7" t="n">
        <v>103</v>
      </c>
      <c r="B106" s="7" t="inlineStr">
        <is>
          <t>B-경과90일+</t>
        </is>
      </c>
      <c r="C106" s="8" t="inlineStr">
        <is>
          <t>비교분석</t>
        </is>
      </c>
      <c r="D106" s="8" t="inlineStr">
        <is>
          <t>comparisons/아큐센터-비교.md</t>
        </is>
      </c>
      <c r="E106" s="8" t="n">
        <v>73</v>
      </c>
      <c r="F106" s="8" t="inlineStr">
        <is>
          <t>미확인</t>
        </is>
      </c>
      <c r="G106" s="8" t="inlineStr">
        <is>
          <t>2026-07-09</t>
        </is>
      </c>
      <c r="H106" s="8" t="n">
        <v>94</v>
      </c>
      <c r="I106" s="8" t="n"/>
      <c r="J106" s="9" t="inlineStr">
        <is>
          <t>기계에어공구.pdf | 카탈로그 발췌 (추정) | 미확인</t>
        </is>
      </c>
      <c r="K106" s="10" t="inlineStr"/>
      <c r="L106" s="10" t="inlineStr"/>
      <c r="M106" s="10" t="inlineStr"/>
      <c r="N106" s="10" t="inlineStr"/>
    </row>
    <row r="107">
      <c r="A107" s="7" t="n">
        <v>104</v>
      </c>
      <c r="B107" s="7" t="inlineStr">
        <is>
          <t>B-경과90일+</t>
        </is>
      </c>
      <c r="C107" s="11" t="inlineStr">
        <is>
          <t>트러블슈팅</t>
        </is>
      </c>
      <c r="D107" s="11" t="inlineStr">
        <is>
          <t>troubleshoot/측면가공-파손-ae과다.md</t>
        </is>
      </c>
      <c r="E107" s="11" t="n">
        <v>138</v>
      </c>
      <c r="F107" s="11" t="inlineStr">
        <is>
          <t>미확인</t>
        </is>
      </c>
      <c r="G107" s="11" t="inlineStr">
        <is>
          <t>2026-07-09</t>
        </is>
      </c>
      <c r="H107" s="11" t="n">
        <v>94</v>
      </c>
      <c r="I107" s="11" t="n"/>
      <c r="J107" s="12" t="inlineStr">
        <is>
          <t>쿨런트 | 농도·압력 미확인 — 냉각 부족 가능성 | 농도 기록 후 재평가 필요</t>
        </is>
      </c>
      <c r="K107" s="10" t="inlineStr"/>
      <c r="L107" s="10" t="inlineStr"/>
      <c r="M107" s="10" t="inlineStr"/>
      <c r="N107" s="10" t="inlineStr"/>
    </row>
    <row r="108">
      <c r="A108" s="7" t="n">
        <v>105</v>
      </c>
      <c r="B108" s="7" t="inlineStr">
        <is>
          <t>B-경과90일+</t>
        </is>
      </c>
      <c r="C108" s="8" t="inlineStr">
        <is>
          <t>공구·휠</t>
        </is>
      </c>
      <c r="D108" s="8" t="inlineStr">
        <is>
          <t>tools/cogo-카탈로그.md</t>
        </is>
      </c>
      <c r="E108" s="8" t="n">
        <v>119</v>
      </c>
      <c r="F108" s="8" t="inlineStr">
        <is>
          <t>확인 필요</t>
        </is>
      </c>
      <c r="G108" s="8" t="inlineStr">
        <is>
          <t>2026-07-10</t>
        </is>
      </c>
      <c r="H108" s="8" t="n">
        <v>93</v>
      </c>
      <c r="I108" s="8" t="n"/>
      <c r="J108" s="9" t="inlineStr">
        <is>
          <t>§2 페이지 인덱스에 아직 없는 시리즈(ALUMINUM, GENERAL, G-SERIES, G-TAC, COMPOSITE, GRAPHITE, COPPER, DENTAL, THREAD)는 페이지 범위 미확인 — 확인 필요.</t>
        </is>
      </c>
      <c r="K108" s="10" t="inlineStr"/>
      <c r="L108" s="10" t="inlineStr"/>
      <c r="M108" s="10" t="inlineStr"/>
      <c r="N108" s="10" t="inlineStr"/>
    </row>
    <row r="109">
      <c r="A109" s="7" t="n">
        <v>106</v>
      </c>
      <c r="B109" s="7" t="inlineStr">
        <is>
          <t>B-경과90일+</t>
        </is>
      </c>
      <c r="C109" s="11" t="inlineStr">
        <is>
          <t>공구·휠</t>
        </is>
      </c>
      <c r="D109" s="11" t="inlineStr">
        <is>
          <t>tools/cogo-카탈로그.md</t>
        </is>
      </c>
      <c r="E109" s="11" t="n">
        <v>150</v>
      </c>
      <c r="F109" s="11" t="inlineStr">
        <is>
          <t>확인 필요</t>
        </is>
      </c>
      <c r="G109" s="11" t="inlineStr">
        <is>
          <t>2026-07-10</t>
        </is>
      </c>
      <c r="H109" s="11" t="n">
        <v>93</v>
      </c>
      <c r="I109" s="11" t="n"/>
      <c r="J109" s="12"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09" s="10" t="inlineStr"/>
      <c r="L109" s="10" t="inlineStr"/>
      <c r="M109" s="10" t="inlineStr"/>
      <c r="N109" s="10" t="inlineStr"/>
    </row>
    <row r="110">
      <c r="A110" s="13" t="n">
        <v>107</v>
      </c>
      <c r="B110" s="13" t="inlineStr">
        <is>
          <t>C-일반</t>
        </is>
      </c>
      <c r="C110" s="8" t="inlineStr">
        <is>
          <t>비교분석</t>
        </is>
      </c>
      <c r="D110" s="8" t="inlineStr">
        <is>
          <t>comparisons/AL엔드밀-JJ제품-종합비교.md</t>
        </is>
      </c>
      <c r="E110" s="8" t="n">
        <v>94</v>
      </c>
      <c r="F110" s="8" t="inlineStr">
        <is>
          <t>확인 필요</t>
        </is>
      </c>
      <c r="G110" s="8" t="inlineStr">
        <is>
          <t>2026-07-13</t>
        </is>
      </c>
      <c r="H110" s="8" t="n">
        <v>90</v>
      </c>
      <c r="I110" s="8" t="n"/>
      <c r="J110" s="9" t="inlineStr">
        <is>
          <t>호닝 사양(R값, 처리 업체) 확인 필요 (comparisons/AL엔드밀-호닝-비교 §3)</t>
        </is>
      </c>
      <c r="K110" s="10" t="inlineStr"/>
      <c r="L110" s="10" t="inlineStr"/>
      <c r="M110" s="10" t="inlineStr"/>
      <c r="N110" s="10" t="inlineStr"/>
    </row>
    <row r="111">
      <c r="A111" s="14" t="n">
        <v>108</v>
      </c>
      <c r="B111" s="14" t="inlineStr">
        <is>
          <t>C-일반</t>
        </is>
      </c>
      <c r="C111" s="11" t="inlineStr">
        <is>
          <t>비교분석</t>
        </is>
      </c>
      <c r="D111" s="11" t="inlineStr">
        <is>
          <t>comparisons/AL엔드밀-JJ제품-종합비교.md</t>
        </is>
      </c>
      <c r="E111" s="11" t="n">
        <v>95</v>
      </c>
      <c r="F111" s="11" t="inlineStr">
        <is>
          <t>확인 필요</t>
        </is>
      </c>
      <c r="G111" s="11" t="inlineStr">
        <is>
          <t>2026-07-13</t>
        </is>
      </c>
      <c r="H111" s="11" t="n">
        <v>90</v>
      </c>
      <c r="I111" s="11" t="n"/>
      <c r="J111" s="12" t="inlineStr">
        <is>
          <t>사진 라벨(ALE·ALEC 구분) 확인 필요 (comparisons/AL엔드밀-호닝-비교 §5-A 하단 참조)</t>
        </is>
      </c>
      <c r="K111" s="10" t="inlineStr"/>
      <c r="L111" s="10" t="inlineStr"/>
      <c r="M111" s="10" t="inlineStr"/>
      <c r="N111" s="10" t="inlineStr"/>
    </row>
    <row r="112">
      <c r="A112" s="13" t="n">
        <v>109</v>
      </c>
      <c r="B112" s="13" t="inlineStr">
        <is>
          <t>C-일반</t>
        </is>
      </c>
      <c r="C112" s="8" t="inlineStr">
        <is>
          <t>프로젝트</t>
        </is>
      </c>
      <c r="D112" s="8" t="inlineStr">
        <is>
          <t>projects/ANCA-현장방문-질문리스트.md</t>
        </is>
      </c>
      <c r="E112" s="8" t="n">
        <v>75</v>
      </c>
      <c r="F112" s="8" t="inlineStr">
        <is>
          <t>확인 필요</t>
        </is>
      </c>
      <c r="G112" s="8" t="inlineStr">
        <is>
          <t>2026-07-13</t>
        </is>
      </c>
      <c r="H112" s="8" t="n">
        <v>90</v>
      </c>
      <c r="I112" s="8" t="n"/>
      <c r="J112" s="9"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12" s="10" t="inlineStr"/>
      <c r="L112" s="10" t="inlineStr"/>
      <c r="M112" s="10" t="inlineStr"/>
      <c r="N112" s="10" t="inlineStr"/>
    </row>
    <row r="113">
      <c r="A113" s="14" t="n">
        <v>110</v>
      </c>
      <c r="B113" s="14" t="inlineStr">
        <is>
          <t>C-일반</t>
        </is>
      </c>
      <c r="C113" s="11" t="inlineStr">
        <is>
          <t>설비</t>
        </is>
      </c>
      <c r="D113" s="11" t="inlineStr">
        <is>
          <t>machines/ewag-tool-grinder.md</t>
        </is>
      </c>
      <c r="E113" s="11" t="n">
        <v>45</v>
      </c>
      <c r="F113" s="11" t="inlineStr">
        <is>
          <t>확인 필요</t>
        </is>
      </c>
      <c r="G113" s="11" t="inlineStr">
        <is>
          <t>2026-07-14</t>
        </is>
      </c>
      <c r="H113" s="11" t="n">
        <v>89</v>
      </c>
      <c r="I113" s="11" t="n"/>
      <c r="J113" s="12" t="inlineStr">
        <is>
          <t>년대 — 수동 연삭기 WS11이 시계산업에서 "전설적" 지위를 획득 (정밀도·혁신의 대명사로 평가받음). KG1이 보유한 1979년산 수동기와 시기적으로 겹치나, 정확한 모델 일치 여부는 확인 필요.</t>
        </is>
      </c>
      <c r="K113" s="10" t="inlineStr"/>
      <c r="L113" s="10" t="inlineStr"/>
      <c r="M113" s="10" t="inlineStr"/>
      <c r="N113" s="10" t="inlineStr"/>
    </row>
    <row r="114">
      <c r="A114" s="13" t="n">
        <v>111</v>
      </c>
      <c r="B114" s="13" t="inlineStr">
        <is>
          <t>C-일반</t>
        </is>
      </c>
      <c r="C114" s="8" t="inlineStr">
        <is>
          <t>설비</t>
        </is>
      </c>
      <c r="D114" s="8" t="inlineStr">
        <is>
          <t>machines/ewag-tool-grinder.md</t>
        </is>
      </c>
      <c r="E114" s="8" t="n">
        <v>88</v>
      </c>
      <c r="F114" s="8" t="inlineStr">
        <is>
          <t>확인 필요</t>
        </is>
      </c>
      <c r="G114" s="8" t="inlineStr">
        <is>
          <t>2026-07-14</t>
        </is>
      </c>
      <c r="H114" s="8" t="n">
        <v>89</v>
      </c>
      <c r="I114" s="8" t="n"/>
      <c r="J114" s="9"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14" s="10" t="inlineStr"/>
      <c r="L114" s="10" t="inlineStr"/>
      <c r="M114" s="10" t="inlineStr"/>
      <c r="N114" s="10" t="inlineStr"/>
    </row>
    <row r="115">
      <c r="A115" s="14" t="n">
        <v>112</v>
      </c>
      <c r="B115" s="14" t="inlineStr">
        <is>
          <t>C-일반</t>
        </is>
      </c>
      <c r="C115" s="11" t="inlineStr">
        <is>
          <t>설비</t>
        </is>
      </c>
      <c r="D115" s="11" t="inlineStr">
        <is>
          <t>machines/ewag-tool-grinder.md</t>
        </is>
      </c>
      <c r="E115" s="11" t="n">
        <v>90</v>
      </c>
      <c r="F115" s="11" t="inlineStr">
        <is>
          <t>확인 필요</t>
        </is>
      </c>
      <c r="G115" s="11" t="inlineStr">
        <is>
          <t>2026-07-14</t>
        </is>
      </c>
      <c r="H115" s="11" t="n">
        <v>89</v>
      </c>
      <c r="I115" s="11" t="n"/>
      <c r="J115" s="12"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15" s="10" t="inlineStr"/>
      <c r="L115" s="10" t="inlineStr"/>
      <c r="M115" s="10" t="inlineStr"/>
      <c r="N115" s="10" t="inlineStr"/>
    </row>
    <row r="116">
      <c r="A116" s="13" t="n">
        <v>113</v>
      </c>
      <c r="B116" s="13" t="inlineStr">
        <is>
          <t>C-일반</t>
        </is>
      </c>
      <c r="C116" s="8" t="inlineStr">
        <is>
          <t>설비</t>
        </is>
      </c>
      <c r="D116" s="8" t="inlineStr">
        <is>
          <t>machines/ewag-tool-grinder.md</t>
        </is>
      </c>
      <c r="E116" s="8" t="n">
        <v>96</v>
      </c>
      <c r="F116" s="8" t="inlineStr">
        <is>
          <t>확인 필요</t>
        </is>
      </c>
      <c r="G116" s="8" t="inlineStr">
        <is>
          <t>2026-07-14</t>
        </is>
      </c>
      <c r="H116" s="8" t="n">
        <v>89</v>
      </c>
      <c r="I116" s="8" t="n"/>
      <c r="J116" s="9"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16" s="10" t="inlineStr"/>
      <c r="L116" s="10" t="inlineStr"/>
      <c r="M116" s="10" t="inlineStr"/>
      <c r="N116" s="10" t="inlineStr"/>
    </row>
    <row r="117">
      <c r="A117" s="14" t="n">
        <v>114</v>
      </c>
      <c r="B117" s="14" t="inlineStr">
        <is>
          <t>C-일반</t>
        </is>
      </c>
      <c r="C117" s="11" t="inlineStr">
        <is>
          <t>설비</t>
        </is>
      </c>
      <c r="D117" s="11" t="inlineStr">
        <is>
          <t>machines/ewag-tool-grinder.md</t>
        </is>
      </c>
      <c r="E117" s="11" t="n">
        <v>130</v>
      </c>
      <c r="F117" s="11" t="inlineStr">
        <is>
          <t>미확인</t>
        </is>
      </c>
      <c r="G117" s="11" t="inlineStr">
        <is>
          <t>2026-07-14</t>
        </is>
      </c>
      <c r="H117" s="11" t="n">
        <v>89</v>
      </c>
      <c r="I117" s="11" t="n"/>
      <c r="J117" s="12"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17" s="10" t="inlineStr"/>
      <c r="L117" s="10" t="inlineStr"/>
      <c r="M117" s="10" t="inlineStr"/>
      <c r="N117" s="10" t="inlineStr"/>
    </row>
    <row r="118">
      <c r="A118" s="13" t="n">
        <v>115</v>
      </c>
      <c r="B118" s="13" t="inlineStr">
        <is>
          <t>C-일반</t>
        </is>
      </c>
      <c r="C118" s="8" t="inlineStr">
        <is>
          <t>설비</t>
        </is>
      </c>
      <c r="D118" s="8" t="inlineStr">
        <is>
          <t>machines/ewag-tool-grinder.md</t>
        </is>
      </c>
      <c r="E118" s="8" t="n">
        <v>131</v>
      </c>
      <c r="F118" s="8" t="inlineStr">
        <is>
          <t>미확인</t>
        </is>
      </c>
      <c r="G118" s="8" t="inlineStr">
        <is>
          <t>2026-07-14</t>
        </is>
      </c>
      <c r="H118" s="8" t="n">
        <v>89</v>
      </c>
      <c r="I118" s="8" t="n"/>
      <c r="J118" s="9"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18" s="10" t="inlineStr"/>
      <c r="L118" s="10" t="inlineStr"/>
      <c r="M118" s="10" t="inlineStr"/>
      <c r="N118" s="10" t="inlineStr"/>
    </row>
    <row r="119">
      <c r="A119" s="14" t="n">
        <v>116</v>
      </c>
      <c r="B119" s="14" t="inlineStr">
        <is>
          <t>C-일반</t>
        </is>
      </c>
      <c r="C119" s="11" t="inlineStr">
        <is>
          <t>프로젝트</t>
        </is>
      </c>
      <c r="D119" s="11" t="inlineStr">
        <is>
          <t>projects/ANCA-현장방문-KG1-방문기록.md</t>
        </is>
      </c>
      <c r="E119" s="11" t="n">
        <v>39</v>
      </c>
      <c r="F119" s="11" t="inlineStr">
        <is>
          <t>확인 필요</t>
        </is>
      </c>
      <c r="G119" s="11" t="inlineStr">
        <is>
          <t>2026-07-14</t>
        </is>
      </c>
      <c r="H119" s="11" t="n">
        <v>89</v>
      </c>
      <c r="I119" s="11" t="n"/>
      <c r="J119" s="12"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19" s="10" t="inlineStr"/>
      <c r="L119" s="10" t="inlineStr"/>
      <c r="M119" s="10" t="inlineStr"/>
      <c r="N119" s="10" t="inlineStr"/>
    </row>
    <row r="120">
      <c r="A120" s="13" t="n">
        <v>117</v>
      </c>
      <c r="B120" s="13" t="inlineStr">
        <is>
          <t>C-일반</t>
        </is>
      </c>
      <c r="C120" s="8" t="inlineStr">
        <is>
          <t>프로젝트</t>
        </is>
      </c>
      <c r="D120" s="8" t="inlineStr">
        <is>
          <t>projects/ANCA-현장방문-KG1-방문기록.md</t>
        </is>
      </c>
      <c r="E120" s="8" t="n">
        <v>40</v>
      </c>
      <c r="F120" s="8" t="inlineStr">
        <is>
          <t>확인 필요</t>
        </is>
      </c>
      <c r="G120" s="8" t="inlineStr">
        <is>
          <t>2026-07-14</t>
        </is>
      </c>
      <c r="H120" s="8" t="n">
        <v>89</v>
      </c>
      <c r="I120" s="8" t="n"/>
      <c r="J120" s="9"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20" s="10" t="inlineStr"/>
      <c r="L120" s="10" t="inlineStr"/>
      <c r="M120" s="10" t="inlineStr"/>
      <c r="N120" s="10" t="inlineStr"/>
    </row>
    <row r="121">
      <c r="A121" s="14" t="n">
        <v>118</v>
      </c>
      <c r="B121" s="14" t="inlineStr">
        <is>
          <t>C-일반</t>
        </is>
      </c>
      <c r="C121" s="11" t="inlineStr">
        <is>
          <t>프로젝트</t>
        </is>
      </c>
      <c r="D121" s="11" t="inlineStr">
        <is>
          <t>projects/ANCA-현장방문-KG1-방문기록.md</t>
        </is>
      </c>
      <c r="E121" s="11" t="n">
        <v>60</v>
      </c>
      <c r="F121" s="11" t="inlineStr">
        <is>
          <t>미확인</t>
        </is>
      </c>
      <c r="G121" s="11" t="inlineStr">
        <is>
          <t>2026-07-14</t>
        </is>
      </c>
      <c r="H121" s="11" t="n">
        <v>89</v>
      </c>
      <c r="I121" s="11" t="n"/>
      <c r="J121" s="12" t="inlineStr">
        <is>
          <t>에바그(EWAG) | 2대 | 정확한 모델명·연식은 미확인(§2.3 참조 — 1979년산은 KG1 소유 이력 아님)</t>
        </is>
      </c>
      <c r="K121" s="10" t="inlineStr"/>
      <c r="L121" s="10" t="inlineStr"/>
      <c r="M121" s="10" t="inlineStr"/>
      <c r="N121" s="10" t="inlineStr"/>
    </row>
    <row r="122">
      <c r="A122" s="13" t="n">
        <v>119</v>
      </c>
      <c r="B122" s="13" t="inlineStr">
        <is>
          <t>C-일반</t>
        </is>
      </c>
      <c r="C122" s="8" t="inlineStr">
        <is>
          <t>프로젝트</t>
        </is>
      </c>
      <c r="D122" s="8" t="inlineStr">
        <is>
          <t>projects/ANCA-현장방문-KG1-방문기록.md</t>
        </is>
      </c>
      <c r="E122" s="8" t="n">
        <v>71</v>
      </c>
      <c r="F122" s="8" t="inlineStr">
        <is>
          <t>확인 필요</t>
        </is>
      </c>
      <c r="G122" s="8" t="inlineStr">
        <is>
          <t>2026-07-14</t>
        </is>
      </c>
      <c r="H122" s="8" t="n">
        <v>89</v>
      </c>
      <c r="I122" s="8" t="n"/>
      <c r="J122" s="9"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22" s="10" t="inlineStr"/>
      <c r="L122" s="10" t="inlineStr"/>
      <c r="M122" s="10" t="inlineStr"/>
      <c r="N122" s="10" t="inlineStr"/>
    </row>
    <row r="123">
      <c r="A123" s="14" t="n">
        <v>120</v>
      </c>
      <c r="B123" s="14" t="inlineStr">
        <is>
          <t>C-일반</t>
        </is>
      </c>
      <c r="C123" s="11" t="inlineStr">
        <is>
          <t>프로젝트</t>
        </is>
      </c>
      <c r="D123" s="11" t="inlineStr">
        <is>
          <t>projects/ANCA-현장방문-KG1-방문기록.md</t>
        </is>
      </c>
      <c r="E123" s="11" t="n">
        <v>75</v>
      </c>
      <c r="F123" s="11" t="inlineStr">
        <is>
          <t>확인 필요</t>
        </is>
      </c>
      <c r="G123" s="11" t="inlineStr">
        <is>
          <t>2026-07-14</t>
        </is>
      </c>
      <c r="H123" s="11" t="n">
        <v>89</v>
      </c>
      <c r="I123" s="11" t="n"/>
      <c r="J123" s="12"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23" s="10" t="inlineStr"/>
      <c r="L123" s="10" t="inlineStr"/>
      <c r="M123" s="10" t="inlineStr"/>
      <c r="N123" s="10" t="inlineStr"/>
    </row>
    <row r="124">
      <c r="A124" s="13" t="n">
        <v>121</v>
      </c>
      <c r="B124" s="13" t="inlineStr">
        <is>
          <t>C-일반</t>
        </is>
      </c>
      <c r="C124" s="8" t="inlineStr">
        <is>
          <t>프로젝트</t>
        </is>
      </c>
      <c r="D124" s="8" t="inlineStr">
        <is>
          <t>projects/ANCA-현장방문-KG1-방문기록.md</t>
        </is>
      </c>
      <c r="E124" s="8" t="n">
        <v>80</v>
      </c>
      <c r="F124" s="8" t="inlineStr">
        <is>
          <t>확인 필요</t>
        </is>
      </c>
      <c r="G124" s="8" t="inlineStr">
        <is>
          <t>2026-07-14</t>
        </is>
      </c>
      <c r="H124" s="8" t="n">
        <v>89</v>
      </c>
      <c r="I124" s="8" t="n"/>
      <c r="J124" s="9"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24" s="10" t="inlineStr"/>
      <c r="L124" s="10" t="inlineStr"/>
      <c r="M124" s="10" t="inlineStr"/>
      <c r="N124" s="10" t="inlineStr"/>
    </row>
    <row r="125">
      <c r="A125" s="14" t="n">
        <v>122</v>
      </c>
      <c r="B125" s="14" t="inlineStr">
        <is>
          <t>C-일반</t>
        </is>
      </c>
      <c r="C125" s="11" t="inlineStr">
        <is>
          <t>프로젝트</t>
        </is>
      </c>
      <c r="D125" s="11" t="inlineStr">
        <is>
          <t>projects/ANCA-현장방문-KG1-방문기록.md</t>
        </is>
      </c>
      <c r="E125" s="11" t="n">
        <v>101</v>
      </c>
      <c r="F125" s="11" t="inlineStr">
        <is>
          <t>확인 필요</t>
        </is>
      </c>
      <c r="G125" s="11" t="inlineStr">
        <is>
          <t>2026-07-14</t>
        </is>
      </c>
      <c r="H125" s="11" t="n">
        <v>89</v>
      </c>
      <c r="I125" s="11" t="n"/>
      <c r="J125" s="12"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25" s="10" t="inlineStr"/>
      <c r="L125" s="10" t="inlineStr"/>
      <c r="M125" s="10" t="inlineStr"/>
      <c r="N125" s="10" t="inlineStr"/>
    </row>
    <row r="126">
      <c r="A126" s="13" t="n">
        <v>123</v>
      </c>
      <c r="B126" s="13" t="inlineStr">
        <is>
          <t>C-일반</t>
        </is>
      </c>
      <c r="C126" s="8" t="inlineStr">
        <is>
          <t>프로젝트</t>
        </is>
      </c>
      <c r="D126" s="8" t="inlineStr">
        <is>
          <t>projects/ANCA-현장방문-KG1-방문기록.md</t>
        </is>
      </c>
      <c r="E126" s="8" t="n">
        <v>118</v>
      </c>
      <c r="F126" s="8" t="inlineStr">
        <is>
          <t>확인 필요</t>
        </is>
      </c>
      <c r="G126" s="8" t="inlineStr">
        <is>
          <t>2026-07-14</t>
        </is>
      </c>
      <c r="H126" s="8" t="n">
        <v>89</v>
      </c>
      <c r="I126" s="8" t="n"/>
      <c r="J126" s="9" t="inlineStr">
        <is>
          <t>확인 필요 / 후속 조치</t>
        </is>
      </c>
      <c r="K126" s="10" t="inlineStr"/>
      <c r="L126" s="10" t="inlineStr"/>
      <c r="M126" s="10" t="inlineStr"/>
      <c r="N126" s="10" t="inlineStr"/>
    </row>
    <row r="127">
      <c r="A127" s="14" t="n">
        <v>124</v>
      </c>
      <c r="B127" s="14" t="inlineStr">
        <is>
          <t>C-일반</t>
        </is>
      </c>
      <c r="C127" s="11" t="inlineStr">
        <is>
          <t>프로젝트</t>
        </is>
      </c>
      <c r="D127" s="11" t="inlineStr">
        <is>
          <t>projects/ANCA-현장방문-KG1-방문기록.md</t>
        </is>
      </c>
      <c r="E127" s="11" t="n">
        <v>126</v>
      </c>
      <c r="F127" s="11" t="inlineStr">
        <is>
          <t>확인 필요</t>
        </is>
      </c>
      <c r="G127" s="11" t="inlineStr">
        <is>
          <t>2026-07-14</t>
        </is>
      </c>
      <c r="H127" s="11" t="n">
        <v>89</v>
      </c>
      <c r="I127" s="11" t="n"/>
      <c r="J127" s="12" t="inlineStr">
        <is>
          <t>신규 확인 필요 (백승하 차장 보고서로 새로 제기됨)</t>
        </is>
      </c>
      <c r="K127" s="10" t="inlineStr"/>
      <c r="L127" s="10" t="inlineStr"/>
      <c r="M127" s="10" t="inlineStr"/>
      <c r="N127" s="10" t="inlineStr"/>
    </row>
    <row r="128">
      <c r="A128" s="13" t="n">
        <v>125</v>
      </c>
      <c r="B128" s="13" t="inlineStr">
        <is>
          <t>C-일반</t>
        </is>
      </c>
      <c r="C128" s="8" t="inlineStr">
        <is>
          <t>프로젝트</t>
        </is>
      </c>
      <c r="D128" s="8" t="inlineStr">
        <is>
          <t>projects/ANCA-현장방문-KG1-방문기록.md</t>
        </is>
      </c>
      <c r="E128" s="8" t="n">
        <v>128</v>
      </c>
      <c r="F128" s="8" t="inlineStr">
        <is>
          <t>확인 필요</t>
        </is>
      </c>
      <c r="G128" s="8" t="inlineStr">
        <is>
          <t>2026-07-14</t>
        </is>
      </c>
      <c r="H128" s="8" t="n">
        <v>89</v>
      </c>
      <c r="I128" s="8" t="n"/>
      <c r="J128" s="9" t="inlineStr">
        <is>
          <t>ANCA코리아 대리점(박기영 대표) 계약 종료가 KG1 장비 A/S 및 당사의 향후 ANCA 신규 구매 채널에 영향을 주는지 — 당사 자체적으로도 확인 필요(§3.4).</t>
        </is>
      </c>
      <c r="K128" s="10" t="inlineStr"/>
      <c r="L128" s="10" t="inlineStr"/>
      <c r="M128" s="10" t="inlineStr"/>
      <c r="N128" s="10" t="inlineStr"/>
    </row>
    <row r="129">
      <c r="A129" s="14" t="n">
        <v>126</v>
      </c>
      <c r="B129" s="14" t="inlineStr">
        <is>
          <t>C-일반</t>
        </is>
      </c>
      <c r="C129" s="11" t="inlineStr">
        <is>
          <t>프로젝트</t>
        </is>
      </c>
      <c r="D129" s="11" t="inlineStr">
        <is>
          <t>projects/ANCA-현장방문-KG1-방문기록.md</t>
        </is>
      </c>
      <c r="E129" s="11" t="n">
        <v>129</v>
      </c>
      <c r="F129" s="11" t="inlineStr">
        <is>
          <t>확인 필요</t>
        </is>
      </c>
      <c r="G129" s="11" t="inlineStr">
        <is>
          <t>2026-07-14</t>
        </is>
      </c>
      <c r="H129" s="11" t="n">
        <v>89</v>
      </c>
      <c r="I129" s="11" t="n"/>
      <c r="J129" s="12" t="inlineStr">
        <is>
          <t>KG1 창업(법인 2010년 3월)과 "자동차 브레이크 스페셜툴 20년째"라는 진술 사이의 시간차 — 법인 설립 전 개인/타사 경력 포함 여부 확인 필요.</t>
        </is>
      </c>
      <c r="K129" s="10" t="inlineStr"/>
      <c r="L129" s="10" t="inlineStr"/>
      <c r="M129" s="10" t="inlineStr"/>
      <c r="N129" s="10" t="inlineStr"/>
    </row>
    <row r="130">
      <c r="A130" s="13" t="n">
        <v>127</v>
      </c>
      <c r="B130" s="13" t="inlineStr">
        <is>
          <t>C-일반</t>
        </is>
      </c>
      <c r="C130" s="8" t="inlineStr">
        <is>
          <t>프로젝트</t>
        </is>
      </c>
      <c r="D130" s="8" t="inlineStr">
        <is>
          <t>projects/ANCA-현장방문-KG1-방문기록.md</t>
        </is>
      </c>
      <c r="E130" s="8" t="n">
        <v>130</v>
      </c>
      <c r="F130" s="8" t="inlineStr">
        <is>
          <t>확인 필요</t>
        </is>
      </c>
      <c r="G130" s="8" t="inlineStr">
        <is>
          <t>2026-07-14</t>
        </is>
      </c>
      <c r="H130" s="8" t="n">
        <v>89</v>
      </c>
      <c r="I130" s="8" t="n"/>
      <c r="J130" s="9" t="inlineStr">
        <is>
          <t>생산비중 "엔드밀 30% : 스페셜 70% : 재연마 5%"(합산 105%) — "엔드밀"과 "스페셜"이 배타적 분류가 아닐 가능성. 정확한 분류 기준(품목 기준 vs 스탠다드/스페셜 기준)은 확인 필요(§2.2 정정 참조).</t>
        </is>
      </c>
      <c r="K130" s="10" t="inlineStr"/>
      <c r="L130" s="10" t="inlineStr"/>
      <c r="M130" s="10" t="inlineStr"/>
      <c r="N130" s="10" t="inlineStr"/>
    </row>
    <row r="131">
      <c r="A131" s="14" t="n">
        <v>128</v>
      </c>
      <c r="B131" s="14" t="inlineStr">
        <is>
          <t>C-일반</t>
        </is>
      </c>
      <c r="C131" s="11" t="inlineStr">
        <is>
          <t>비교분석</t>
        </is>
      </c>
      <c r="D131" s="11" t="inlineStr">
        <is>
          <t>comparisons/AL엔드밀-호닝-비교.md</t>
        </is>
      </c>
      <c r="E131" s="11" t="n">
        <v>55</v>
      </c>
      <c r="F131" s="11" t="inlineStr">
        <is>
          <t>미확인</t>
        </is>
      </c>
      <c r="G131" s="11" t="inlineStr">
        <is>
          <t>2026-07-21</t>
        </is>
      </c>
      <c r="H131" s="11" t="n">
        <v>82</v>
      </c>
      <c r="I131" s="11" t="n"/>
      <c r="J131" s="12" t="inlineStr">
        <is>
          <t>쿨런트 | 수용성 (농도·압력 미확인) | 폴더 6과 동일 조건 유지</t>
        </is>
      </c>
      <c r="K131" s="10" t="inlineStr"/>
      <c r="L131" s="10" t="inlineStr"/>
      <c r="M131" s="10" t="inlineStr"/>
      <c r="N131" s="10" t="inlineStr"/>
    </row>
    <row r="132">
      <c r="A132" s="13" t="n">
        <v>129</v>
      </c>
      <c r="B132" s="13" t="inlineStr">
        <is>
          <t>C-일반</t>
        </is>
      </c>
      <c r="C132" s="8" t="inlineStr">
        <is>
          <t>비교분석</t>
        </is>
      </c>
      <c r="D132" s="8" t="inlineStr">
        <is>
          <t>comparisons/AL엔드밀-호닝-비교.md</t>
        </is>
      </c>
      <c r="E132" s="8" t="n">
        <v>103</v>
      </c>
      <c r="F132" s="8" t="inlineStr">
        <is>
          <t>확인 필요</t>
        </is>
      </c>
      <c r="G132" s="8" t="inlineStr">
        <is>
          <t>2026-07-21</t>
        </is>
      </c>
      <c r="H132" s="8" t="n">
        <v>82</v>
      </c>
      <c r="I132" s="8" t="n"/>
      <c r="J132" s="9" t="inlineStr">
        <is>
          <t>수명 (정성적 결과) | 미기재 | 미기재 | 원본에 정성적 수명 평가 없음 — 확인 필요</t>
        </is>
      </c>
      <c r="K132" s="10" t="inlineStr"/>
      <c r="L132" s="10" t="inlineStr"/>
      <c r="M132" s="10" t="inlineStr"/>
      <c r="N132" s="10" t="inlineStr"/>
    </row>
    <row r="133">
      <c r="A133" s="14" t="n">
        <v>130</v>
      </c>
      <c r="B133" s="14" t="inlineStr">
        <is>
          <t>C-일반</t>
        </is>
      </c>
      <c r="C133" s="11" t="inlineStr">
        <is>
          <t>비교분석</t>
        </is>
      </c>
      <c r="D133" s="11" t="inlineStr">
        <is>
          <t>comparisons/AL엔드밀-호닝-비교.md</t>
        </is>
      </c>
      <c r="E133" s="11" t="n">
        <v>110</v>
      </c>
      <c r="F133" s="11" t="inlineStr">
        <is>
          <t>확인 필요</t>
        </is>
      </c>
      <c r="G133" s="11" t="inlineStr">
        <is>
          <t>2026-07-21</t>
        </is>
      </c>
      <c r="H133" s="11" t="n">
        <v>82</v>
      </c>
      <c r="I133" s="11" t="n"/>
      <c r="J133" s="12" t="inlineStr">
        <is>
          <t>Ra 표면조도 | 미측정 | 미측정 | 정량 측정 권장 (기존 §4 계획대로) — 여전히 확인 필요</t>
        </is>
      </c>
      <c r="K133" s="10" t="inlineStr"/>
      <c r="L133" s="10" t="inlineStr"/>
      <c r="M133" s="10" t="inlineStr"/>
      <c r="N133" s="10" t="inlineStr"/>
    </row>
    <row r="134">
      <c r="A134" s="13" t="n">
        <v>131</v>
      </c>
      <c r="B134" s="13" t="inlineStr">
        <is>
          <t>C-일반</t>
        </is>
      </c>
      <c r="C134" s="8" t="inlineStr">
        <is>
          <t>비교분석</t>
        </is>
      </c>
      <c r="D134" s="8" t="inlineStr">
        <is>
          <t>comparisons/AL엔드밀-호닝-비교.md</t>
        </is>
      </c>
      <c r="E134" s="8" t="n">
        <v>146</v>
      </c>
      <c r="F134" s="8" t="inlineStr">
        <is>
          <t>확인 필요</t>
        </is>
      </c>
      <c r="G134" s="8" t="inlineStr">
        <is>
          <t>2026-07-21</t>
        </is>
      </c>
      <c r="H134" s="8" t="n">
        <v>82</v>
      </c>
      <c r="I134" s="8" t="n"/>
      <c r="J134" s="9" t="inlineStr">
        <is>
          <t>후속 조치: Overhang·피삭재 두께를 통일한 재현 테스트로 호닝 단독 효과를 분리 확인 필요.</t>
        </is>
      </c>
      <c r="K134" s="10" t="inlineStr"/>
      <c r="L134" s="10" t="inlineStr"/>
      <c r="M134" s="10" t="inlineStr"/>
      <c r="N134" s="10" t="inlineStr"/>
    </row>
    <row r="135">
      <c r="A135" s="14" t="n">
        <v>132</v>
      </c>
      <c r="B135" s="14" t="inlineStr">
        <is>
          <t>C-일반</t>
        </is>
      </c>
      <c r="C135" s="11" t="inlineStr">
        <is>
          <t>비교분석</t>
        </is>
      </c>
      <c r="D135" s="11" t="inlineStr">
        <is>
          <t>comparisons/AL엔드밀-호닝-비교.md</t>
        </is>
      </c>
      <c r="E135" s="11" t="n">
        <v>168</v>
      </c>
      <c r="F135" s="11" t="inlineStr">
        <is>
          <t>확인 필요</t>
        </is>
      </c>
      <c r="G135" s="11" t="inlineStr">
        <is>
          <t>2026-07-21</t>
        </is>
      </c>
      <c r="H135" s="11" t="n">
        <v>82</v>
      </c>
      <c r="I135" s="11" t="n"/>
      <c r="J135" s="12"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35" s="10" t="inlineStr"/>
      <c r="L135" s="10" t="inlineStr"/>
      <c r="M135" s="10" t="inlineStr"/>
      <c r="N135" s="10" t="inlineStr"/>
    </row>
    <row r="136">
      <c r="A136" s="13" t="n">
        <v>133</v>
      </c>
      <c r="B136" s="13" t="inlineStr">
        <is>
          <t>C-일반</t>
        </is>
      </c>
      <c r="C136" s="8" t="inlineStr">
        <is>
          <t>설비</t>
        </is>
      </c>
      <c r="D136" s="8" t="inlineStr">
        <is>
          <t>machines/에어-컴프레셔.md</t>
        </is>
      </c>
      <c r="E136" s="8" t="n">
        <v>4</v>
      </c>
      <c r="F136" s="8" t="inlineStr">
        <is>
          <t>확인 필요</t>
        </is>
      </c>
      <c r="G136" s="8" t="inlineStr">
        <is>
          <t>2026-07-21</t>
        </is>
      </c>
      <c r="H136" s="8" t="n">
        <v>82</v>
      </c>
      <c r="I136" s="8" t="n"/>
      <c r="J136" s="9" t="inlineStr">
        <is>
          <t>model: "확인 필요"</t>
        </is>
      </c>
      <c r="K136" s="10" t="inlineStr"/>
      <c r="L136" s="10" t="inlineStr"/>
      <c r="M136" s="10" t="inlineStr"/>
      <c r="N136" s="10" t="inlineStr"/>
    </row>
    <row r="137">
      <c r="A137" s="14" t="n">
        <v>134</v>
      </c>
      <c r="B137" s="14" t="inlineStr">
        <is>
          <t>C-일반</t>
        </is>
      </c>
      <c r="C137" s="11" t="inlineStr">
        <is>
          <t>설비</t>
        </is>
      </c>
      <c r="D137" s="11" t="inlineStr">
        <is>
          <t>machines/에어-컴프레셔.md</t>
        </is>
      </c>
      <c r="E137" s="11" t="n">
        <v>38</v>
      </c>
      <c r="F137" s="11" t="inlineStr">
        <is>
          <t>확인 필요</t>
        </is>
      </c>
      <c r="G137" s="11" t="inlineStr">
        <is>
          <t>2026-07-21</t>
        </is>
      </c>
      <c r="H137" s="11" t="n">
        <v>82</v>
      </c>
      <c r="I137" s="11" t="n"/>
      <c r="J137" s="12" t="inlineStr">
        <is>
          <t>⚠️ 겨울철에는 냉각 부분을 끄고 사용 (정비업체 확인, 2026-07-21). 상세 조건(기온 기준 등)은 추가 확인 필요.</t>
        </is>
      </c>
      <c r="K137" s="10" t="inlineStr"/>
      <c r="L137" s="10" t="inlineStr"/>
      <c r="M137" s="10" t="inlineStr"/>
      <c r="N137" s="10" t="inlineStr"/>
    </row>
    <row r="138">
      <c r="A138" s="13" t="n">
        <v>135</v>
      </c>
      <c r="B138" s="13" t="inlineStr">
        <is>
          <t>C-일반</t>
        </is>
      </c>
      <c r="C138" s="8" t="inlineStr">
        <is>
          <t>프로젝트</t>
        </is>
      </c>
      <c r="D138" s="8" t="inlineStr">
        <is>
          <t>projects/AL엔드밀-홈가공-테스트-2.md</t>
        </is>
      </c>
      <c r="E138" s="8" t="n">
        <v>103</v>
      </c>
      <c r="F138" s="8" t="inlineStr">
        <is>
          <t>확인 필요</t>
        </is>
      </c>
      <c r="G138" s="8" t="inlineStr">
        <is>
          <t>2026-07-23</t>
        </is>
      </c>
      <c r="H138" s="8" t="n">
        <v>80</v>
      </c>
      <c r="I138" s="8" t="n"/>
      <c r="J138" s="9"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38" s="10" t="inlineStr"/>
      <c r="L138" s="10" t="inlineStr"/>
      <c r="M138" s="10" t="inlineStr"/>
      <c r="N138" s="10" t="inlineStr"/>
    </row>
    <row r="139">
      <c r="A139" s="14" t="n">
        <v>136</v>
      </c>
      <c r="B139" s="14" t="inlineStr">
        <is>
          <t>C-일반</t>
        </is>
      </c>
      <c r="C139" s="11" t="inlineStr">
        <is>
          <t>설비</t>
        </is>
      </c>
      <c r="D139" s="11" t="inlineStr">
        <is>
          <t>machines/chevalier-qp2040l.md</t>
        </is>
      </c>
      <c r="E139" s="11" t="n">
        <v>125</v>
      </c>
      <c r="F139" s="11" t="inlineStr">
        <is>
          <t>미확인</t>
        </is>
      </c>
      <c r="G139" s="11" t="inlineStr">
        <is>
          <t>2026-07-27</t>
        </is>
      </c>
      <c r="H139" s="11" t="n">
        <v>76</v>
      </c>
      <c r="I139" s="11" t="n"/>
      <c r="J139" s="12" t="inlineStr">
        <is>
          <t>쿨런트 농도·pH는 테스트 기록에서 대부분 미확인 → 측정 후 기록 필요</t>
        </is>
      </c>
      <c r="K139" s="10" t="inlineStr"/>
      <c r="L139" s="10" t="inlineStr"/>
      <c r="M139" s="10" t="inlineStr"/>
      <c r="N139" s="10" t="inlineStr"/>
    </row>
    <row r="140">
      <c r="A140" s="13" t="n">
        <v>137</v>
      </c>
      <c r="B140" s="13" t="inlineStr">
        <is>
          <t>C-일반</t>
        </is>
      </c>
      <c r="C140" s="8" t="inlineStr">
        <is>
          <t>소재</t>
        </is>
      </c>
      <c r="D140" s="8" t="inlineStr">
        <is>
          <t>materials/공구-코팅.md</t>
        </is>
      </c>
      <c r="E140" s="8" t="n">
        <v>463</v>
      </c>
      <c r="F140" s="8" t="inlineStr">
        <is>
          <t>확인 필요</t>
        </is>
      </c>
      <c r="G140" s="8" t="inlineStr">
        <is>
          <t>2026-07-27</t>
        </is>
      </c>
      <c r="H140" s="8" t="n">
        <v>76</v>
      </c>
      <c r="I140" s="8" t="n"/>
      <c r="J140"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40" s="10" t="inlineStr"/>
      <c r="L140" s="10" t="inlineStr"/>
      <c r="M140" s="10" t="inlineStr"/>
      <c r="N140" s="10" t="inlineStr"/>
    </row>
    <row r="141">
      <c r="A141" s="14" t="n">
        <v>138</v>
      </c>
      <c r="B141" s="14" t="inlineStr">
        <is>
          <t>C-일반</t>
        </is>
      </c>
      <c r="C141" s="11" t="inlineStr">
        <is>
          <t>소재</t>
        </is>
      </c>
      <c r="D141" s="11" t="inlineStr">
        <is>
          <t>materials/공구-코팅.md</t>
        </is>
      </c>
      <c r="E141" s="11" t="n">
        <v>363</v>
      </c>
      <c r="F141" s="11" t="inlineStr">
        <is>
          <t>확인 필요</t>
        </is>
      </c>
      <c r="G141" s="11" t="inlineStr">
        <is>
          <t>2026-07-28</t>
        </is>
      </c>
      <c r="H141" s="11" t="n">
        <v>75</v>
      </c>
      <c r="I141" s="11" t="n"/>
      <c r="J141" s="12" t="inlineStr">
        <is>
          <t>그라핀 (ta-C) | 확인 필요 | 확인 필요 | 미측정 | — | Al 가공 전용, 재코팅 경험 없음</t>
        </is>
      </c>
      <c r="K141" s="10" t="inlineStr"/>
      <c r="L141" s="10" t="inlineStr"/>
      <c r="M141" s="10" t="inlineStr"/>
      <c r="N141" s="10" t="inlineStr"/>
    </row>
    <row r="142">
      <c r="A142" s="13" t="n">
        <v>139</v>
      </c>
      <c r="B142" s="13" t="inlineStr">
        <is>
          <t>C-일반</t>
        </is>
      </c>
      <c r="C142" s="8" t="inlineStr">
        <is>
          <t>공구·휠</t>
        </is>
      </c>
      <c r="D142" s="8" t="inlineStr">
        <is>
          <t>tools/재연마-형상-치수기준.md</t>
        </is>
      </c>
      <c r="E142" s="8" t="n">
        <v>93</v>
      </c>
      <c r="F142" s="8" t="inlineStr">
        <is>
          <t>확인 필요</t>
        </is>
      </c>
      <c r="G142" s="8" t="inlineStr">
        <is>
          <t>2026-07-28</t>
        </is>
      </c>
      <c r="H142" s="8" t="n">
        <v>75</v>
      </c>
      <c r="I142" s="8" t="n"/>
      <c r="J142" s="9" t="inlineStr">
        <is>
          <t>⚠️ 원본에 Ø8 행 없음(2→3→4→6→10 순, 6에서 10으로 건너뜀) — 원본 표기 그대로 유지, 확인 필요.</t>
        </is>
      </c>
      <c r="K142" s="10" t="inlineStr"/>
      <c r="L142" s="10" t="inlineStr"/>
      <c r="M142" s="10" t="inlineStr"/>
      <c r="N142" s="10" t="inlineStr"/>
    </row>
    <row r="143">
      <c r="A143" s="14" t="n">
        <v>140</v>
      </c>
      <c r="B143" s="14" t="inlineStr">
        <is>
          <t>C-일반</t>
        </is>
      </c>
      <c r="C143" s="11" t="inlineStr">
        <is>
          <t>공구·휠</t>
        </is>
      </c>
      <c r="D143" s="11" t="inlineStr">
        <is>
          <t>tools/재연마-형상-치수기준.md</t>
        </is>
      </c>
      <c r="E143" s="11" t="n">
        <v>129</v>
      </c>
      <c r="F143" s="11" t="inlineStr">
        <is>
          <t>확인 필요</t>
        </is>
      </c>
      <c r="G143" s="11" t="inlineStr">
        <is>
          <t>2026-07-28</t>
        </is>
      </c>
      <c r="H143" s="11" t="n">
        <v>75</v>
      </c>
      <c r="I143" s="11" t="n"/>
      <c r="J143" s="12" t="inlineStr">
        <is>
          <t>참고: 2F Corner&amp;Flat은 Ø8 행이 존재(4F 표와 달리 누락 없음), G.A가 전 직경 35˚±2로 고정, B.G.A는 110˚±5로 4F(55˚±5)의 정확히 2배 — 4F/2F 날수 차이가 개쉬 각도 배분에 반영된 것으로 추정(확인 필요).</t>
        </is>
      </c>
      <c r="K143" s="10" t="inlineStr"/>
      <c r="L143" s="10" t="inlineStr"/>
      <c r="M143" s="10" t="inlineStr"/>
      <c r="N143" s="10" t="inlineStr"/>
    </row>
    <row r="144">
      <c r="A144" s="13" t="n">
        <v>141</v>
      </c>
      <c r="B144" s="13" t="inlineStr">
        <is>
          <t>C-일반</t>
        </is>
      </c>
      <c r="C144" s="8" t="inlineStr">
        <is>
          <t>프로젝트</t>
        </is>
      </c>
      <c r="D144" s="8" t="inlineStr">
        <is>
          <t>projects/AL엔드밀-홈가공-테스트-2.md</t>
        </is>
      </c>
      <c r="E144" s="8" t="n">
        <v>20</v>
      </c>
      <c r="F144" s="8" t="inlineStr">
        <is>
          <t>확인 필요</t>
        </is>
      </c>
      <c r="G144" s="8" t="inlineStr">
        <is>
          <t>2026-07-30</t>
        </is>
      </c>
      <c r="H144" s="8" t="n">
        <v>73</v>
      </c>
      <c r="I144" s="8" t="n"/>
      <c r="J144" s="9" t="inlineStr">
        <is>
          <t>장비 | MCT (모델 미기재 — 확인 필요)</t>
        </is>
      </c>
      <c r="K144" s="10" t="inlineStr"/>
      <c r="L144" s="10" t="inlineStr"/>
      <c r="M144" s="10" t="inlineStr"/>
      <c r="N144" s="10" t="inlineStr"/>
    </row>
    <row r="145">
      <c r="A145" s="14" t="n">
        <v>142</v>
      </c>
      <c r="B145" s="14" t="inlineStr">
        <is>
          <t>C-일반</t>
        </is>
      </c>
      <c r="C145" s="11" t="inlineStr">
        <is>
          <t>프로젝트</t>
        </is>
      </c>
      <c r="D145" s="11" t="inlineStr">
        <is>
          <t>projects/AL엔드밀-홈가공-테스트-2.md</t>
        </is>
      </c>
      <c r="E145" s="11" t="n">
        <v>26</v>
      </c>
      <c r="F145" s="11" t="inlineStr">
        <is>
          <t>확인 필요</t>
        </is>
      </c>
      <c r="G145" s="11" t="inlineStr">
        <is>
          <t>2026-07-30</t>
        </is>
      </c>
      <c r="H145" s="11" t="n">
        <v>73</v>
      </c>
      <c r="I145" s="11" t="n"/>
      <c r="J145" s="12" t="inlineStr">
        <is>
          <t>쿨런트 | 미기재 — 확인 필요</t>
        </is>
      </c>
      <c r="K145" s="10" t="inlineStr"/>
      <c r="L145" s="10" t="inlineStr"/>
      <c r="M145" s="10" t="inlineStr"/>
      <c r="N145" s="10" t="inlineStr"/>
    </row>
    <row r="146">
      <c r="A146" s="13" t="n">
        <v>143</v>
      </c>
      <c r="B146" s="13" t="inlineStr">
        <is>
          <t>C-일반</t>
        </is>
      </c>
      <c r="C146" s="8" t="inlineStr">
        <is>
          <t>프로젝트</t>
        </is>
      </c>
      <c r="D146" s="8" t="inlineStr">
        <is>
          <t>projects/AL엔드밀-홈가공-테스트-2.md</t>
        </is>
      </c>
      <c r="E146" s="8" t="n">
        <v>65</v>
      </c>
      <c r="F146" s="8" t="inlineStr">
        <is>
          <t>확인 필요</t>
        </is>
      </c>
      <c r="G146" s="8" t="inlineStr">
        <is>
          <t>2026-07-30</t>
        </is>
      </c>
      <c r="H146" s="8" t="n">
        <v>73</v>
      </c>
      <c r="I146" s="8" t="n"/>
      <c r="J146"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146" s="10" t="inlineStr"/>
      <c r="L146" s="10" t="inlineStr"/>
      <c r="M146" s="10" t="inlineStr"/>
      <c r="N146" s="10" t="inlineStr"/>
    </row>
    <row r="147">
      <c r="A147" s="14" t="n">
        <v>144</v>
      </c>
      <c r="B147" s="14" t="inlineStr">
        <is>
          <t>C-일반</t>
        </is>
      </c>
      <c r="C147" s="11" t="inlineStr">
        <is>
          <t>프로젝트</t>
        </is>
      </c>
      <c r="D147" s="11" t="inlineStr">
        <is>
          <t>projects/AL엔드밀-홈가공-테스트-2.md</t>
        </is>
      </c>
      <c r="E147" s="11" t="n">
        <v>82</v>
      </c>
      <c r="F147" s="11" t="inlineStr">
        <is>
          <t>확인 필요</t>
        </is>
      </c>
      <c r="G147" s="11" t="inlineStr">
        <is>
          <t>2026-07-30</t>
        </is>
      </c>
      <c r="H147" s="11" t="n">
        <v>73</v>
      </c>
      <c r="I147" s="11" t="n"/>
      <c r="J147" s="12" t="inlineStr">
        <is>
          <t>대응: 유피툴 자체 카탈로그 조건(보유 시) 확인 후 재조정 검토 필요. Ra 정밀 측정 및 반복 재현 테스트로 안정성 확인 필요.</t>
        </is>
      </c>
      <c r="K147" s="10" t="inlineStr"/>
      <c r="L147" s="10" t="inlineStr"/>
      <c r="M147" s="10" t="inlineStr"/>
      <c r="N147" s="10" t="inlineStr"/>
    </row>
    <row r="148">
      <c r="A148" s="13" t="n">
        <v>145</v>
      </c>
      <c r="B148" s="13" t="inlineStr">
        <is>
          <t>C-일반</t>
        </is>
      </c>
      <c r="C148" s="8" t="inlineStr">
        <is>
          <t>프로젝트</t>
        </is>
      </c>
      <c r="D148" s="8" t="inlineStr">
        <is>
          <t>projects/AL엔드밀-홈가공-테스트-2.md</t>
        </is>
      </c>
      <c r="E148" s="8" t="n">
        <v>172</v>
      </c>
      <c r="F148" s="8" t="inlineStr">
        <is>
          <t>확인 필요</t>
        </is>
      </c>
      <c r="G148" s="8" t="inlineStr">
        <is>
          <t>2026-07-30</t>
        </is>
      </c>
      <c r="H148" s="8" t="n">
        <v>73</v>
      </c>
      <c r="I148" s="8" t="n"/>
      <c r="J148" s="9" t="inlineStr">
        <is>
          <t>확인 필요: YG-1 E5D70100 자체 카탈로그 절입 권장값(위 53%는 J.J 참고치 기준 — YG-1 고유값 아님), 실제 부하량 측정값(가공 후 기록 예정, 목표 40% 대비 실측 비교).</t>
        </is>
      </c>
      <c r="K148" s="10" t="inlineStr"/>
      <c r="L148" s="10" t="inlineStr"/>
      <c r="M148" s="10" t="inlineStr"/>
      <c r="N148" s="10" t="inlineStr"/>
    </row>
    <row r="149">
      <c r="A149" s="14" t="n">
        <v>146</v>
      </c>
      <c r="B149" s="14" t="inlineStr">
        <is>
          <t>C-일반</t>
        </is>
      </c>
      <c r="C149" s="11" t="inlineStr">
        <is>
          <t>프로젝트</t>
        </is>
      </c>
      <c r="D149" s="11" t="inlineStr">
        <is>
          <t>projects/AL엔드밀-홈가공-테스트-2.md</t>
        </is>
      </c>
      <c r="E149" s="11" t="n">
        <v>188</v>
      </c>
      <c r="F149" s="11" t="inlineStr">
        <is>
          <t>확인 필요</t>
        </is>
      </c>
      <c r="G149" s="11" t="inlineStr">
        <is>
          <t>2026-07-30</t>
        </is>
      </c>
      <c r="H149" s="11" t="n">
        <v>73</v>
      </c>
      <c r="I149" s="11" t="n"/>
      <c r="J149"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149" s="10" t="inlineStr"/>
      <c r="L149" s="10" t="inlineStr"/>
      <c r="M149" s="10" t="inlineStr"/>
      <c r="N149" s="10" t="inlineStr"/>
    </row>
    <row r="150">
      <c r="A150" s="13" t="n">
        <v>147</v>
      </c>
      <c r="B150" s="13" t="inlineStr">
        <is>
          <t>C-일반</t>
        </is>
      </c>
      <c r="C150" s="8" t="inlineStr">
        <is>
          <t>프로젝트</t>
        </is>
      </c>
      <c r="D150" s="8" t="inlineStr">
        <is>
          <t>projects/AL엔드밀-홈가공-테스트-2.md</t>
        </is>
      </c>
      <c r="E150" s="8" t="n">
        <v>196</v>
      </c>
      <c r="F150" s="8" t="inlineStr">
        <is>
          <t>확인 필요</t>
        </is>
      </c>
      <c r="G150" s="8" t="inlineStr">
        <is>
          <t>2026-07-30</t>
        </is>
      </c>
      <c r="H150" s="8" t="n">
        <v>73</v>
      </c>
      <c r="I150" s="8" t="n"/>
      <c r="J150" s="9" t="inlineStr">
        <is>
          <t>확인 필요: 총 깊이 10mm 유지 가정이 맞는지, YG-1 E5D70100 자체 카탈로그 값, 실측 부하량(목표 40% 대비 비교).</t>
        </is>
      </c>
      <c r="K150" s="10" t="inlineStr"/>
      <c r="L150" s="10" t="inlineStr"/>
      <c r="M150" s="10" t="inlineStr"/>
      <c r="N150" s="10" t="inlineStr"/>
    </row>
    <row r="151">
      <c r="A151" s="14" t="n">
        <v>148</v>
      </c>
      <c r="B151" s="14" t="inlineStr">
        <is>
          <t>C-일반</t>
        </is>
      </c>
      <c r="C151" s="11" t="inlineStr">
        <is>
          <t>프로젝트</t>
        </is>
      </c>
      <c r="D151" s="11" t="inlineStr">
        <is>
          <t>projects/AL엔드밀-홈가공-테스트-2.md</t>
        </is>
      </c>
      <c r="E151" s="11" t="n">
        <v>213</v>
      </c>
      <c r="F151" s="11" t="inlineStr">
        <is>
          <t>확인 필요</t>
        </is>
      </c>
      <c r="G151" s="11" t="inlineStr">
        <is>
          <t>2026-07-30</t>
        </is>
      </c>
      <c r="H151" s="11" t="n">
        <v>73</v>
      </c>
      <c r="I151" s="11" t="n"/>
      <c r="J151"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151" s="10" t="inlineStr"/>
      <c r="L151" s="10" t="inlineStr"/>
      <c r="M151" s="10" t="inlineStr"/>
      <c r="N151" s="10" t="inlineStr"/>
    </row>
    <row r="152">
      <c r="A152" s="13" t="n">
        <v>149</v>
      </c>
      <c r="B152" s="13" t="inlineStr">
        <is>
          <t>C-일반</t>
        </is>
      </c>
      <c r="C152" s="8" t="inlineStr">
        <is>
          <t>프로젝트</t>
        </is>
      </c>
      <c r="D152" s="8" t="inlineStr">
        <is>
          <t>projects/AL엔드밀-홈가공-테스트-2.md</t>
        </is>
      </c>
      <c r="E152" s="8" t="n">
        <v>215</v>
      </c>
      <c r="F152" s="8" t="inlineStr">
        <is>
          <t>확인 필요</t>
        </is>
      </c>
      <c r="G152" s="8" t="inlineStr">
        <is>
          <t>2026-07-30</t>
        </is>
      </c>
      <c r="H152" s="8" t="n">
        <v>73</v>
      </c>
      <c r="I152" s="8" t="n"/>
      <c r="J152" s="9" t="inlineStr">
        <is>
          <t>확인 필요: 실제 잔여 가공 깊이가 12mm 이상 확보되는지(현장 실측), YG-1 E5D70100 자체 카탈로그 값, 실측 부하량(목표 40% 대비).</t>
        </is>
      </c>
      <c r="K152" s="10" t="inlineStr"/>
      <c r="L152" s="10" t="inlineStr"/>
      <c r="M152" s="10" t="inlineStr"/>
      <c r="N152" s="10" t="inlineStr"/>
    </row>
    <row r="153">
      <c r="A153" s="14" t="n">
        <v>150</v>
      </c>
      <c r="B153" s="14" t="inlineStr">
        <is>
          <t>C-일반</t>
        </is>
      </c>
      <c r="C153" s="11" t="inlineStr">
        <is>
          <t>프로젝트</t>
        </is>
      </c>
      <c r="D153" s="11" t="inlineStr">
        <is>
          <t>projects/AL엔드밀-홈가공-테스트-2.md</t>
        </is>
      </c>
      <c r="E153" s="11" t="n">
        <v>217</v>
      </c>
      <c r="F153" s="11" t="inlineStr">
        <is>
          <t>확인 필요</t>
        </is>
      </c>
      <c r="G153" s="11" t="inlineStr">
        <is>
          <t>2026-07-30</t>
        </is>
      </c>
      <c r="H153" s="11" t="n">
        <v>73</v>
      </c>
      <c r="I153" s="11" t="n"/>
      <c r="J153" s="12" t="inlineStr">
        <is>
          <t>신뢰도: G코드 값 자체는 확정(사용자 지정) / 잔여 깊이 12mm 확보 여부는 확인 필요 — 실가공 전 검증 필수.</t>
        </is>
      </c>
      <c r="K153" s="10" t="inlineStr"/>
      <c r="L153" s="10" t="inlineStr"/>
      <c r="M153" s="10" t="inlineStr"/>
      <c r="N153" s="10" t="inlineStr"/>
    </row>
    <row r="154">
      <c r="A154" s="13" t="n">
        <v>151</v>
      </c>
      <c r="B154" s="13" t="inlineStr">
        <is>
          <t>C-일반</t>
        </is>
      </c>
      <c r="C154" s="8" t="inlineStr">
        <is>
          <t>프로젝트</t>
        </is>
      </c>
      <c r="D154" s="8" t="inlineStr">
        <is>
          <t>projects/AL엔드밀-홈가공-테스트-2.md</t>
        </is>
      </c>
      <c r="E154" s="8" t="n">
        <v>236</v>
      </c>
      <c r="F154" s="8" t="inlineStr">
        <is>
          <t>확인 필요</t>
        </is>
      </c>
      <c r="G154" s="8" t="inlineStr">
        <is>
          <t>2026-07-30</t>
        </is>
      </c>
      <c r="H154" s="8" t="n">
        <v>73</v>
      </c>
      <c r="I154" s="8" t="n"/>
      <c r="J154"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154" s="10" t="inlineStr"/>
      <c r="L154" s="10" t="inlineStr"/>
      <c r="M154" s="10" t="inlineStr"/>
      <c r="N154" s="10" t="inlineStr"/>
    </row>
    <row r="155">
      <c r="A155" s="14" t="n">
        <v>152</v>
      </c>
      <c r="B155" s="14" t="inlineStr">
        <is>
          <t>C-일반</t>
        </is>
      </c>
      <c r="C155" s="11" t="inlineStr">
        <is>
          <t>프로젝트</t>
        </is>
      </c>
      <c r="D155" s="11" t="inlineStr">
        <is>
          <t>projects/AL엔드밀-홈가공-테스트-2.md</t>
        </is>
      </c>
      <c r="E155" s="11" t="n">
        <v>252</v>
      </c>
      <c r="F155" s="11" t="inlineStr">
        <is>
          <t>확인 필요</t>
        </is>
      </c>
      <c r="G155" s="11" t="inlineStr">
        <is>
          <t>2026-07-30</t>
        </is>
      </c>
      <c r="H155" s="11" t="n">
        <v>73</v>
      </c>
      <c r="I155" s="11" t="n"/>
      <c r="J155" s="12" t="inlineStr">
        <is>
          <t>RPM / Vc | 6,600 rpm / Vc = 172.787 m/min(직경 동일, 회전수만 상승 — 표기상 Vc값은 원본 그대로 유지돼 있으나 RPM 6,600 기준 재계산 시 Vc≈207.3 m/min 필요, ⚠️ 원본 셀 값 확인 필요)</t>
        </is>
      </c>
      <c r="K155" s="10" t="inlineStr"/>
      <c r="L155" s="10" t="inlineStr"/>
      <c r="M155" s="10" t="inlineStr"/>
      <c r="N155" s="10" t="inlineStr"/>
    </row>
    <row r="156">
      <c r="A156" s="13" t="n">
        <v>153</v>
      </c>
      <c r="B156" s="13" t="inlineStr">
        <is>
          <t>C-일반</t>
        </is>
      </c>
      <c r="C156" s="8" t="inlineStr">
        <is>
          <t>프로젝트</t>
        </is>
      </c>
      <c r="D156" s="8" t="inlineStr">
        <is>
          <t>projects/AL엔드밀-홈가공-테스트-2.md</t>
        </is>
      </c>
      <c r="E156" s="8" t="n">
        <v>270</v>
      </c>
      <c r="F156" s="8" t="inlineStr">
        <is>
          <t>확인 필요</t>
        </is>
      </c>
      <c r="G156" s="8" t="inlineStr">
        <is>
          <t>2026-07-30</t>
        </is>
      </c>
      <c r="H156" s="8" t="n">
        <v>73</v>
      </c>
      <c r="I156" s="8" t="n"/>
      <c r="J156" s="9" t="inlineStr">
        <is>
          <t>발생 위치: 공구 날 끝 레이크 앵글 부위(정확한 Y지점·가공 구간은 원본에 기재 없음 — 확인 필요)</t>
        </is>
      </c>
      <c r="K156" s="10" t="inlineStr"/>
      <c r="L156" s="10" t="inlineStr"/>
      <c r="M156" s="10" t="inlineStr"/>
      <c r="N156" s="10" t="inlineStr"/>
    </row>
    <row r="157">
      <c r="A157" s="14" t="n">
        <v>154</v>
      </c>
      <c r="B157" s="14" t="inlineStr">
        <is>
          <t>C-일반</t>
        </is>
      </c>
      <c r="C157" s="11" t="inlineStr">
        <is>
          <t>프로젝트</t>
        </is>
      </c>
      <c r="D157" s="11" t="inlineStr">
        <is>
          <t>projects/AL엔드밀-홈가공-테스트-2.md</t>
        </is>
      </c>
      <c r="E157" s="11" t="n">
        <v>273</v>
      </c>
      <c r="F157" s="11" t="inlineStr">
        <is>
          <t>미확인</t>
        </is>
      </c>
      <c r="G157" s="11" t="inlineStr">
        <is>
          <t>2026-07-30</t>
        </is>
      </c>
      <c r="H157" s="11" t="n">
        <v>73</v>
      </c>
      <c r="I157" s="11" t="n"/>
      <c r="J157" s="12" t="inlineStr">
        <is>
          <t>재발 여부: 첫 시도에서 관찰 — 반복 재현 여부 미확인.</t>
        </is>
      </c>
      <c r="K157" s="10" t="inlineStr"/>
      <c r="L157" s="10" t="inlineStr"/>
      <c r="M157" s="10" t="inlineStr"/>
      <c r="N157" s="10" t="inlineStr"/>
    </row>
    <row r="158">
      <c r="A158" s="13" t="n">
        <v>155</v>
      </c>
      <c r="B158" s="13" t="inlineStr">
        <is>
          <t>C-일반</t>
        </is>
      </c>
      <c r="C158" s="8" t="inlineStr">
        <is>
          <t>프로젝트</t>
        </is>
      </c>
      <c r="D158" s="8" t="inlineStr">
        <is>
          <t>projects/AL엔드밀-홈가공-테스트-2.md</t>
        </is>
      </c>
      <c r="E158" s="8" t="n">
        <v>279</v>
      </c>
      <c r="F158" s="8" t="inlineStr">
        <is>
          <t>확인 필요</t>
        </is>
      </c>
      <c r="G158" s="8" t="inlineStr">
        <is>
          <t>2026-07-30</t>
        </is>
      </c>
      <c r="H158" s="8" t="n">
        <v>73</v>
      </c>
      <c r="I158" s="8" t="n"/>
      <c r="J158"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158" s="10" t="inlineStr"/>
      <c r="L158" s="10" t="inlineStr"/>
      <c r="M158" s="10" t="inlineStr"/>
      <c r="N158" s="10" t="inlineStr"/>
    </row>
    <row r="159">
      <c r="A159" s="14" t="n">
        <v>156</v>
      </c>
      <c r="B159" s="14" t="inlineStr">
        <is>
          <t>C-일반</t>
        </is>
      </c>
      <c r="C159" s="11" t="inlineStr">
        <is>
          <t>프로젝트</t>
        </is>
      </c>
      <c r="D159" s="11" t="inlineStr">
        <is>
          <t>projects/AL엔드밀-홈가공-테스트-2.md</t>
        </is>
      </c>
      <c r="E159" s="11" t="n">
        <v>322</v>
      </c>
      <c r="F159" s="11" t="inlineStr">
        <is>
          <t>확인 필요</t>
        </is>
      </c>
      <c r="G159" s="11" t="inlineStr">
        <is>
          <t>2026-07-30</t>
        </is>
      </c>
      <c r="H159" s="11" t="n">
        <v>73</v>
      </c>
      <c r="I159" s="11" t="n"/>
      <c r="J159"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159" s="10" t="inlineStr"/>
      <c r="L159" s="10" t="inlineStr"/>
      <c r="M159" s="10" t="inlineStr"/>
      <c r="N159" s="10" t="inlineStr"/>
    </row>
    <row r="160">
      <c r="A160" s="13" t="n">
        <v>157</v>
      </c>
      <c r="B160" s="13" t="inlineStr">
        <is>
          <t>C-일반</t>
        </is>
      </c>
      <c r="C160" s="8" t="inlineStr">
        <is>
          <t>프로젝트</t>
        </is>
      </c>
      <c r="D160" s="8" t="inlineStr">
        <is>
          <t>projects/AL엔드밀-홈가공-테스트-2.md</t>
        </is>
      </c>
      <c r="E160" s="8" t="n">
        <v>331</v>
      </c>
      <c r="F160" s="8" t="inlineStr">
        <is>
          <t>확인 필요</t>
        </is>
      </c>
      <c r="G160" s="8" t="inlineStr">
        <is>
          <t>2026-07-30</t>
        </is>
      </c>
      <c r="H160" s="8" t="n">
        <v>73</v>
      </c>
      <c r="I160" s="8" t="n"/>
      <c r="J160" s="9" t="inlineStr">
        <is>
          <t>[ ] S5500→6,600 수동 증속 타이밍(어느 Y지점부터 증속했었는지 2024년 기록 확인 — 원본엔 명시 없음, 확인 필요로 유지)</t>
        </is>
      </c>
      <c r="K160" s="10" t="inlineStr"/>
      <c r="L160" s="10" t="inlineStr"/>
      <c r="M160" s="10" t="inlineStr"/>
      <c r="N160" s="10" t="inlineStr"/>
    </row>
    <row r="161">
      <c r="A161" s="14" t="n">
        <v>158</v>
      </c>
      <c r="B161" s="14" t="inlineStr">
        <is>
          <t>C-일반</t>
        </is>
      </c>
      <c r="C161" s="11" t="inlineStr">
        <is>
          <t>프로젝트</t>
        </is>
      </c>
      <c r="D161" s="11" t="inlineStr">
        <is>
          <t>projects/AL엔드밀-홈가공-테스트-2.md</t>
        </is>
      </c>
      <c r="E161" s="11" t="n">
        <v>333</v>
      </c>
      <c r="F161" s="11" t="inlineStr">
        <is>
          <t>미확인</t>
        </is>
      </c>
      <c r="G161" s="11" t="inlineStr">
        <is>
          <t>2026-07-30</t>
        </is>
      </c>
      <c r="H161" s="11" t="n">
        <v>73</v>
      </c>
      <c r="I161" s="11" t="n"/>
      <c r="J161" s="12" t="inlineStr">
        <is>
          <t>[ ] 쿨런트 조건(2024 원본: "수용성, 농도·압력 미확인" 그대로 미확인 상태)</t>
        </is>
      </c>
      <c r="K161" s="10" t="inlineStr"/>
      <c r="L161" s="10" t="inlineStr"/>
      <c r="M161" s="10" t="inlineStr"/>
      <c r="N161" s="10" t="inlineStr"/>
    </row>
    <row r="162">
      <c r="A162" s="13" t="n">
        <v>159</v>
      </c>
      <c r="B162" s="13" t="inlineStr">
        <is>
          <t>C-일반</t>
        </is>
      </c>
      <c r="C162" s="8" t="inlineStr">
        <is>
          <t>프로젝트</t>
        </is>
      </c>
      <c r="D162" s="8" t="inlineStr">
        <is>
          <t>projects/AL엔드밀-홈가공-테스트-2.md</t>
        </is>
      </c>
      <c r="E162" s="8" t="n">
        <v>350</v>
      </c>
      <c r="F162" s="8" t="inlineStr">
        <is>
          <t>확인 필요</t>
        </is>
      </c>
      <c r="G162" s="8" t="inlineStr">
        <is>
          <t>2026-07-30</t>
        </is>
      </c>
      <c r="H162" s="8" t="n">
        <v>73</v>
      </c>
      <c r="I162" s="8" t="n"/>
      <c r="J162" s="9" t="inlineStr">
        <is>
          <t>확인 필요: 새 소재 확보 여부(현장), 두 프로그램(O0006·O0007) 실행 순서와 소재 위치(같은 소재 내 별도 위치 사용 시 서로 겹치지 않게).</t>
        </is>
      </c>
      <c r="K162" s="10" t="inlineStr"/>
      <c r="L162" s="10" t="inlineStr"/>
      <c r="M162" s="10" t="inlineStr"/>
      <c r="N162" s="10" t="inlineStr"/>
    </row>
    <row r="163">
      <c r="A163" s="14" t="n">
        <v>160</v>
      </c>
      <c r="B163" s="14" t="inlineStr">
        <is>
          <t>C-일반</t>
        </is>
      </c>
      <c r="C163" s="11" t="inlineStr">
        <is>
          <t>프로젝트</t>
        </is>
      </c>
      <c r="D163" s="11" t="inlineStr">
        <is>
          <t>projects/AL엔드밀-홈가공-테스트-2.md</t>
        </is>
      </c>
      <c r="E163" s="11" t="n">
        <v>378</v>
      </c>
      <c r="F163" s="11" t="inlineStr">
        <is>
          <t>확인 필요</t>
        </is>
      </c>
      <c r="G163" s="11" t="inlineStr">
        <is>
          <t>2026-07-30</t>
        </is>
      </c>
      <c r="H163" s="11" t="n">
        <v>73</v>
      </c>
      <c r="I163" s="11" t="n"/>
      <c r="J163" s="12" t="inlineStr">
        <is>
          <t>발생 위치: 2차(2차_O0004.txt) 진입 구간(정확한 Z축 진입 깊이는 미확인 — "진입 후 바로"로만 확인됨, 확인 필요)</t>
        </is>
      </c>
      <c r="K163" s="10" t="inlineStr"/>
      <c r="L163" s="10" t="inlineStr"/>
      <c r="M163" s="10" t="inlineStr"/>
      <c r="N163" s="10" t="inlineStr"/>
    </row>
    <row r="164">
      <c r="A164" s="13" t="n">
        <v>161</v>
      </c>
      <c r="B164" s="13" t="inlineStr">
        <is>
          <t>C-일반</t>
        </is>
      </c>
      <c r="C164" s="8" t="inlineStr">
        <is>
          <t>프로젝트</t>
        </is>
      </c>
      <c r="D164" s="8" t="inlineStr">
        <is>
          <t>projects/AL엔드밀-홈가공-테스트-2.md</t>
        </is>
      </c>
      <c r="E164" s="8" t="n">
        <v>381</v>
      </c>
      <c r="F164" s="8" t="inlineStr">
        <is>
          <t>미확인</t>
        </is>
      </c>
      <c r="G164" s="8" t="inlineStr">
        <is>
          <t>2026-08-06</t>
        </is>
      </c>
      <c r="H164" s="8" t="n">
        <v>66</v>
      </c>
      <c r="I164" s="8" t="n"/>
      <c r="J164"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164" s="10" t="inlineStr"/>
      <c r="L164" s="10" t="inlineStr"/>
      <c r="M164" s="10" t="inlineStr"/>
      <c r="N164" s="10" t="inlineStr"/>
    </row>
    <row r="165">
      <c r="A165" s="14" t="n">
        <v>162</v>
      </c>
      <c r="B165" s="14" t="inlineStr">
        <is>
          <t>C-일반</t>
        </is>
      </c>
      <c r="C165" s="11" t="inlineStr">
        <is>
          <t>설비·정비</t>
        </is>
      </c>
      <c r="D165" s="11" t="inlineStr">
        <is>
          <t>repairs/fastgrind-솔레노이드밸브-공기누설-2026-08-13.md</t>
        </is>
      </c>
      <c r="E165" s="11" t="n">
        <v>137</v>
      </c>
      <c r="F165" s="11" t="inlineStr">
        <is>
          <t>확인 필요</t>
        </is>
      </c>
      <c r="G165" s="11" t="inlineStr">
        <is>
          <t>2026-08-11</t>
        </is>
      </c>
      <c r="H165" s="11" t="n">
        <v>61</v>
      </c>
      <c r="I165" s="11" t="n"/>
      <c r="J165"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165" s="10" t="inlineStr"/>
      <c r="L165" s="10" t="inlineStr"/>
      <c r="M165" s="10" t="inlineStr"/>
      <c r="N165" s="10" t="inlineStr"/>
    </row>
    <row r="166">
      <c r="A166" s="13" t="n">
        <v>163</v>
      </c>
      <c r="B166" s="13" t="inlineStr">
        <is>
          <t>C-일반</t>
        </is>
      </c>
      <c r="C166" s="8" t="inlineStr">
        <is>
          <t>설비·정비</t>
        </is>
      </c>
      <c r="D166" s="8" t="inlineStr">
        <is>
          <t>repairs/gx7-로더-사용금지-2026-08-13.md</t>
        </is>
      </c>
      <c r="E166" s="8" t="n">
        <v>71</v>
      </c>
      <c r="F166" s="8" t="inlineStr">
        <is>
          <t>확인 필요</t>
        </is>
      </c>
      <c r="G166" s="8" t="inlineStr">
        <is>
          <t>2026-08-11</t>
        </is>
      </c>
      <c r="H166" s="8" t="n">
        <v>61</v>
      </c>
      <c r="I166" s="8" t="n"/>
      <c r="J166" s="9" t="inlineStr">
        <is>
          <t>F 장비 로더 실린더 파손(2026-08-11)에 이어 GX7 로더에서도 실린더 이상(돌출/미삽입)이 확인됨에 따라, 두 설비 로더 실린더의 정비 이력·노후도를 함께 점검할 필요가 있음 — 확인 필요.</t>
        </is>
      </c>
      <c r="K166" s="10" t="inlineStr"/>
      <c r="L166" s="10" t="inlineStr"/>
      <c r="M166" s="10" t="inlineStr"/>
      <c r="N166" s="10" t="inlineStr"/>
    </row>
    <row r="167">
      <c r="A167" s="14" t="n">
        <v>164</v>
      </c>
      <c r="B167" s="14" t="inlineStr">
        <is>
          <t>C-일반</t>
        </is>
      </c>
      <c r="C167" s="11" t="inlineStr">
        <is>
          <t>기타</t>
        </is>
      </c>
      <c r="D167" s="11" t="inlineStr">
        <is>
          <t>index.md</t>
        </is>
      </c>
      <c r="E167" s="11" t="n">
        <v>190</v>
      </c>
      <c r="F167" s="11" t="inlineStr">
        <is>
          <t>확인 필요</t>
        </is>
      </c>
      <c r="G167" s="11" t="inlineStr">
        <is>
          <t>2026-08-12</t>
        </is>
      </c>
      <c r="H167" s="11" t="n">
        <v>60</v>
      </c>
      <c r="I167" s="11" t="n"/>
      <c r="J167"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167" s="10" t="inlineStr"/>
      <c r="L167" s="10" t="inlineStr"/>
      <c r="M167" s="10" t="inlineStr"/>
      <c r="N167" s="10" t="inlineStr"/>
    </row>
    <row r="168">
      <c r="A168" s="13" t="n">
        <v>165</v>
      </c>
      <c r="B168" s="13" t="inlineStr">
        <is>
          <t>C-일반</t>
        </is>
      </c>
      <c r="C168" s="8" t="inlineStr">
        <is>
          <t>설비·정비</t>
        </is>
      </c>
      <c r="D168" s="8" t="inlineStr">
        <is>
          <t>repairs/fastgrind-로더-유압실린더-파손-2026-08-11.md</t>
        </is>
      </c>
      <c r="E168" s="8" t="n">
        <v>39</v>
      </c>
      <c r="F168" s="8" t="inlineStr">
        <is>
          <t>확인 필요</t>
        </is>
      </c>
      <c r="G168" s="8" t="inlineStr">
        <is>
          <t>2026-08-12</t>
        </is>
      </c>
      <c r="H168" s="8" t="n">
        <v>60</v>
      </c>
      <c r="I168" s="8" t="n"/>
      <c r="J168"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168" s="10" t="inlineStr"/>
      <c r="L168" s="10" t="inlineStr"/>
      <c r="M168" s="10" t="inlineStr"/>
      <c r="N168" s="10" t="inlineStr"/>
    </row>
    <row r="169">
      <c r="A169" s="14" t="n">
        <v>166</v>
      </c>
      <c r="B169" s="14" t="inlineStr">
        <is>
          <t>C-일반</t>
        </is>
      </c>
      <c r="C169" s="11" t="inlineStr">
        <is>
          <t>설비·정비</t>
        </is>
      </c>
      <c r="D169" s="11" t="inlineStr">
        <is>
          <t>repairs/fastgrind-로더-유압실린더-파손-2026-08-11.md</t>
        </is>
      </c>
      <c r="E169" s="11" t="n">
        <v>103</v>
      </c>
      <c r="F169" s="11" t="inlineStr">
        <is>
          <t>확인 필요</t>
        </is>
      </c>
      <c r="G169" s="11" t="inlineStr">
        <is>
          <t>2026-08-12</t>
        </is>
      </c>
      <c r="H169" s="11" t="n">
        <v>60</v>
      </c>
      <c r="I169" s="11" t="n"/>
      <c r="J169"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169" s="10" t="inlineStr"/>
      <c r="L169" s="10" t="inlineStr"/>
      <c r="M169" s="10" t="inlineStr"/>
      <c r="N169" s="10" t="inlineStr"/>
    </row>
    <row r="170">
      <c r="A170" s="13" t="n">
        <v>167</v>
      </c>
      <c r="B170" s="13" t="inlineStr">
        <is>
          <t>C-일반</t>
        </is>
      </c>
      <c r="C170" s="8" t="inlineStr">
        <is>
          <t>설비·정비</t>
        </is>
      </c>
      <c r="D170" s="8" t="inlineStr">
        <is>
          <t>repairs/fastgrind-로더-유압실린더-파손-2026-08-11.md</t>
        </is>
      </c>
      <c r="E170" s="8" t="n">
        <v>115</v>
      </c>
      <c r="F170" s="8" t="inlineStr">
        <is>
          <t>확인 필요</t>
        </is>
      </c>
      <c r="G170" s="8" t="inlineStr">
        <is>
          <t>2026-08-12</t>
        </is>
      </c>
      <c r="H170" s="8" t="n">
        <v>60</v>
      </c>
      <c r="I170" s="8" t="n"/>
      <c r="J170"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170" s="10" t="inlineStr"/>
      <c r="L170" s="10" t="inlineStr"/>
      <c r="M170" s="10" t="inlineStr"/>
      <c r="N170" s="10" t="inlineStr"/>
    </row>
    <row r="171">
      <c r="A171" s="14" t="n">
        <v>168</v>
      </c>
      <c r="B171" s="14" t="inlineStr">
        <is>
          <t>C-일반</t>
        </is>
      </c>
      <c r="C171" s="11" t="inlineStr">
        <is>
          <t>설비·정비</t>
        </is>
      </c>
      <c r="D171" s="11" t="inlineStr">
        <is>
          <t>repairs/fastgrind-로더-유압실린더-파손-2026-08-11.md</t>
        </is>
      </c>
      <c r="E171" s="11" t="n">
        <v>116</v>
      </c>
      <c r="F171" s="11" t="inlineStr">
        <is>
          <t>확인 필요</t>
        </is>
      </c>
      <c r="G171" s="11" t="inlineStr">
        <is>
          <t>2026-08-12</t>
        </is>
      </c>
      <c r="H171" s="11" t="n">
        <v>60</v>
      </c>
      <c r="I171" s="11" t="n"/>
      <c r="J171"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171" s="10" t="inlineStr"/>
      <c r="L171" s="10" t="inlineStr"/>
      <c r="M171" s="10" t="inlineStr"/>
      <c r="N171" s="10" t="inlineStr"/>
    </row>
    <row r="172">
      <c r="A172" s="13" t="n">
        <v>169</v>
      </c>
      <c r="B172" s="13" t="inlineStr">
        <is>
          <t>C-일반</t>
        </is>
      </c>
      <c r="C172" s="8" t="inlineStr">
        <is>
          <t>설비·정비</t>
        </is>
      </c>
      <c r="D172" s="8" t="inlineStr">
        <is>
          <t>repairs/fastgrind-로더-유압실린더-파손-2026-08-11.md</t>
        </is>
      </c>
      <c r="E172" s="8" t="n">
        <v>117</v>
      </c>
      <c r="F172" s="8" t="inlineStr">
        <is>
          <t>확인 필요</t>
        </is>
      </c>
      <c r="G172" s="8" t="inlineStr">
        <is>
          <t>2026-08-12</t>
        </is>
      </c>
      <c r="H172" s="8" t="n">
        <v>60</v>
      </c>
      <c r="I172" s="8" t="n"/>
      <c r="J172"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172" s="10" t="inlineStr"/>
      <c r="L172" s="10" t="inlineStr"/>
      <c r="M172" s="10" t="inlineStr"/>
      <c r="N172" s="10" t="inlineStr"/>
    </row>
    <row r="173">
      <c r="A173" s="14" t="n">
        <v>170</v>
      </c>
      <c r="B173" s="14" t="inlineStr">
        <is>
          <t>C-일반</t>
        </is>
      </c>
      <c r="C173" s="11" t="inlineStr">
        <is>
          <t>설비·정비</t>
        </is>
      </c>
      <c r="D173" s="11" t="inlineStr">
        <is>
          <t>repairs/fastgrind-로더-유압실린더-파손-2026-08-11.md</t>
        </is>
      </c>
      <c r="E173" s="11" t="n">
        <v>119</v>
      </c>
      <c r="F173" s="11" t="inlineStr">
        <is>
          <t>확인 필요</t>
        </is>
      </c>
      <c r="G173" s="11" t="inlineStr">
        <is>
          <t>2026-08-12</t>
        </is>
      </c>
      <c r="H173" s="11" t="n">
        <v>60</v>
      </c>
      <c r="I173" s="11" t="n"/>
      <c r="J173"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173" s="10" t="inlineStr"/>
      <c r="L173" s="10" t="inlineStr"/>
      <c r="M173" s="10" t="inlineStr"/>
      <c r="N173" s="10" t="inlineStr"/>
    </row>
    <row r="174">
      <c r="A174" s="13" t="n">
        <v>171</v>
      </c>
      <c r="B174" s="13" t="inlineStr">
        <is>
          <t>C-일반</t>
        </is>
      </c>
      <c r="C174" s="8" t="inlineStr">
        <is>
          <t>설비·정비</t>
        </is>
      </c>
      <c r="D174" s="8" t="inlineStr">
        <is>
          <t>repairs/fastgrind-로더-유압실린더-파손-2026-08-11.md</t>
        </is>
      </c>
      <c r="E174" s="8" t="n">
        <v>144</v>
      </c>
      <c r="F174" s="8" t="inlineStr">
        <is>
          <t>확인 필요</t>
        </is>
      </c>
      <c r="G174" s="8" t="inlineStr">
        <is>
          <t>2026-08-12</t>
        </is>
      </c>
      <c r="H174" s="8" t="n">
        <v>60</v>
      </c>
      <c r="I174" s="8" t="n"/>
      <c r="J174"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174" s="10" t="inlineStr"/>
      <c r="L174" s="10" t="inlineStr"/>
      <c r="M174" s="10" t="inlineStr"/>
      <c r="N174" s="10" t="inlineStr"/>
    </row>
    <row r="175">
      <c r="A175" s="14" t="n">
        <v>172</v>
      </c>
      <c r="B175" s="14" t="inlineStr">
        <is>
          <t>C-일반</t>
        </is>
      </c>
      <c r="C175" s="11" t="inlineStr">
        <is>
          <t>설비·정비</t>
        </is>
      </c>
      <c r="D175" s="11" t="inlineStr">
        <is>
          <t>repairs/fastgrind-로더-유압실린더-파손-2026-08-11.md</t>
        </is>
      </c>
      <c r="E175" s="11" t="n">
        <v>242</v>
      </c>
      <c r="F175" s="11" t="inlineStr">
        <is>
          <t>미확정</t>
        </is>
      </c>
      <c r="G175" s="11" t="inlineStr">
        <is>
          <t>2026-08-12</t>
        </is>
      </c>
      <c r="H175" s="11" t="n">
        <v>60</v>
      </c>
      <c r="I175" s="11" t="n"/>
      <c r="J175"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175" s="10" t="inlineStr"/>
      <c r="L175" s="10" t="inlineStr"/>
      <c r="M175" s="10" t="inlineStr"/>
      <c r="N175" s="10" t="inlineStr"/>
    </row>
    <row r="176">
      <c r="A176" s="13" t="n">
        <v>173</v>
      </c>
      <c r="B176" s="13" t="inlineStr">
        <is>
          <t>C-일반</t>
        </is>
      </c>
      <c r="C176" s="8" t="inlineStr">
        <is>
          <t>설비·정비</t>
        </is>
      </c>
      <c r="D176" s="8" t="inlineStr">
        <is>
          <t>repairs/fastgrind-로더-유압실린더-파손-2026-08-11.md</t>
        </is>
      </c>
      <c r="E176" s="8" t="n">
        <v>23</v>
      </c>
      <c r="F176" s="8" t="inlineStr">
        <is>
          <t>확인 필요</t>
        </is>
      </c>
      <c r="G176" s="8" t="inlineStr">
        <is>
          <t>2026-08-13</t>
        </is>
      </c>
      <c r="H176" s="8" t="n">
        <v>59</v>
      </c>
      <c r="I176" s="8" t="n"/>
      <c r="J176"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176" s="10" t="inlineStr"/>
      <c r="L176" s="10" t="inlineStr"/>
      <c r="M176" s="10" t="inlineStr"/>
      <c r="N176" s="10" t="inlineStr"/>
    </row>
    <row r="177">
      <c r="A177" s="14" t="n">
        <v>174</v>
      </c>
      <c r="B177" s="14" t="inlineStr">
        <is>
          <t>C-일반</t>
        </is>
      </c>
      <c r="C177" s="11" t="inlineStr">
        <is>
          <t>설비·정비</t>
        </is>
      </c>
      <c r="D177" s="11" t="inlineStr">
        <is>
          <t>repairs/fastgrind-로더-유압실린더-파손-2026-08-11.md</t>
        </is>
      </c>
      <c r="E177" s="11" t="n">
        <v>25</v>
      </c>
      <c r="F177" s="11" t="inlineStr">
        <is>
          <t>확인 필요</t>
        </is>
      </c>
      <c r="G177" s="11" t="inlineStr">
        <is>
          <t>2026-08-13</t>
        </is>
      </c>
      <c r="H177" s="11" t="n">
        <v>59</v>
      </c>
      <c r="I177" s="11" t="n"/>
      <c r="J177"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177" s="10" t="inlineStr"/>
      <c r="L177" s="10" t="inlineStr"/>
      <c r="M177" s="10" t="inlineStr"/>
      <c r="N177" s="10" t="inlineStr"/>
    </row>
    <row r="178">
      <c r="A178" s="13" t="n">
        <v>175</v>
      </c>
      <c r="B178" s="13" t="inlineStr">
        <is>
          <t>C-일반</t>
        </is>
      </c>
      <c r="C178" s="8" t="inlineStr">
        <is>
          <t>설비·정비</t>
        </is>
      </c>
      <c r="D178" s="8" t="inlineStr">
        <is>
          <t>repairs/fastgrind-로더-유압실린더-파손-2026-08-11.md</t>
        </is>
      </c>
      <c r="E178" s="8" t="n">
        <v>42</v>
      </c>
      <c r="F178" s="8" t="inlineStr">
        <is>
          <t>확인 필요</t>
        </is>
      </c>
      <c r="G178" s="8" t="inlineStr">
        <is>
          <t>2026-08-13</t>
        </is>
      </c>
      <c r="H178" s="8" t="n">
        <v>59</v>
      </c>
      <c r="I178" s="8" t="n"/>
      <c r="J178"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178" s="10" t="inlineStr"/>
      <c r="L178" s="10" t="inlineStr"/>
      <c r="M178" s="10" t="inlineStr"/>
      <c r="N178" s="10" t="inlineStr"/>
    </row>
    <row r="179">
      <c r="A179" s="14" t="n">
        <v>176</v>
      </c>
      <c r="B179" s="14" t="inlineStr">
        <is>
          <t>C-일반</t>
        </is>
      </c>
      <c r="C179" s="11" t="inlineStr">
        <is>
          <t>설비·정비</t>
        </is>
      </c>
      <c r="D179" s="11" t="inlineStr">
        <is>
          <t>repairs/fastgrind-로더-유압실린더-파손-2026-08-11.md</t>
        </is>
      </c>
      <c r="E179" s="11" t="n">
        <v>43</v>
      </c>
      <c r="F179" s="11" t="inlineStr">
        <is>
          <t>미확정</t>
        </is>
      </c>
      <c r="G179" s="11" t="inlineStr">
        <is>
          <t>2026-08-13</t>
        </is>
      </c>
      <c r="H179" s="11" t="n">
        <v>59</v>
      </c>
      <c r="I179" s="11" t="n"/>
      <c r="J179"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179" s="10" t="inlineStr"/>
      <c r="L179" s="10" t="inlineStr"/>
      <c r="M179" s="10" t="inlineStr"/>
      <c r="N179" s="10" t="inlineStr"/>
    </row>
    <row r="180">
      <c r="A180" s="13" t="n">
        <v>177</v>
      </c>
      <c r="B180" s="13" t="inlineStr">
        <is>
          <t>C-일반</t>
        </is>
      </c>
      <c r="C180" s="8" t="inlineStr">
        <is>
          <t>설비·정비</t>
        </is>
      </c>
      <c r="D180" s="8" t="inlineStr">
        <is>
          <t>repairs/fastgrind-로더-유압실린더-파손-2026-08-11.md</t>
        </is>
      </c>
      <c r="E180" s="8" t="n">
        <v>109</v>
      </c>
      <c r="F180" s="8" t="inlineStr">
        <is>
          <t>확인 필요</t>
        </is>
      </c>
      <c r="G180" s="8" t="inlineStr">
        <is>
          <t>2026-08-13</t>
        </is>
      </c>
      <c r="H180" s="8" t="n">
        <v>59</v>
      </c>
      <c r="I180" s="8" t="n"/>
      <c r="J180"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180" s="10" t="inlineStr"/>
      <c r="L180" s="10" t="inlineStr"/>
      <c r="M180" s="10" t="inlineStr"/>
      <c r="N180" s="10" t="inlineStr"/>
    </row>
    <row r="181">
      <c r="A181" s="14" t="n">
        <v>178</v>
      </c>
      <c r="B181" s="14" t="inlineStr">
        <is>
          <t>C-일반</t>
        </is>
      </c>
      <c r="C181" s="11" t="inlineStr">
        <is>
          <t>설비·정비</t>
        </is>
      </c>
      <c r="D181" s="11" t="inlineStr">
        <is>
          <t>repairs/fastgrind-로더-유압실린더-파손-2026-08-11.md</t>
        </is>
      </c>
      <c r="E181" s="11" t="n">
        <v>134</v>
      </c>
      <c r="F181" s="11" t="inlineStr">
        <is>
          <t>확인 필요</t>
        </is>
      </c>
      <c r="G181" s="11" t="inlineStr">
        <is>
          <t>2026-08-13</t>
        </is>
      </c>
      <c r="H181" s="11" t="n">
        <v>59</v>
      </c>
      <c r="I181" s="11" t="n"/>
      <c r="J181"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181" s="10" t="inlineStr"/>
      <c r="L181" s="10" t="inlineStr"/>
      <c r="M181" s="10" t="inlineStr"/>
      <c r="N181" s="10" t="inlineStr"/>
    </row>
    <row r="182">
      <c r="A182" s="13" t="n">
        <v>179</v>
      </c>
      <c r="B182" s="13" t="inlineStr">
        <is>
          <t>C-일반</t>
        </is>
      </c>
      <c r="C182" s="8" t="inlineStr">
        <is>
          <t>설비·정비</t>
        </is>
      </c>
      <c r="D182" s="8" t="inlineStr">
        <is>
          <t>repairs/fastgrind-로더-유압실린더-파손-2026-08-11.md</t>
        </is>
      </c>
      <c r="E182" s="8" t="n">
        <v>158</v>
      </c>
      <c r="F182" s="8" t="inlineStr">
        <is>
          <t>확인 필요</t>
        </is>
      </c>
      <c r="G182" s="8" t="inlineStr">
        <is>
          <t>2026-08-13</t>
        </is>
      </c>
      <c r="H182" s="8" t="n">
        <v>59</v>
      </c>
      <c r="I182" s="8" t="n"/>
      <c r="J182"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182" s="10" t="inlineStr"/>
      <c r="L182" s="10" t="inlineStr"/>
      <c r="M182" s="10" t="inlineStr"/>
      <c r="N182" s="10" t="inlineStr"/>
    </row>
    <row r="183">
      <c r="A183" s="14" t="n">
        <v>180</v>
      </c>
      <c r="B183" s="14" t="inlineStr">
        <is>
          <t>C-일반</t>
        </is>
      </c>
      <c r="C183" s="11" t="inlineStr">
        <is>
          <t>설비·정비</t>
        </is>
      </c>
      <c r="D183" s="11" t="inlineStr">
        <is>
          <t>repairs/fastgrind-로더-유압실린더-파손-2026-08-11.md</t>
        </is>
      </c>
      <c r="E183" s="11" t="n">
        <v>231</v>
      </c>
      <c r="F183" s="11" t="inlineStr">
        <is>
          <t>확인 필요</t>
        </is>
      </c>
      <c r="G183" s="11" t="inlineStr">
        <is>
          <t>2026-08-13</t>
        </is>
      </c>
      <c r="H183" s="11" t="n">
        <v>59</v>
      </c>
      <c r="I183" s="11" t="n"/>
      <c r="J183"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183" s="10" t="inlineStr"/>
      <c r="L183" s="10" t="inlineStr"/>
      <c r="M183" s="10" t="inlineStr"/>
      <c r="N183" s="10" t="inlineStr"/>
    </row>
    <row r="184">
      <c r="A184" s="13" t="n">
        <v>181</v>
      </c>
      <c r="B184" s="13" t="inlineStr">
        <is>
          <t>C-일반</t>
        </is>
      </c>
      <c r="C184" s="8" t="inlineStr">
        <is>
          <t>설비·정비</t>
        </is>
      </c>
      <c r="D184" s="8" t="inlineStr">
        <is>
          <t>repairs/fastgrind-솔레노이드밸브-공기누설-2026-08-13.md</t>
        </is>
      </c>
      <c r="E184" s="8" t="n">
        <v>27</v>
      </c>
      <c r="F184" s="8" t="inlineStr">
        <is>
          <t>미확인</t>
        </is>
      </c>
      <c r="G184" s="8" t="inlineStr">
        <is>
          <t>2026-08-13</t>
        </is>
      </c>
      <c r="H184" s="8" t="n">
        <v>59</v>
      </c>
      <c r="I184" s="8" t="n"/>
      <c r="J184"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184" s="10" t="inlineStr"/>
      <c r="L184" s="10" t="inlineStr"/>
      <c r="M184" s="10" t="inlineStr"/>
      <c r="N184" s="10" t="inlineStr"/>
    </row>
    <row r="185">
      <c r="A185" s="14" t="n">
        <v>182</v>
      </c>
      <c r="B185" s="14" t="inlineStr">
        <is>
          <t>C-일반</t>
        </is>
      </c>
      <c r="C185" s="11" t="inlineStr">
        <is>
          <t>설비·정비</t>
        </is>
      </c>
      <c r="D185" s="11" t="inlineStr">
        <is>
          <t>repairs/gx7-로더-사용금지-2026-08-13.md</t>
        </is>
      </c>
      <c r="E185" s="11" t="n">
        <v>37</v>
      </c>
      <c r="F185" s="11" t="inlineStr">
        <is>
          <t>확인 필요</t>
        </is>
      </c>
      <c r="G185" s="11" t="inlineStr">
        <is>
          <t>2026-08-13</t>
        </is>
      </c>
      <c r="H185" s="11" t="n">
        <v>59</v>
      </c>
      <c r="I185" s="11" t="n"/>
      <c r="J185"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185" s="10" t="inlineStr"/>
      <c r="L185" s="10" t="inlineStr"/>
      <c r="M185" s="10" t="inlineStr"/>
      <c r="N185" s="10" t="inlineStr"/>
    </row>
    <row r="186">
      <c r="A186" s="13" t="n">
        <v>183</v>
      </c>
      <c r="B186" s="13" t="inlineStr">
        <is>
          <t>C-일반</t>
        </is>
      </c>
      <c r="C186" s="8" t="inlineStr">
        <is>
          <t>설비·정비</t>
        </is>
      </c>
      <c r="D186" s="8" t="inlineStr">
        <is>
          <t>repairs/gx7-에어필터-자체조달-2026-08-14.md</t>
        </is>
      </c>
      <c r="E186" s="8" t="n">
        <v>115</v>
      </c>
      <c r="F186" s="8" t="inlineStr">
        <is>
          <t>미확인</t>
        </is>
      </c>
      <c r="G186" s="8" t="inlineStr">
        <is>
          <t>2026-08-13</t>
        </is>
      </c>
      <c r="H186" s="8" t="n">
        <v>59</v>
      </c>
      <c r="I186" s="8" t="n"/>
      <c r="J186"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186" s="10" t="inlineStr"/>
      <c r="L186" s="10" t="inlineStr"/>
      <c r="M186" s="10" t="inlineStr"/>
      <c r="N186" s="10" t="inlineStr"/>
    </row>
    <row r="187">
      <c r="A187" s="14" t="n">
        <v>184</v>
      </c>
      <c r="B187" s="14" t="inlineStr">
        <is>
          <t>C-일반</t>
        </is>
      </c>
      <c r="C187" s="11" t="inlineStr">
        <is>
          <t>설비·정비</t>
        </is>
      </c>
      <c r="D187" s="11" t="inlineStr">
        <is>
          <t>repairs/fastgrind-로더-유압실린더-파손-2026-08-11.md</t>
        </is>
      </c>
      <c r="E187" s="11" t="n">
        <v>14</v>
      </c>
      <c r="F187" s="11" t="inlineStr">
        <is>
          <t>확인 필요</t>
        </is>
      </c>
      <c r="G187" s="11" t="inlineStr">
        <is>
          <t>2026-08-14</t>
        </is>
      </c>
      <c r="H187" s="11" t="n">
        <v>58</v>
      </c>
      <c r="I187" s="11" t="n"/>
      <c r="J187"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187" s="10" t="inlineStr"/>
      <c r="L187" s="10" t="inlineStr"/>
      <c r="M187" s="10" t="inlineStr"/>
      <c r="N187" s="10" t="inlineStr"/>
    </row>
    <row r="188">
      <c r="A188" s="13" t="n">
        <v>185</v>
      </c>
      <c r="B188" s="13" t="inlineStr">
        <is>
          <t>C-일반</t>
        </is>
      </c>
      <c r="C188" s="8" t="inlineStr">
        <is>
          <t>설비·정비</t>
        </is>
      </c>
      <c r="D188" s="8" t="inlineStr">
        <is>
          <t>repairs/fastgrind-로더-유압실린더-파손-2026-08-11.md</t>
        </is>
      </c>
      <c r="E188" s="8" t="n">
        <v>47</v>
      </c>
      <c r="F188" s="8" t="inlineStr">
        <is>
          <t>확인 필요</t>
        </is>
      </c>
      <c r="G188" s="8" t="inlineStr">
        <is>
          <t>2026-08-14</t>
        </is>
      </c>
      <c r="H188" s="8" t="n">
        <v>58</v>
      </c>
      <c r="I188" s="8" t="n"/>
      <c r="J188"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188" s="10" t="inlineStr"/>
      <c r="L188" s="10" t="inlineStr"/>
      <c r="M188" s="10" t="inlineStr"/>
      <c r="N188" s="10" t="inlineStr"/>
    </row>
    <row r="189">
      <c r="A189" s="14" t="n">
        <v>186</v>
      </c>
      <c r="B189" s="14" t="inlineStr">
        <is>
          <t>C-일반</t>
        </is>
      </c>
      <c r="C189" s="11" t="inlineStr">
        <is>
          <t>설비·정비</t>
        </is>
      </c>
      <c r="D189" s="11" t="inlineStr">
        <is>
          <t>repairs/fastgrind-솔레노이드밸브-공기누설-2026-08-13.md</t>
        </is>
      </c>
      <c r="E189" s="11" t="n">
        <v>149</v>
      </c>
      <c r="F189" s="11" t="inlineStr">
        <is>
          <t>미판독</t>
        </is>
      </c>
      <c r="G189" s="11" t="inlineStr">
        <is>
          <t>2026-08-14</t>
        </is>
      </c>
      <c r="H189" s="11" t="n">
        <v>58</v>
      </c>
      <c r="I189" s="11" t="n"/>
      <c r="J189"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189" s="10" t="inlineStr"/>
      <c r="L189" s="10" t="inlineStr"/>
      <c r="M189" s="10" t="inlineStr"/>
      <c r="N189" s="10" t="inlineStr"/>
    </row>
    <row r="190">
      <c r="A190" s="13" t="n">
        <v>187</v>
      </c>
      <c r="B190" s="13" t="inlineStr">
        <is>
          <t>C-일반</t>
        </is>
      </c>
      <c r="C190" s="8" t="inlineStr">
        <is>
          <t>설비·정비</t>
        </is>
      </c>
      <c r="D190" s="8" t="inlineStr">
        <is>
          <t>repairs/gx7-로더-사용금지-2026-08-13.md</t>
        </is>
      </c>
      <c r="E190" s="8" t="n">
        <v>14</v>
      </c>
      <c r="F190" s="8" t="inlineStr">
        <is>
          <t>확인 필요</t>
        </is>
      </c>
      <c r="G190" s="8" t="inlineStr">
        <is>
          <t>2026-08-14</t>
        </is>
      </c>
      <c r="H190" s="8" t="n">
        <v>58</v>
      </c>
      <c r="I190" s="8" t="n"/>
      <c r="J190"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190" s="10" t="inlineStr"/>
      <c r="L190" s="10" t="inlineStr"/>
      <c r="M190" s="10" t="inlineStr"/>
      <c r="N190" s="10" t="inlineStr"/>
    </row>
    <row r="191">
      <c r="A191" s="14" t="n">
        <v>188</v>
      </c>
      <c r="B191" s="14" t="inlineStr">
        <is>
          <t>C-일반</t>
        </is>
      </c>
      <c r="C191" s="11" t="inlineStr">
        <is>
          <t>설비·정비</t>
        </is>
      </c>
      <c r="D191" s="11" t="inlineStr">
        <is>
          <t>repairs/gx7-에어필터-자체조달-2026-08-14.md</t>
        </is>
      </c>
      <c r="E191" s="11" t="n">
        <v>25</v>
      </c>
      <c r="F191" s="11" t="inlineStr">
        <is>
          <t>확인 필요</t>
        </is>
      </c>
      <c r="G191" s="11" t="inlineStr">
        <is>
          <t>2026-08-14</t>
        </is>
      </c>
      <c r="H191" s="11" t="n">
        <v>58</v>
      </c>
      <c r="I191" s="11" t="n"/>
      <c r="J191" s="12" t="inlineStr">
        <is>
          <t>교체 계기(증상)·주문 수량·구매처·입고일을 확인 필요로 등재 | —</t>
        </is>
      </c>
      <c r="K191" s="10" t="inlineStr"/>
      <c r="L191" s="10" t="inlineStr"/>
      <c r="M191" s="10" t="inlineStr"/>
      <c r="N191" s="10" t="inlineStr"/>
    </row>
    <row r="192">
      <c r="A192" s="13" t="n">
        <v>189</v>
      </c>
      <c r="B192" s="13" t="inlineStr">
        <is>
          <t>C-일반</t>
        </is>
      </c>
      <c r="C192" s="8" t="inlineStr">
        <is>
          <t>설비·정비</t>
        </is>
      </c>
      <c r="D192" s="8" t="inlineStr">
        <is>
          <t>repairs/gx7-에어필터-자체조달-2026-08-14.md</t>
        </is>
      </c>
      <c r="E192" s="8" t="n">
        <v>47</v>
      </c>
      <c r="F192" s="8" t="inlineStr">
        <is>
          <t>확인 필요</t>
        </is>
      </c>
      <c r="G192" s="8" t="inlineStr">
        <is>
          <t>2026-08-14</t>
        </is>
      </c>
      <c r="H192" s="8" t="n">
        <v>58</v>
      </c>
      <c r="I192" s="8" t="n"/>
      <c r="J192"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192" s="10" t="inlineStr"/>
      <c r="L192" s="10" t="inlineStr"/>
      <c r="M192" s="10" t="inlineStr"/>
      <c r="N192" s="10" t="inlineStr"/>
    </row>
    <row r="193">
      <c r="A193" s="14" t="n">
        <v>190</v>
      </c>
      <c r="B193" s="14" t="inlineStr">
        <is>
          <t>C-일반</t>
        </is>
      </c>
      <c r="C193" s="11" t="inlineStr">
        <is>
          <t>설비·정비</t>
        </is>
      </c>
      <c r="D193" s="11" t="inlineStr">
        <is>
          <t>repairs/gx7-에어필터-자체조달-2026-08-14.md</t>
        </is>
      </c>
      <c r="E193" s="11" t="n">
        <v>99</v>
      </c>
      <c r="F193" s="11" t="inlineStr">
        <is>
          <t>확인 필요</t>
        </is>
      </c>
      <c r="G193" s="11" t="inlineStr">
        <is>
          <t>2026-08-14</t>
        </is>
      </c>
      <c r="H193" s="11" t="n">
        <v>58</v>
      </c>
      <c r="I193" s="11" t="n"/>
      <c r="J193" s="12" t="inlineStr">
        <is>
          <t>~~설정압력 범위(구 기재)~~ | ~~0.05~0.85 MPa (표준)~~ | 제조사 기준 | 병기 보존 — 2026-08-14 카탈로그 기재값. 라벨과 불일치하므로 적용하지 않음. 카탈로그의 타 사양·타 세대 값일 가능성(추정, 확인 필요)</t>
        </is>
      </c>
      <c r="K193" s="10" t="inlineStr"/>
      <c r="L193" s="10" t="inlineStr"/>
      <c r="M193" s="10" t="inlineStr"/>
      <c r="N193" s="10" t="inlineStr"/>
    </row>
    <row r="194">
      <c r="A194" s="13" t="n">
        <v>191</v>
      </c>
      <c r="B194" s="13" t="inlineStr">
        <is>
          <t>C-일반</t>
        </is>
      </c>
      <c r="C194" s="8" t="inlineStr">
        <is>
          <t>설비·정비</t>
        </is>
      </c>
      <c r="D194" s="8" t="inlineStr">
        <is>
          <t>repairs/gx7-에어필터-자체조달-2026-08-14.md</t>
        </is>
      </c>
      <c r="E194" s="8" t="n">
        <v>281</v>
      </c>
      <c r="F194" s="8" t="inlineStr">
        <is>
          <t>확인 필요</t>
        </is>
      </c>
      <c r="G194" s="8" t="inlineStr">
        <is>
          <t>2026-08-14</t>
        </is>
      </c>
      <c r="H194" s="8" t="n">
        <v>58</v>
      </c>
      <c r="I194" s="8" t="n"/>
      <c r="J194" s="9" t="inlineStr">
        <is>
          <t>카카오톡 사진 2건 (2026-08-14) | raw/CNC 정보/CNC 수리/GX7 에어 필터/KakaoTalk_20260814_095539122.jpg | 현장/부품 사진 — 미판독(내용 확인 필요)</t>
        </is>
      </c>
      <c r="K194" s="10" t="inlineStr"/>
      <c r="L194" s="10" t="inlineStr"/>
      <c r="M194" s="10" t="inlineStr"/>
      <c r="N194" s="10" t="inlineStr"/>
    </row>
    <row r="195">
      <c r="A195" s="14" t="n">
        <v>192</v>
      </c>
      <c r="B195" s="14" t="inlineStr">
        <is>
          <t>C-일반</t>
        </is>
      </c>
      <c r="C195" s="11" t="inlineStr">
        <is>
          <t>설비·정비</t>
        </is>
      </c>
      <c r="D195" s="11" t="inlineStr">
        <is>
          <t>repairs/gx7-에어필터-자체조달-2026-08-14.md</t>
        </is>
      </c>
      <c r="E195" s="11" t="n">
        <v>444</v>
      </c>
      <c r="F195" s="11" t="inlineStr">
        <is>
          <t>확인 필요</t>
        </is>
      </c>
      <c r="G195" s="11" t="inlineStr">
        <is>
          <t>2026-08-14</t>
        </is>
      </c>
      <c r="H195" s="11" t="n">
        <v>58</v>
      </c>
      <c r="I195" s="11" t="n"/>
      <c r="J195" s="12" t="inlineStr">
        <is>
          <t>기존 게이지를 재사용했으나 형번이 미판독입니다(2026-08-14 사진에도 형번은 판독 불가). 향후 교체·눈금 신뢰성 검토를 위해 형번 확인 권장(SMC G36-10-01 계열 추정 — 확인 필요).</t>
        </is>
      </c>
      <c r="K195" s="10" t="inlineStr"/>
      <c r="L195" s="10" t="inlineStr"/>
      <c r="M195" s="10" t="inlineStr"/>
      <c r="N195" s="10" t="inlineStr"/>
    </row>
    <row r="196">
      <c r="A196" s="13" t="n">
        <v>193</v>
      </c>
      <c r="B196" s="13" t="inlineStr">
        <is>
          <t>C-일반</t>
        </is>
      </c>
      <c r="C196" s="8" t="inlineStr">
        <is>
          <t>설비·정비</t>
        </is>
      </c>
      <c r="D196" s="8" t="inlineStr">
        <is>
          <t>repairs/과거-수리이력-백필-2021-2025.md</t>
        </is>
      </c>
      <c r="E196" s="8" t="n">
        <v>334</v>
      </c>
      <c r="F196" s="8" t="inlineStr">
        <is>
          <t>확인 필요</t>
        </is>
      </c>
      <c r="G196" s="8" t="inlineStr">
        <is>
          <t>2026-08-14</t>
        </is>
      </c>
      <c r="H196" s="8" t="n">
        <v>58</v>
      </c>
      <c r="I196" s="8" t="n"/>
      <c r="J196" s="9" t="inlineStr">
        <is>
          <t>§확인 필요: ①교체 계기(증상) ②부품 규격·형번 ③입고·장착일 ④2026-08-14 repairs/gx7-에어필터-자체조달-2026-08-14(GX7, SMC AW30-03BD-A)와 동일 부품인지 — 같다면 F/GX7 양쪽 에어필터가 1년 간격으로 교체된 것.</t>
        </is>
      </c>
      <c r="K196" s="10" t="inlineStr"/>
      <c r="L196" s="10" t="inlineStr"/>
      <c r="M196" s="10" t="inlineStr"/>
      <c r="N196" s="10" t="inlineStr"/>
    </row>
    <row r="197">
      <c r="A197" s="14" t="n">
        <v>194</v>
      </c>
      <c r="B197" s="14" t="inlineStr">
        <is>
          <t>C-일반</t>
        </is>
      </c>
      <c r="C197" s="11" t="inlineStr">
        <is>
          <t>설비·정비</t>
        </is>
      </c>
      <c r="D197" s="11" t="inlineStr">
        <is>
          <t>repairs/fastgrind-로더-유압실린더-파손-2026-08-11.md</t>
        </is>
      </c>
      <c r="E197" s="11" t="n">
        <v>233</v>
      </c>
      <c r="F197" s="11" t="inlineStr">
        <is>
          <t>확인 필요</t>
        </is>
      </c>
      <c r="G197" s="11" t="inlineStr">
        <is>
          <t>2026-08-18</t>
        </is>
      </c>
      <c r="H197" s="11" t="n">
        <v>54</v>
      </c>
      <c r="I197" s="11" t="n"/>
      <c r="J197" s="12"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197" s="10" t="inlineStr"/>
      <c r="L197" s="10" t="inlineStr"/>
      <c r="M197" s="10" t="inlineStr"/>
      <c r="N197" s="10" t="inlineStr"/>
    </row>
    <row r="198">
      <c r="A198" s="13" t="n">
        <v>195</v>
      </c>
      <c r="B198" s="13" t="inlineStr">
        <is>
          <t>C-일반</t>
        </is>
      </c>
      <c r="C198" s="8" t="inlineStr">
        <is>
          <t>설비</t>
        </is>
      </c>
      <c r="D198" s="8" t="inlineStr">
        <is>
          <t>machines/anca-cnc-tool-grinder.md</t>
        </is>
      </c>
      <c r="E198" s="8" t="n">
        <v>107</v>
      </c>
      <c r="F198" s="8" t="inlineStr">
        <is>
          <t>확인 필요</t>
        </is>
      </c>
      <c r="G198" s="8" t="inlineStr">
        <is>
          <t>2026-08-20</t>
        </is>
      </c>
      <c r="H198" s="8" t="n">
        <v>52</v>
      </c>
      <c r="I198" s="8" t="n"/>
      <c r="J198" s="9" t="inlineStr">
        <is>
          <t>✅ GX7 공기압 해소 (2026-08-20): RX7/GX7 User Manual §3에서 6.0 bar (88 psi) 확인 [제조사 기준]. F 장비(FastGrind)는 별도 매뉴얼 미확보로 여전히 확인 필요.</t>
        </is>
      </c>
      <c r="K198" s="10" t="inlineStr"/>
      <c r="L198" s="10" t="inlineStr"/>
      <c r="M198" s="10" t="inlineStr"/>
      <c r="N198" s="10" t="inlineStr"/>
    </row>
    <row r="199">
      <c r="A199" s="14" t="n">
        <v>196</v>
      </c>
      <c r="B199" s="14" t="inlineStr">
        <is>
          <t>C-일반</t>
        </is>
      </c>
      <c r="C199" s="11" t="inlineStr">
        <is>
          <t>설비</t>
        </is>
      </c>
      <c r="D199" s="11" t="inlineStr">
        <is>
          <t>machines/anca-cnc-tool-grinder.md</t>
        </is>
      </c>
      <c r="E199" s="11" t="n">
        <v>109</v>
      </c>
      <c r="F199" s="11" t="inlineStr">
        <is>
          <t>확인 필요</t>
        </is>
      </c>
      <c r="G199" s="11" t="inlineStr">
        <is>
          <t>2026-08-20</t>
        </is>
      </c>
      <c r="H199" s="11" t="n">
        <v>52</v>
      </c>
      <c r="I199" s="11" t="n"/>
      <c r="J199" s="12"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199" s="10" t="inlineStr"/>
      <c r="L199" s="10" t="inlineStr"/>
      <c r="M199" s="10" t="inlineStr"/>
      <c r="N199" s="10" t="inlineStr"/>
    </row>
    <row r="200">
      <c r="A200" s="13" t="n">
        <v>197</v>
      </c>
      <c r="B200" s="13" t="inlineStr">
        <is>
          <t>C-일반</t>
        </is>
      </c>
      <c r="C200" s="8" t="inlineStr">
        <is>
          <t>비교분석</t>
        </is>
      </c>
      <c r="D200" s="8" t="inlineStr">
        <is>
          <t>comparisons/홍익다이아-vs-이화다이아.md</t>
        </is>
      </c>
      <c r="E200" s="8" t="n">
        <v>287</v>
      </c>
      <c r="F200" s="8" t="inlineStr">
        <is>
          <t>미확인</t>
        </is>
      </c>
      <c r="G200" s="8" t="inlineStr">
        <is>
          <t>2026-08-21</t>
        </is>
      </c>
      <c r="H200" s="8" t="n">
        <v>51</v>
      </c>
      <c r="I200" s="8" t="n"/>
      <c r="J200" s="9"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00" s="10" t="inlineStr"/>
      <c r="L200" s="10" t="inlineStr"/>
      <c r="M200" s="10" t="inlineStr"/>
      <c r="N200" s="10" t="inlineStr"/>
    </row>
    <row r="201">
      <c r="A201" s="14" t="n">
        <v>198</v>
      </c>
      <c r="B201" s="14" t="inlineStr">
        <is>
          <t>C-일반</t>
        </is>
      </c>
      <c r="C201" s="11" t="inlineStr">
        <is>
          <t>법규</t>
        </is>
      </c>
      <c r="D201" s="11" t="inlineStr">
        <is>
          <t>compliance/작업환경측정.md</t>
        </is>
      </c>
      <c r="E201" s="11" t="n">
        <v>52</v>
      </c>
      <c r="F201" s="11" t="inlineStr">
        <is>
          <t>확인 필요</t>
        </is>
      </c>
      <c r="G201" s="11" t="inlineStr">
        <is>
          <t>2026-08-21</t>
        </is>
      </c>
      <c r="H201" s="11" t="n">
        <v>51</v>
      </c>
      <c r="I201" s="11" t="n"/>
      <c r="J201" s="12" t="inlineStr">
        <is>
          <t>하반기 | 2026-08-21 (1일) | ㈜에스엠작업환경측정센터 | 확인 필요 | 확인 필요 | ⚠️ 미측정 가능성 (§3.2 정정) | ⏳ 수령 대기</t>
        </is>
      </c>
      <c r="K201" s="10" t="inlineStr"/>
      <c r="L201" s="10" t="inlineStr"/>
      <c r="M201" s="10" t="inlineStr"/>
      <c r="N201" s="10" t="inlineStr"/>
    </row>
    <row r="202">
      <c r="A202" s="13" t="n">
        <v>199</v>
      </c>
      <c r="B202" s="13" t="inlineStr">
        <is>
          <t>C-일반</t>
        </is>
      </c>
      <c r="C202" s="8" t="inlineStr">
        <is>
          <t>공구·휠</t>
        </is>
      </c>
      <c r="D202" s="8" t="inlineStr">
        <is>
          <t>tools/wheels/catalog/이화다이아-카탈로그.md</t>
        </is>
      </c>
      <c r="E202" s="8" t="n">
        <v>386</v>
      </c>
      <c r="F202" s="8" t="inlineStr">
        <is>
          <t>미해결</t>
        </is>
      </c>
      <c r="G202" s="8" t="inlineStr">
        <is>
          <t>2026-08-21</t>
        </is>
      </c>
      <c r="H202" s="8" t="n">
        <v>51</v>
      </c>
      <c r="I202" s="8" t="n"/>
      <c r="J202" s="9"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02" s="10" t="inlineStr"/>
      <c r="L202" s="10" t="inlineStr"/>
      <c r="M202" s="10" t="inlineStr"/>
      <c r="N202" s="10" t="inlineStr"/>
    </row>
    <row r="203">
      <c r="A203" s="14" t="n">
        <v>200</v>
      </c>
      <c r="B203" s="14" t="inlineStr">
        <is>
          <t>C-일반</t>
        </is>
      </c>
      <c r="C203" s="11" t="inlineStr">
        <is>
          <t>공구·휠</t>
        </is>
      </c>
      <c r="D203" s="11" t="inlineStr">
        <is>
          <t>tools/wheels/스택-1-2.md</t>
        </is>
      </c>
      <c r="E203" s="11" t="n">
        <v>103</v>
      </c>
      <c r="F203" s="11" t="inlineStr">
        <is>
          <t>미확정</t>
        </is>
      </c>
      <c r="G203" s="11" t="inlineStr">
        <is>
          <t>2026-08-21</t>
        </is>
      </c>
      <c r="H203" s="11" t="n">
        <v>51</v>
      </c>
      <c r="I203" s="11" t="n"/>
      <c r="J203" s="12" t="inlineStr">
        <is>
          <t xml:space="preserve">⚠️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 확보 전까지 4,584 rpm / 30.0 m/s 행은 사용하지 말 것. </t>
        </is>
      </c>
      <c r="K203" s="10" t="inlineStr"/>
      <c r="L203" s="10" t="inlineStr"/>
      <c r="M203" s="10" t="inlineStr"/>
      <c r="N203" s="10" t="inlineStr"/>
    </row>
    <row r="204">
      <c r="A204" s="13" t="n">
        <v>201</v>
      </c>
      <c r="B204" s="13" t="inlineStr">
        <is>
          <t>C-일반</t>
        </is>
      </c>
      <c r="C204" s="8" t="inlineStr">
        <is>
          <t>공구·휠</t>
        </is>
      </c>
      <c r="D204" s="8" t="inlineStr">
        <is>
          <t>tools/wheels/홍익다이아-발주체크리스트-원통연마.md</t>
        </is>
      </c>
      <c r="E204" s="8" t="n">
        <v>179</v>
      </c>
      <c r="F204" s="8" t="inlineStr">
        <is>
          <t>확인 필요</t>
        </is>
      </c>
      <c r="G204" s="8" t="inlineStr">
        <is>
          <t>2026-08-24</t>
        </is>
      </c>
      <c r="H204" s="8" t="n">
        <v>48</v>
      </c>
      <c r="I204" s="8" t="n"/>
      <c r="J204" s="9" t="inlineStr">
        <is>
          <t>⚠️ 「2026-08-24 문의에 회신이 없다」는 발송 기록이 없습니다 — 08-24 에 있었던 일은 초안 작성입니다. 위키 밖 문의 가능성이 남아 [확인 필요] 로 둡니다. 상세: decisions.md 2026-09-11 (2) ①.</t>
        </is>
      </c>
      <c r="K204" s="10" t="inlineStr"/>
      <c r="L204" s="10" t="inlineStr"/>
      <c r="M204" s="10" t="inlineStr"/>
      <c r="N204" s="10" t="inlineStr"/>
    </row>
    <row r="205">
      <c r="A205" s="14" t="n">
        <v>202</v>
      </c>
      <c r="B205" s="14" t="inlineStr">
        <is>
          <t>C-일반</t>
        </is>
      </c>
      <c r="C205" s="11" t="inlineStr">
        <is>
          <t>설비·정비</t>
        </is>
      </c>
      <c r="D205" s="11" t="inlineStr">
        <is>
          <t>repairs/README.md</t>
        </is>
      </c>
      <c r="E205" s="11" t="n">
        <v>33</v>
      </c>
      <c r="F205" s="11" t="inlineStr">
        <is>
          <t>확인 필요</t>
        </is>
      </c>
      <c r="G205" s="11" t="inlineStr">
        <is>
          <t>2026-08-25</t>
        </is>
      </c>
      <c r="H205" s="11" t="n">
        <v>47</v>
      </c>
      <c r="I205" s="11" t="n"/>
      <c r="J205" s="12" t="inlineStr">
        <is>
          <t>raw/CNC 정보/CNC 수리/에 사진·견적서·발주서로만 남아 있던 12건을 1차 등재했습니다. 대부분 증상·조치·완료일이 확인 필요 상태입니다.</t>
        </is>
      </c>
      <c r="K205" s="10" t="inlineStr"/>
      <c r="L205" s="10" t="inlineStr"/>
      <c r="M205" s="10" t="inlineStr"/>
      <c r="N205" s="10" t="inlineStr"/>
    </row>
    <row r="206">
      <c r="A206" s="13" t="n">
        <v>203</v>
      </c>
      <c r="B206" s="13" t="inlineStr">
        <is>
          <t>C-일반</t>
        </is>
      </c>
      <c r="C206" s="8" t="inlineStr">
        <is>
          <t>설비·정비</t>
        </is>
      </c>
      <c r="D206" s="8" t="inlineStr">
        <is>
          <t>repairs/fastgrind-솔레노이드밸브-공기누설-2026-08-13.md</t>
        </is>
      </c>
      <c r="E206" s="8" t="n">
        <v>25</v>
      </c>
      <c r="F206" s="8" t="inlineStr">
        <is>
          <t>확인 필요</t>
        </is>
      </c>
      <c r="G206" s="8" t="inlineStr">
        <is>
          <t>2026-08-25</t>
        </is>
      </c>
      <c r="H206" s="8" t="n">
        <v>47</v>
      </c>
      <c r="I206" s="8" t="n"/>
      <c r="J206" s="9" t="inlineStr">
        <is>
          <t>확인 필요 | 실제 누설이 발생한 유닛이 COLLET 1과 COLLET 2 중 어느 쪽인지(또는 둘 다인지) | 현장 확인 필요</t>
        </is>
      </c>
      <c r="K206" s="10" t="inlineStr"/>
      <c r="L206" s="10" t="inlineStr"/>
      <c r="M206" s="10" t="inlineStr"/>
      <c r="N206" s="10" t="inlineStr"/>
    </row>
    <row r="207">
      <c r="A207" s="14" t="n">
        <v>204</v>
      </c>
      <c r="B207" s="14" t="inlineStr">
        <is>
          <t>C-일반</t>
        </is>
      </c>
      <c r="C207" s="11" t="inlineStr">
        <is>
          <t>설비·정비</t>
        </is>
      </c>
      <c r="D207" s="11" t="inlineStr">
        <is>
          <t>repairs/fastgrind-솔레노이드밸브-공기누설-2026-08-13.md</t>
        </is>
      </c>
      <c r="E207" s="11" t="n">
        <v>41</v>
      </c>
      <c r="F207" s="11" t="inlineStr">
        <is>
          <t>미확정</t>
        </is>
      </c>
      <c r="G207" s="11" t="inlineStr">
        <is>
          <t>2026-08-25</t>
        </is>
      </c>
      <c r="H207" s="11" t="n">
        <v>47</v>
      </c>
      <c r="I207" s="11" t="n"/>
      <c r="J207" s="12" t="inlineStr">
        <is>
          <t>증상 | 공기 누설 [신뢰도: 사내 확인 — 청취/육안, 정밀 누설 지점은 미확정]</t>
        </is>
      </c>
      <c r="K207" s="10" t="inlineStr"/>
      <c r="L207" s="10" t="inlineStr"/>
      <c r="M207" s="10" t="inlineStr"/>
      <c r="N207" s="10" t="inlineStr"/>
    </row>
    <row r="208">
      <c r="A208" s="13" t="n">
        <v>205</v>
      </c>
      <c r="B208" s="13" t="inlineStr">
        <is>
          <t>C-일반</t>
        </is>
      </c>
      <c r="C208" s="8" t="inlineStr">
        <is>
          <t>설비·정비</t>
        </is>
      </c>
      <c r="D208" s="8" t="inlineStr">
        <is>
          <t>repairs/fastgrind-솔레노이드밸브-공기누설-2026-08-13.md</t>
        </is>
      </c>
      <c r="E208" s="8" t="n">
        <v>78</v>
      </c>
      <c r="F208" s="8" t="inlineStr">
        <is>
          <t>확인 필요</t>
        </is>
      </c>
      <c r="G208" s="8" t="inlineStr">
        <is>
          <t>2026-08-25</t>
        </is>
      </c>
      <c r="H208" s="8" t="n">
        <v>47</v>
      </c>
      <c r="I208" s="8" t="n"/>
      <c r="J208" s="9"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08" s="10" t="inlineStr"/>
      <c r="L208" s="10" t="inlineStr"/>
      <c r="M208" s="10" t="inlineStr"/>
      <c r="N208" s="10" t="inlineStr"/>
    </row>
    <row r="209">
      <c r="A209" s="14" t="n">
        <v>206</v>
      </c>
      <c r="B209" s="14" t="inlineStr">
        <is>
          <t>C-일반</t>
        </is>
      </c>
      <c r="C209" s="11" t="inlineStr">
        <is>
          <t>설비·정비</t>
        </is>
      </c>
      <c r="D209" s="11" t="inlineStr">
        <is>
          <t>repairs/fastgrind-솔레노이드밸브-공기누설-2026-08-13.md</t>
        </is>
      </c>
      <c r="E209" s="11" t="n">
        <v>89</v>
      </c>
      <c r="F209" s="11" t="inlineStr">
        <is>
          <t>확인 필요</t>
        </is>
      </c>
      <c r="G209" s="11" t="inlineStr">
        <is>
          <t>2026-08-25</t>
        </is>
      </c>
      <c r="H209" s="11" t="n">
        <v>47</v>
      </c>
      <c r="I209" s="11" t="n"/>
      <c r="J209" s="12" t="inlineStr">
        <is>
          <t>마운팅 나사 재체결 — ⚠️ 권장 체결 토크는 데이터시트에 명시되지 않음(확인 필요). 과다 토크 시 하우징(다이캐스트 알루미늄) 손상 우려.</t>
        </is>
      </c>
      <c r="K209" s="10" t="inlineStr"/>
      <c r="L209" s="10" t="inlineStr"/>
      <c r="M209" s="10" t="inlineStr"/>
      <c r="N209" s="10" t="inlineStr"/>
    </row>
    <row r="210">
      <c r="A210" s="13" t="n">
        <v>207</v>
      </c>
      <c r="B210" s="13" t="inlineStr">
        <is>
          <t>C-일반</t>
        </is>
      </c>
      <c r="C210" s="8" t="inlineStr">
        <is>
          <t>설비·정비</t>
        </is>
      </c>
      <c r="D210" s="8" t="inlineStr">
        <is>
          <t>repairs/fastgrind-솔레노이드밸브-공기누설-2026-08-13.md</t>
        </is>
      </c>
      <c r="E210" s="8" t="n">
        <v>112</v>
      </c>
      <c r="F210" s="8" t="inlineStr">
        <is>
          <t>미확정</t>
        </is>
      </c>
      <c r="G210" s="8" t="inlineStr">
        <is>
          <t>2026-08-25</t>
        </is>
      </c>
      <c r="H210" s="8" t="n">
        <v>47</v>
      </c>
      <c r="I210" s="8" t="n"/>
      <c r="J210" s="9" t="inlineStr">
        <is>
          <t>§3-9 비눗물 재확인 실시 여부 | 절차상 신품 장착부 누설 재확인 단계. "작동 이상 없음"이 기능 확인인지 누설 재확인까지 포함인지 미확정</t>
        </is>
      </c>
      <c r="K210" s="10" t="inlineStr"/>
      <c r="L210" s="10" t="inlineStr"/>
      <c r="M210" s="10" t="inlineStr"/>
      <c r="N210" s="10" t="inlineStr"/>
    </row>
    <row r="211">
      <c r="A211" s="14" t="n">
        <v>208</v>
      </c>
      <c r="B211" s="14" t="inlineStr">
        <is>
          <t>C-일반</t>
        </is>
      </c>
      <c r="C211" s="11" t="inlineStr">
        <is>
          <t>설비·정비</t>
        </is>
      </c>
      <c r="D211" s="11" t="inlineStr">
        <is>
          <t>repairs/fastgrind-솔레노이드밸브-공기누설-2026-08-13.md</t>
        </is>
      </c>
      <c r="E211" s="11" t="n">
        <v>120</v>
      </c>
      <c r="F211" s="11" t="inlineStr">
        <is>
          <t>확인 필요</t>
        </is>
      </c>
      <c r="G211" s="11" t="inlineStr">
        <is>
          <t>2026-08-25</t>
        </is>
      </c>
      <c r="H211" s="11" t="n">
        <v>47</v>
      </c>
      <c r="I211" s="11" t="n"/>
      <c r="J211" s="12"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211" s="10" t="inlineStr"/>
      <c r="L211" s="10" t="inlineStr"/>
      <c r="M211" s="10" t="inlineStr"/>
      <c r="N211" s="10" t="inlineStr"/>
    </row>
    <row r="212">
      <c r="A212" s="13" t="n">
        <v>209</v>
      </c>
      <c r="B212" s="13" t="inlineStr">
        <is>
          <t>C-일반</t>
        </is>
      </c>
      <c r="C212" s="8" t="inlineStr">
        <is>
          <t>설비·정비</t>
        </is>
      </c>
      <c r="D212" s="8" t="inlineStr">
        <is>
          <t>repairs/fastgrind-솔레노이드밸브-공기누설-2026-08-13.md</t>
        </is>
      </c>
      <c r="E212" s="8" t="n">
        <v>122</v>
      </c>
      <c r="F212" s="8" t="inlineStr">
        <is>
          <t>확인 필요</t>
        </is>
      </c>
      <c r="G212" s="8" t="inlineStr">
        <is>
          <t>2026-08-25</t>
        </is>
      </c>
      <c r="H212" s="8" t="n">
        <v>47</v>
      </c>
      <c r="I212" s="8" t="n"/>
      <c r="J212" s="9" t="inlineStr">
        <is>
          <t>잠재 원인 관련성 (확인 필요)</t>
        </is>
      </c>
      <c r="K212" s="10" t="inlineStr"/>
      <c r="L212" s="10" t="inlineStr"/>
      <c r="M212" s="10" t="inlineStr"/>
      <c r="N212" s="10" t="inlineStr"/>
    </row>
    <row r="213">
      <c r="A213" s="14" t="n">
        <v>210</v>
      </c>
      <c r="B213" s="14" t="inlineStr">
        <is>
          <t>C-일반</t>
        </is>
      </c>
      <c r="C213" s="11" t="inlineStr">
        <is>
          <t>설비·정비</t>
        </is>
      </c>
      <c r="D213" s="11" t="inlineStr">
        <is>
          <t>repairs/fastgrind-솔레노이드밸브-공기누설-2026-08-13.md</t>
        </is>
      </c>
      <c r="E213" s="11" t="n">
        <v>125</v>
      </c>
      <c r="F213" s="11" t="inlineStr">
        <is>
          <t>확인 필요</t>
        </is>
      </c>
      <c r="G213" s="11" t="inlineStr">
        <is>
          <t>2026-08-25</t>
        </is>
      </c>
      <c r="H213" s="11" t="n">
        <v>47</v>
      </c>
      <c r="I213" s="11" t="n"/>
      <c r="J213" s="12" t="inlineStr">
        <is>
          <t>NBR 실이 수분·오염물질에 장기간 노출되면 팽윤·경화로 밀폐력이 저하되어 누설을 유발할 수 있음(일반 재료공학 지식) [신뢰도: 추정값 — 인과관계 미확정, 확인 필요].</t>
        </is>
      </c>
      <c r="K213" s="10" t="inlineStr"/>
      <c r="L213" s="10" t="inlineStr"/>
      <c r="M213" s="10" t="inlineStr"/>
      <c r="N213" s="10" t="inlineStr"/>
    </row>
    <row r="214">
      <c r="A214" s="13" t="n">
        <v>211</v>
      </c>
      <c r="B214" s="13" t="inlineStr">
        <is>
          <t>C-일반</t>
        </is>
      </c>
      <c r="C214" s="8" t="inlineStr">
        <is>
          <t>설비·정비</t>
        </is>
      </c>
      <c r="D214" s="8" t="inlineStr">
        <is>
          <t>repairs/fastgrind-솔레노이드밸브-공기누설-2026-08-13.md</t>
        </is>
      </c>
      <c r="E214" s="8" t="n">
        <v>132</v>
      </c>
      <c r="F214" s="8" t="inlineStr">
        <is>
          <t>확인 필요</t>
        </is>
      </c>
      <c r="G214" s="8" t="inlineStr">
        <is>
          <t>2026-08-25</t>
        </is>
      </c>
      <c r="H214" s="8" t="n">
        <v>47</v>
      </c>
      <c r="I214" s="8" t="n"/>
      <c r="J214" s="9" t="inlineStr">
        <is>
          <t>해외 유통 채널(DigiKey, RS Online, Power/Mation, Coast Pneumatics 등)에도 196911 재고가 확인되나, 정품 인증·국내 반입 리드타임은 별도 확인 필요.</t>
        </is>
      </c>
      <c r="K214" s="10" t="inlineStr"/>
      <c r="L214" s="10" t="inlineStr"/>
      <c r="M214" s="10" t="inlineStr"/>
      <c r="N214" s="10" t="inlineStr"/>
    </row>
    <row r="215">
      <c r="A215" s="14" t="n">
        <v>212</v>
      </c>
      <c r="B215" s="14" t="inlineStr">
        <is>
          <t>C-일반</t>
        </is>
      </c>
      <c r="C215" s="11" t="inlineStr">
        <is>
          <t>설비·정비</t>
        </is>
      </c>
      <c r="D215" s="11" t="inlineStr">
        <is>
          <t>repairs/gx7-에어필터-자체조달-2026-08-14.md</t>
        </is>
      </c>
      <c r="E215" s="11" t="n">
        <v>27</v>
      </c>
      <c r="F215" s="11" t="inlineStr">
        <is>
          <t>확인 필요</t>
        </is>
      </c>
      <c r="G215" s="11" t="inlineStr">
        <is>
          <t>2026-08-25</t>
        </is>
      </c>
      <c r="H215" s="11" t="n">
        <v>47</v>
      </c>
      <c r="I215" s="11" t="n"/>
      <c r="J215" s="12"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215" s="10" t="inlineStr"/>
      <c r="L215" s="10" t="inlineStr"/>
      <c r="M215" s="10" t="inlineStr"/>
      <c r="N215" s="10" t="inlineStr"/>
    </row>
    <row r="216">
      <c r="A216" s="13" t="n">
        <v>213</v>
      </c>
      <c r="B216" s="13" t="inlineStr">
        <is>
          <t>C-일반</t>
        </is>
      </c>
      <c r="C216" s="8" t="inlineStr">
        <is>
          <t>설비·정비</t>
        </is>
      </c>
      <c r="D216" s="8" t="inlineStr">
        <is>
          <t>repairs/과거-수리이력-백필-2021-2025.md</t>
        </is>
      </c>
      <c r="E216" s="8" t="n">
        <v>292</v>
      </c>
      <c r="F216" s="8" t="inlineStr">
        <is>
          <t>미확정</t>
        </is>
      </c>
      <c r="G216" s="8" t="inlineStr">
        <is>
          <t>2026-08-25</t>
        </is>
      </c>
      <c r="H216" s="8" t="n">
        <v>47</v>
      </c>
      <c r="I216" s="8" t="n"/>
      <c r="J216" s="9" t="inlineStr">
        <is>
          <t>① | 실제 원인 | 미확정 유지 — 다만 2026-08-25 실증으로 「공급압 부족」 비중 상승, 아래 ★ 참조</t>
        </is>
      </c>
      <c r="K216" s="10" t="inlineStr"/>
      <c r="L216" s="10" t="inlineStr"/>
      <c r="M216" s="10" t="inlineStr"/>
      <c r="N216" s="10" t="inlineStr"/>
    </row>
    <row r="217">
      <c r="A217" s="14" t="n">
        <v>214</v>
      </c>
      <c r="B217" s="14" t="inlineStr">
        <is>
          <t>C-일반</t>
        </is>
      </c>
      <c r="C217" s="11" t="inlineStr">
        <is>
          <t>설비·정비</t>
        </is>
      </c>
      <c r="D217" s="11" t="inlineStr">
        <is>
          <t>repairs/과거-수리이력-백필-2021-2025.md</t>
        </is>
      </c>
      <c r="E217" s="11" t="n">
        <v>296</v>
      </c>
      <c r="F217" s="11" t="inlineStr">
        <is>
          <t>확인 필요</t>
        </is>
      </c>
      <c r="G217" s="11" t="inlineStr">
        <is>
          <t>2026-08-25</t>
        </is>
      </c>
      <c r="H217" s="11" t="n">
        <v>47</v>
      </c>
      <c r="I217" s="11" t="n"/>
      <c r="J217" s="12" t="inlineStr">
        <is>
          <t>④ | 설비 특정 | 확인 필요 유지 — F/G 미확정. ALM 0408이 스핀들 퍼지 경보이고 2026-08-25 재발은 GX7이나, 2025-08 건의 설비는 확인되지 않았다. 추정하지 않는다</t>
        </is>
      </c>
      <c r="K217" s="10" t="inlineStr"/>
      <c r="L217" s="10" t="inlineStr"/>
      <c r="M217" s="10" t="inlineStr"/>
      <c r="N217" s="10" t="inlineStr"/>
    </row>
    <row r="218">
      <c r="A218" s="13" t="n">
        <v>215</v>
      </c>
      <c r="B218" s="13" t="inlineStr">
        <is>
          <t>C-일반</t>
        </is>
      </c>
      <c r="C218" s="8" t="inlineStr">
        <is>
          <t>설비·정비</t>
        </is>
      </c>
      <c r="D218" s="8" t="inlineStr">
        <is>
          <t>repairs/과거-수리이력-백필-2021-2025.md</t>
        </is>
      </c>
      <c r="E218" s="8" t="n">
        <v>317</v>
      </c>
      <c r="F218" s="8" t="inlineStr">
        <is>
          <t>확인 필요</t>
        </is>
      </c>
      <c r="G218" s="8" t="inlineStr">
        <is>
          <t>2026-08-25</t>
        </is>
      </c>
      <c r="H218" s="8" t="n">
        <v>47</v>
      </c>
      <c r="I218" s="8" t="n"/>
      <c r="J218" s="9"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218" s="10" t="inlineStr"/>
      <c r="L218" s="10" t="inlineStr"/>
      <c r="M218" s="10" t="inlineStr"/>
      <c r="N218" s="10" t="inlineStr"/>
    </row>
    <row r="219">
      <c r="A219" s="14" t="n">
        <v>216</v>
      </c>
      <c r="B219" s="14" t="inlineStr">
        <is>
          <t>C-일반</t>
        </is>
      </c>
      <c r="C219" s="11" t="inlineStr">
        <is>
          <t>프로젝트</t>
        </is>
      </c>
      <c r="D219" s="11" t="inlineStr">
        <is>
          <t>projects/ANCA-장비-투자-생산력강화-검토.md</t>
        </is>
      </c>
      <c r="E219" s="11" t="n">
        <v>137</v>
      </c>
      <c r="F219" s="11" t="inlineStr">
        <is>
          <t>확인 필요</t>
        </is>
      </c>
      <c r="G219" s="11" t="inlineStr">
        <is>
          <t>2026-08-28</t>
        </is>
      </c>
      <c r="H219" s="11" t="n">
        <v>44</v>
      </c>
      <c r="I219" s="11" t="n"/>
      <c r="J219" s="12"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219" s="10" t="inlineStr"/>
      <c r="L219" s="10" t="inlineStr"/>
      <c r="M219" s="10" t="inlineStr"/>
      <c r="N219" s="10" t="inlineStr"/>
    </row>
    <row r="220">
      <c r="A220" s="13" t="n">
        <v>217</v>
      </c>
      <c r="B220" s="13" t="inlineStr">
        <is>
          <t>C-일반</t>
        </is>
      </c>
      <c r="C220" s="8" t="inlineStr">
        <is>
          <t>스크립트</t>
        </is>
      </c>
      <c r="D220" s="8" t="inlineStr">
        <is>
          <t>scripts/github-token-발급-체크리스트.md</t>
        </is>
      </c>
      <c r="E220" s="8" t="n">
        <v>169</v>
      </c>
      <c r="F220" s="8" t="inlineStr">
        <is>
          <t>미해결</t>
        </is>
      </c>
      <c r="G220" s="8" t="inlineStr">
        <is>
          <t>2026-08-28</t>
        </is>
      </c>
      <c r="H220" s="8" t="n">
        <v>44</v>
      </c>
      <c r="I220" s="8" t="n"/>
      <c r="J220" s="9" t="inlineStr">
        <is>
          <t>_handoff/tasks — 미해결 과제</t>
        </is>
      </c>
      <c r="K220" s="10" t="inlineStr"/>
      <c r="L220" s="10" t="inlineStr"/>
      <c r="M220" s="10" t="inlineStr"/>
      <c r="N220" s="10" t="inlineStr"/>
    </row>
    <row r="221">
      <c r="A221" s="14" t="n">
        <v>218</v>
      </c>
      <c r="B221" s="14" t="inlineStr">
        <is>
          <t>C-일반</t>
        </is>
      </c>
      <c r="C221" s="11" t="inlineStr">
        <is>
          <t>공구·휠</t>
        </is>
      </c>
      <c r="D221" s="11" t="inlineStr">
        <is>
          <t>tools/wheels/스택-1-2.md</t>
        </is>
      </c>
      <c r="E221" s="11" t="n">
        <v>97</v>
      </c>
      <c r="F221" s="11" t="inlineStr">
        <is>
          <t>미확인</t>
        </is>
      </c>
      <c r="G221" s="11" t="inlineStr">
        <is>
          <t>2026-08-28</t>
        </is>
      </c>
      <c r="H221" s="11" t="n">
        <v>44</v>
      </c>
      <c r="I221" s="11" t="n"/>
      <c r="J221" s="12" t="inlineStr">
        <is>
          <t>~~✅ 스택 1-2는 Ø125 휠을 4,000 rpm으로 운용 시 26.2 m/s — 권장 구간 안정적 달성.~~ ← 2026-08-28 철회 (실사용 미확인 상태에서의 서술이었음)</t>
        </is>
      </c>
      <c r="K221" s="10" t="inlineStr"/>
      <c r="L221" s="10" t="inlineStr"/>
      <c r="M221" s="10" t="inlineStr"/>
      <c r="N221" s="10" t="inlineStr"/>
    </row>
    <row r="222">
      <c r="A222" s="13" t="n">
        <v>219</v>
      </c>
      <c r="B222" s="13" t="inlineStr">
        <is>
          <t>C-일반</t>
        </is>
      </c>
      <c r="C222" s="8" t="inlineStr">
        <is>
          <t>설비·정비</t>
        </is>
      </c>
      <c r="D222" s="8" t="inlineStr">
        <is>
          <t>repairs/과거-수리이력-백필-2021-2025.md</t>
        </is>
      </c>
      <c r="E222" s="8" t="n">
        <v>288</v>
      </c>
      <c r="F222" s="8" t="inlineStr">
        <is>
          <t>확인 필요</t>
        </is>
      </c>
      <c r="G222" s="8" t="inlineStr">
        <is>
          <t>2026-08-31</t>
        </is>
      </c>
      <c r="H222" s="8" t="n">
        <v>41</v>
      </c>
      <c r="I222" s="8" t="n"/>
      <c r="J222" s="9" t="inlineStr">
        <is>
          <t>§확인 필요 — 2026-08-31 갱신 [신뢰도: 사내 확인 — 한경준님]</t>
        </is>
      </c>
      <c r="K222" s="10" t="inlineStr"/>
      <c r="L222" s="10" t="inlineStr"/>
      <c r="M222" s="10" t="inlineStr"/>
      <c r="N222" s="10" t="inlineStr"/>
    </row>
    <row r="223">
      <c r="A223" s="14" t="n">
        <v>220</v>
      </c>
      <c r="B223" s="14" t="inlineStr">
        <is>
          <t>C-일반</t>
        </is>
      </c>
      <c r="C223" s="11" t="inlineStr">
        <is>
          <t>표준</t>
        </is>
      </c>
      <c r="D223" s="11" t="inlineStr">
        <is>
          <t>standards/재연마-정가표-읽는법.md</t>
        </is>
      </c>
      <c r="E223" s="11" t="n">
        <v>233</v>
      </c>
      <c r="F223" s="11" t="inlineStr">
        <is>
          <t>확인 필요</t>
        </is>
      </c>
      <c r="G223" s="11" t="inlineStr">
        <is>
          <t>2026-09-02</t>
        </is>
      </c>
      <c r="H223" s="11" t="n">
        <v>39</v>
      </c>
      <c r="I223" s="11" t="n"/>
      <c r="J223" s="12" t="inlineStr">
        <is>
          <t>HSS E/M 외경연삭 F55 (2날 × 60이하) | 빈칸 | Ø60 (1건) | ⏳ 4날 F56에는 값이 있는데 2날 칸이 비어 있다. 값 확인 필요</t>
        </is>
      </c>
      <c r="K223" s="10" t="inlineStr"/>
      <c r="L223" s="10" t="inlineStr"/>
      <c r="M223" s="10" t="inlineStr"/>
      <c r="N223" s="10" t="inlineStr"/>
    </row>
    <row r="224">
      <c r="A224" s="13" t="n">
        <v>221</v>
      </c>
      <c r="B224" s="13" t="inlineStr">
        <is>
          <t>C-일반</t>
        </is>
      </c>
      <c r="C224" s="8" t="inlineStr">
        <is>
          <t>CAD/CAM</t>
        </is>
      </c>
      <c r="D224" s="8" t="inlineStr">
        <is>
          <t>cadcam/연삭-테스트-방법.md</t>
        </is>
      </c>
      <c r="E224" s="8" t="n">
        <v>392</v>
      </c>
      <c r="F224" s="8" t="inlineStr">
        <is>
          <t>확인 필요</t>
        </is>
      </c>
      <c r="G224" s="8" t="inlineStr">
        <is>
          <t>2026-09-09</t>
        </is>
      </c>
      <c r="H224" s="8" t="n">
        <v>32</v>
      </c>
      <c r="I224" s="8" t="n"/>
      <c r="J224" s="9" t="inlineStr">
        <is>
          <t>ISO 12413:2019 — *Bonded abrasive products — Safety requirements*. §6.6 Vmax 표시 의무. ⚠️ 2026-09-09 정정 — 적용범위가 초지립을 제외한다 [STD-EN12413]. 보통 연삭재 전용이며 보유 휠에는 비적용. 번호 자체도 확인 필요(실재 확인된 것은 EN 12413:2019).</t>
        </is>
      </c>
      <c r="K224" s="10" t="inlineStr"/>
      <c r="L224" s="10" t="inlineStr"/>
      <c r="M224" s="10" t="inlineStr"/>
      <c r="N224" s="10" t="inlineStr"/>
    </row>
    <row r="225">
      <c r="A225" s="14" t="n">
        <v>222</v>
      </c>
      <c r="B225" s="14" t="inlineStr">
        <is>
          <t>C-일반</t>
        </is>
      </c>
      <c r="C225" s="11" t="inlineStr">
        <is>
          <t>보고</t>
        </is>
      </c>
      <c r="D225" s="11" t="inlineStr">
        <is>
          <t>reports/05_검증·노트/ANCA-사내적용-체크리스트-2026-05.md</t>
        </is>
      </c>
      <c r="E225" s="11" t="n">
        <v>348</v>
      </c>
      <c r="F225" s="11" t="inlineStr">
        <is>
          <t>확인 필요</t>
        </is>
      </c>
      <c r="G225" s="11" t="inlineStr">
        <is>
          <t>2026-09-09</t>
        </is>
      </c>
      <c r="H225" s="11" t="n">
        <v>32</v>
      </c>
      <c r="I225" s="11" t="n"/>
      <c r="J225" s="12" t="inlineStr">
        <is>
          <t>[STD-ISO12413] ISO 12413:2019 — *Bonded abrasive products: Safety requirements*. 휠 Vmax 의무. ⚠️ 2026-09-09 정정 — 적용범위가 초지립을 제외하므로 보유 휠(레진 초지립)에는 비적용 [STD-EN12413]. 번호 자체도 확인 필요.</t>
        </is>
      </c>
      <c r="K225" s="10" t="inlineStr"/>
      <c r="L225" s="10" t="inlineStr"/>
      <c r="M225" s="10" t="inlineStr"/>
      <c r="N225" s="10" t="inlineStr"/>
    </row>
    <row r="226">
      <c r="A226" s="13" t="n">
        <v>223</v>
      </c>
      <c r="B226" s="13" t="inlineStr">
        <is>
          <t>C-일반</t>
        </is>
      </c>
      <c r="C226" s="8" t="inlineStr">
        <is>
          <t>보고</t>
        </is>
      </c>
      <c r="D226" s="8" t="inlineStr">
        <is>
          <t>reports/05_검증·노트/ISO_표준_참조집.md</t>
        </is>
      </c>
      <c r="E226" s="8" t="n">
        <v>147</v>
      </c>
      <c r="F226" s="8" t="inlineStr">
        <is>
          <t>확인 필요</t>
        </is>
      </c>
      <c r="G226" s="8" t="inlineStr">
        <is>
          <t>2026-09-09</t>
        </is>
      </c>
      <c r="H226" s="8" t="n">
        <v>32</v>
      </c>
      <c r="I226" s="8" t="n"/>
      <c r="J226" s="9" t="inlineStr">
        <is>
          <t>⚠️ 번호·링크 확인 필요 (2026-09-09): 본 문서는 72906, sources.md 는 74698 로 서로 다른 링크를 달고 있고 후자는 404 다. 검색으로도 ISO 판이 확인되지 않는다. 실재가 확인되는 것은 EN 12413:2019(CEN) 뿐. ISO 판이 없다고 단정하지 않는다 — 확인 필요.</t>
        </is>
      </c>
      <c r="K226" s="10" t="inlineStr"/>
      <c r="L226" s="10" t="inlineStr"/>
      <c r="M226" s="10" t="inlineStr"/>
      <c r="N226" s="10" t="inlineStr"/>
    </row>
    <row r="227">
      <c r="A227" s="14" t="n">
        <v>224</v>
      </c>
      <c r="B227" s="14" t="inlineStr">
        <is>
          <t>C-일반</t>
        </is>
      </c>
      <c r="C227" s="11" t="inlineStr">
        <is>
          <t>보고</t>
        </is>
      </c>
      <c r="D227" s="11" t="inlineStr">
        <is>
          <t>reports/05_검증·노트/휠RPM-정책-검증-노트.md</t>
        </is>
      </c>
      <c r="E227" s="11" t="n">
        <v>238</v>
      </c>
      <c r="F227" s="11" t="inlineStr">
        <is>
          <t>확인 필요</t>
        </is>
      </c>
      <c r="G227" s="11" t="inlineStr">
        <is>
          <t>2026-09-09</t>
        </is>
      </c>
      <c r="H227" s="11" t="n">
        <v>32</v>
      </c>
      <c r="I227" s="11" t="n"/>
      <c r="J227" s="12" t="inlineStr">
        <is>
          <t>b. ISO 12413:2019 — *Bonded abrasive products: Safety requirements*. §6.6 Vmax 표시 의무. ⚠️ 2026-09-09 정정 — 적용범위가 초지립을 제외하므로 보유 휠에는 비적용 [STD-EN12413]. 번호 자체도 확인 필요. (보존)</t>
        </is>
      </c>
      <c r="K227" s="10" t="inlineStr"/>
      <c r="L227" s="10" t="inlineStr"/>
      <c r="M227" s="10" t="inlineStr"/>
      <c r="N227" s="10" t="inlineStr"/>
    </row>
    <row r="228">
      <c r="A228" s="13" t="n">
        <v>225</v>
      </c>
      <c r="B228" s="13" t="inlineStr">
        <is>
          <t>C-일반</t>
        </is>
      </c>
      <c r="C228" s="8" t="inlineStr">
        <is>
          <t>공구·휠</t>
        </is>
      </c>
      <c r="D228" s="8" t="inlineStr">
        <is>
          <t>tools/wheels/catalog/이화다이아-카탈로그.md</t>
        </is>
      </c>
      <c r="E228" s="8" t="n">
        <v>319</v>
      </c>
      <c r="F228" s="8" t="inlineStr">
        <is>
          <t>확인 필요</t>
        </is>
      </c>
      <c r="G228" s="8" t="inlineStr">
        <is>
          <t>2026-09-09</t>
        </is>
      </c>
      <c r="H228" s="8" t="n">
        <v>32</v>
      </c>
      <c r="I228" s="8" t="n"/>
      <c r="J228" s="9" t="inlineStr">
        <is>
          <t>⚠️ 2026-09-09 정정 — 12413 은 적용범위가 초지립(다이아몬드·CBN)을 제외하므로 보유 휠(레진 초지립)에는 적용되지 않는다 [STD-EN12413]. 초지립 적용 표준은 EN 13236:2019 [STD-EN13236], 제품 표기 요건은 oSa [STD-OSA-SUPER-MARK]. ISO 12413 이라는 번호 자체도 확인 필요(iso.org 링크 404, 실재 확인된 것은 EN 판). 기존 인용은 삭제하지 않고 보존. 상세: decisions.md 2026-09-09 (3).</t>
        </is>
      </c>
      <c r="K228" s="10" t="inlineStr"/>
      <c r="L228" s="10" t="inlineStr"/>
      <c r="M228" s="10" t="inlineStr"/>
      <c r="N228" s="10" t="inlineStr"/>
    </row>
    <row r="229">
      <c r="A229" s="14" t="n">
        <v>226</v>
      </c>
      <c r="B229" s="14" t="inlineStr">
        <is>
          <t>C-일반</t>
        </is>
      </c>
      <c r="C229" s="11" t="inlineStr">
        <is>
          <t>설비·정비</t>
        </is>
      </c>
      <c r="D229" s="11" t="inlineStr">
        <is>
          <t>repairs/gx7-에어필터-자체조달-2026-08-14.md</t>
        </is>
      </c>
      <c r="E229" s="11" t="n">
        <v>30</v>
      </c>
      <c r="F229" s="11" t="inlineStr">
        <is>
          <t>확인 필요</t>
        </is>
      </c>
      <c r="G229" s="11" t="inlineStr">
        <is>
          <t>2026-09-11</t>
        </is>
      </c>
      <c r="H229" s="11" t="n">
        <v>30</v>
      </c>
      <c r="I229" s="11" t="n"/>
      <c r="J229" s="12" t="inlineStr">
        <is>
          <t>확인 필요 | 사내 교체 주기 기준(개월 또는 가동시간)이 문서화돼 있지 않음 — "정기 교체"의 판단 근거와 다음 교체 예정일 산정 불가 | §7-4 참조</t>
        </is>
      </c>
      <c r="K229" s="10" t="inlineStr"/>
      <c r="L229" s="10" t="inlineStr"/>
      <c r="M229" s="10" t="inlineStr"/>
      <c r="N229" s="10" t="inlineStr"/>
    </row>
    <row r="230">
      <c r="A230" s="13" t="n">
        <v>227</v>
      </c>
      <c r="B230" s="13" t="inlineStr">
        <is>
          <t>C-일반</t>
        </is>
      </c>
      <c r="C230" s="8" t="inlineStr">
        <is>
          <t>설비·정비</t>
        </is>
      </c>
      <c r="D230" s="8" t="inlineStr">
        <is>
          <t>repairs/gx7-에어필터-자체조달-2026-08-14.md</t>
        </is>
      </c>
      <c r="E230" s="8" t="n">
        <v>49</v>
      </c>
      <c r="F230" s="8" t="inlineStr">
        <is>
          <t>확인 필요</t>
        </is>
      </c>
      <c r="G230" s="8" t="inlineStr">
        <is>
          <t>2026-09-11</t>
        </is>
      </c>
      <c r="H230" s="8" t="n">
        <v>30</v>
      </c>
      <c r="I230" s="8" t="n"/>
      <c r="J230" s="9" t="inlineStr">
        <is>
          <t>⚠️ 여전히 확인 필요: 주문 수량, 실제 구매처(정품 유통 여부), 부품 입고일, 교체 후 설정압력 재조정 값, 사내 교체 주기 기준.</t>
        </is>
      </c>
      <c r="K230" s="10" t="inlineStr"/>
      <c r="L230" s="10" t="inlineStr"/>
      <c r="M230" s="10" t="inlineStr"/>
      <c r="N230" s="10" t="inlineStr"/>
    </row>
    <row r="231">
      <c r="A231" s="14" t="n">
        <v>228</v>
      </c>
      <c r="B231" s="14" t="inlineStr">
        <is>
          <t>C-일반</t>
        </is>
      </c>
      <c r="C231" s="11" t="inlineStr">
        <is>
          <t>설비·정비</t>
        </is>
      </c>
      <c r="D231" s="11" t="inlineStr">
        <is>
          <t>repairs/gx7-에어필터-자체조달-2026-08-14.md</t>
        </is>
      </c>
      <c r="E231" s="11" t="n">
        <v>61</v>
      </c>
      <c r="F231" s="11" t="inlineStr">
        <is>
          <t>확인 필요</t>
        </is>
      </c>
      <c r="G231" s="11" t="inlineStr">
        <is>
          <t>2026-09-11</t>
        </is>
      </c>
      <c r="H231" s="11" t="n">
        <v>30</v>
      </c>
      <c r="I231" s="11" t="n"/>
      <c r="J231" s="12" t="inlineStr">
        <is>
          <t>인증 표기 | G · QU (사각 프레임) | 의미 미확정 — 확인 필요</t>
        </is>
      </c>
      <c r="K231" s="10" t="inlineStr"/>
      <c r="L231" s="10" t="inlineStr"/>
      <c r="M231" s="10" t="inlineStr"/>
      <c r="N231" s="10" t="inlineStr"/>
    </row>
    <row r="232">
      <c r="A232" s="13" t="n">
        <v>229</v>
      </c>
      <c r="B232" s="13" t="inlineStr">
        <is>
          <t>C-일반</t>
        </is>
      </c>
      <c r="C232" s="8" t="inlineStr">
        <is>
          <t>설비·정비</t>
        </is>
      </c>
      <c r="D232" s="8" t="inlineStr">
        <is>
          <t>repairs/gx7-에어필터-자체조달-2026-08-14.md</t>
        </is>
      </c>
      <c r="E232" s="8" t="n">
        <v>80</v>
      </c>
      <c r="F232" s="8" t="inlineStr">
        <is>
          <t>미판독</t>
        </is>
      </c>
      <c r="G232" s="8" t="inlineStr">
        <is>
          <t>2026-09-11</t>
        </is>
      </c>
      <c r="H232" s="8" t="n">
        <v>30</v>
      </c>
      <c r="I232" s="8" t="n"/>
      <c r="J232" s="9" t="inlineStr">
        <is>
          <t>압력게이지 | 형번 미판독 | 설정압 표시. 기존 것을 재사용(신품 AW30에 미포함 — 별매) [신뢰도: 사내 확인] | 🆕</t>
        </is>
      </c>
      <c r="K232" s="10" t="inlineStr"/>
      <c r="L232" s="10" t="inlineStr"/>
      <c r="M232" s="10" t="inlineStr"/>
      <c r="N232" s="10" t="inlineStr"/>
    </row>
    <row r="233">
      <c r="A233" s="14" t="n">
        <v>230</v>
      </c>
      <c r="B233" s="14" t="inlineStr">
        <is>
          <t>C-일반</t>
        </is>
      </c>
      <c r="C233" s="11" t="inlineStr">
        <is>
          <t>설비·정비</t>
        </is>
      </c>
      <c r="D233" s="11" t="inlineStr">
        <is>
          <t>repairs/gx7-에어필터-자체조달-2026-08-14.md</t>
        </is>
      </c>
      <c r="E233" s="11" t="n">
        <v>96</v>
      </c>
      <c r="F233" s="11" t="inlineStr">
        <is>
          <t>확인 필요</t>
        </is>
      </c>
      <c r="G233" s="11" t="inlineStr">
        <is>
          <t>2026-09-11</t>
        </is>
      </c>
      <c r="H233" s="11" t="n">
        <v>30</v>
      </c>
      <c r="I233" s="11" t="n"/>
      <c r="J233" s="12" t="inlineStr">
        <is>
          <t>포트 사이즈 | 3/8" (Rc3/8 추정) | 추정값 | SMC AW 포트코드 "03" = 3/8" 관례 — 실물 포트 실측은 미실시, 확인 필요</t>
        </is>
      </c>
      <c r="K233" s="10" t="inlineStr"/>
      <c r="L233" s="10" t="inlineStr"/>
      <c r="M233" s="10" t="inlineStr"/>
      <c r="N233" s="10" t="inlineStr"/>
    </row>
    <row r="234">
      <c r="A234" s="13" t="n">
        <v>231</v>
      </c>
      <c r="B234" s="13" t="inlineStr">
        <is>
          <t>C-일반</t>
        </is>
      </c>
      <c r="C234" s="8" t="inlineStr">
        <is>
          <t>설비·정비</t>
        </is>
      </c>
      <c r="D234" s="8" t="inlineStr">
        <is>
          <t>repairs/gx7-에어필터-자체조달-2026-08-14.md</t>
        </is>
      </c>
      <c r="E234" s="8" t="n">
        <v>105</v>
      </c>
      <c r="F234" s="8" t="inlineStr">
        <is>
          <t>확인 필요</t>
        </is>
      </c>
      <c r="G234" s="8" t="inlineStr">
        <is>
          <t>2026-09-11</t>
        </is>
      </c>
      <c r="H234" s="8" t="n">
        <v>30</v>
      </c>
      <c r="I234" s="8" t="n"/>
      <c r="J234" s="9" t="inlineStr">
        <is>
          <t>드레인 방식 | 형번 D = 플로트식 자동드레인(N.O.) | 제조사 기준 (카탈로그) | ~~자동 드레인 추정 / 확인 필요~~ → 2026-09-11 정정: 형번 해석은 카탈로그로 확정. 미확인으로 남는 것은 실물 작동 여부 — §7-3</t>
        </is>
      </c>
      <c r="K234" s="10" t="inlineStr"/>
      <c r="L234" s="10" t="inlineStr"/>
      <c r="M234" s="10" t="inlineStr"/>
      <c r="N234" s="10" t="inlineStr"/>
    </row>
    <row r="235">
      <c r="A235" s="14" t="n">
        <v>232</v>
      </c>
      <c r="B235" s="14" t="inlineStr">
        <is>
          <t>C-일반</t>
        </is>
      </c>
      <c r="C235" s="11" t="inlineStr">
        <is>
          <t>설비·정비</t>
        </is>
      </c>
      <c r="D235" s="11" t="inlineStr">
        <is>
          <t>repairs/gx7-에어필터-자체조달-2026-08-14.md</t>
        </is>
      </c>
      <c r="E235" s="11" t="n">
        <v>136</v>
      </c>
      <c r="F235" s="11" t="inlineStr">
        <is>
          <t>미확정</t>
        </is>
      </c>
      <c r="G235" s="11" t="inlineStr">
        <is>
          <t>2026-09-11</t>
        </is>
      </c>
      <c r="H235" s="11" t="n">
        <v>30</v>
      </c>
      <c r="I235" s="11" t="n"/>
      <c r="J235" s="12" t="inlineStr">
        <is>
          <t>압축공기 수분 혼입 이력과의 관련성 — 미확정 유지</t>
        </is>
      </c>
      <c r="K235" s="10" t="inlineStr"/>
      <c r="L235" s="10" t="inlineStr"/>
      <c r="M235" s="10" t="inlineStr"/>
      <c r="N235" s="10" t="inlineStr"/>
    </row>
    <row r="236">
      <c r="A236" s="13" t="n">
        <v>233</v>
      </c>
      <c r="B236" s="13" t="inlineStr">
        <is>
          <t>C-일반</t>
        </is>
      </c>
      <c r="C236" s="8" t="inlineStr">
        <is>
          <t>설비·정비</t>
        </is>
      </c>
      <c r="D236" s="8" t="inlineStr">
        <is>
          <t>repairs/gx7-에어필터-자체조달-2026-08-14.md</t>
        </is>
      </c>
      <c r="E236" s="8" t="n">
        <v>140</v>
      </c>
      <c r="F236" s="8" t="inlineStr">
        <is>
          <t>확인 필요</t>
        </is>
      </c>
      <c r="G236" s="8" t="inlineStr">
        <is>
          <t>2026-09-11</t>
        </is>
      </c>
      <c r="H236" s="8" t="n">
        <v>30</v>
      </c>
      <c r="I236" s="8" t="n"/>
      <c r="J236" s="9" t="inlineStr">
        <is>
          <t>그러나 이번 건은 예방정비이므로 고장 사례가 아니며, 위 §5-2의 이유로 인과관계 근거가 되지 못합니다. 기존 추정은 추정 그대로 유지하고 격상하지 않습니다 [신뢰도: 추정값 — 확인 필요].</t>
        </is>
      </c>
      <c r="K236" s="10" t="inlineStr"/>
      <c r="L236" s="10" t="inlineStr"/>
      <c r="M236" s="10" t="inlineStr"/>
      <c r="N236" s="10" t="inlineStr"/>
    </row>
    <row r="237">
      <c r="A237" s="14" t="n">
        <v>234</v>
      </c>
      <c r="B237" s="14" t="inlineStr">
        <is>
          <t>C-일반</t>
        </is>
      </c>
      <c r="C237" s="11" t="inlineStr">
        <is>
          <t>설비·정비</t>
        </is>
      </c>
      <c r="D237" s="11" t="inlineStr">
        <is>
          <t>repairs/gx7-에어필터-자체조달-2026-08-14.md</t>
        </is>
      </c>
      <c r="E237" s="11" t="n">
        <v>154</v>
      </c>
      <c r="F237" s="11" t="inlineStr">
        <is>
          <t>확인 필요</t>
        </is>
      </c>
      <c r="G237" s="11" t="inlineStr">
        <is>
          <t>2026-09-11</t>
        </is>
      </c>
      <c r="H237" s="11" t="n">
        <v>30</v>
      </c>
      <c r="I237" s="11" t="n"/>
      <c r="J237" s="12" t="inlineStr">
        <is>
          <t>⚠️ "약 0.7 MPa"는 게이지 눈금 육안 판독값입니다. 정밀 계측값이 아니므로 재현 시에는 경보 해소 여부로 확인하십시오 [신뢰도: 사내 확인 — 정밀도 확인 필요].</t>
        </is>
      </c>
      <c r="K237" s="10" t="inlineStr"/>
      <c r="L237" s="10" t="inlineStr"/>
      <c r="M237" s="10" t="inlineStr"/>
      <c r="N237" s="10" t="inlineStr"/>
    </row>
    <row r="238">
      <c r="A238" s="13" t="n">
        <v>235</v>
      </c>
      <c r="B238" s="13" t="inlineStr">
        <is>
          <t>C-일반</t>
        </is>
      </c>
      <c r="C238" s="8" t="inlineStr">
        <is>
          <t>설비·정비</t>
        </is>
      </c>
      <c r="D238" s="8" t="inlineStr">
        <is>
          <t>repairs/gx7-에어필터-자체조달-2026-08-14.md</t>
        </is>
      </c>
      <c r="E238" s="8" t="n">
        <v>258</v>
      </c>
      <c r="F238" s="8" t="inlineStr">
        <is>
          <t>확인 필요</t>
        </is>
      </c>
      <c r="G238" s="8" t="inlineStr">
        <is>
          <t>2026-09-11</t>
        </is>
      </c>
      <c r="H238" s="8" t="n">
        <v>30</v>
      </c>
      <c r="I238" s="8" t="n"/>
      <c r="J238" s="9" t="inlineStr">
        <is>
          <t>스핀들 퍼지 솔레노이드 SMC SYJ7120-5LOZ-01 사용압력 | 0.15~0.7 MPa | ⚠️ 상한에 도달(같은 공급 라인일 경우 — 확인 필요)</t>
        </is>
      </c>
      <c r="K238" s="10" t="inlineStr"/>
      <c r="L238" s="10" t="inlineStr"/>
      <c r="M238" s="10" t="inlineStr"/>
      <c r="N238" s="10" t="inlineStr"/>
    </row>
    <row r="239">
      <c r="A239" s="14" t="n">
        <v>236</v>
      </c>
      <c r="B239" s="14" t="inlineStr">
        <is>
          <t>C-일반</t>
        </is>
      </c>
      <c r="C239" s="11" t="inlineStr">
        <is>
          <t>설비·정비</t>
        </is>
      </c>
      <c r="D239" s="11" t="inlineStr">
        <is>
          <t>repairs/gx7-에어필터-자체조달-2026-08-14.md</t>
        </is>
      </c>
      <c r="E239" s="11" t="n">
        <v>307</v>
      </c>
      <c r="F239" s="11" t="inlineStr">
        <is>
          <t>확인 필요</t>
        </is>
      </c>
      <c r="G239" s="11" t="inlineStr">
        <is>
          <t>2026-09-11</t>
        </is>
      </c>
      <c r="H239" s="11" t="n">
        <v>30</v>
      </c>
      <c r="I239" s="11" t="n"/>
      <c r="J239" s="12" t="inlineStr">
        <is>
          <t>🟢 2026-09-11 정정 — 「형번 해석」은 이미 확보돼 있었습니다. SMC 카탈로그에 D = 플로트식 자동드레인(N.O.) 으로 명시돼 있고, 이는 2026-08-14 판독분으로 sources.md [VEN-SMC-AW30-03BD-A] 에 [제조사 기준]으로 이미 등재된 상태였습니다. 이 페이지가 그것을 활용하지 않고 「확인 필요」로만 두고 있었습니다.</t>
        </is>
      </c>
      <c r="K239" s="10" t="inlineStr"/>
      <c r="L239" s="10" t="inlineStr"/>
      <c r="M239" s="10" t="inlineStr"/>
      <c r="N239" s="10" t="inlineStr"/>
    </row>
    <row r="240">
      <c r="A240" s="13" t="n">
        <v>237</v>
      </c>
      <c r="B240" s="13" t="inlineStr">
        <is>
          <t>C-일반</t>
        </is>
      </c>
      <c r="C240" s="8" t="inlineStr">
        <is>
          <t>설비·정비</t>
        </is>
      </c>
      <c r="D240" s="8" t="inlineStr">
        <is>
          <t>repairs/gx7-에어필터-자체조달-2026-08-14.md</t>
        </is>
      </c>
      <c r="E240" s="8" t="n">
        <v>309</v>
      </c>
      <c r="F240" s="8" t="inlineStr">
        <is>
          <t>미확인</t>
        </is>
      </c>
      <c r="G240" s="8" t="inlineStr">
        <is>
          <t>2026-09-11</t>
        </is>
      </c>
      <c r="H240" s="8" t="n">
        <v>30</v>
      </c>
      <c r="I240" s="8" t="n"/>
      <c r="J240" s="9" t="inlineStr">
        <is>
          <t>⇒ 두 가지를 분리합니다: ①형번 해석 = 자동드레인 [제조사 기준, 확정] ②실물 작동 여부 = 미확인(사진으로 판정 불가).</t>
        </is>
      </c>
      <c r="K240" s="10" t="inlineStr"/>
      <c r="L240" s="10" t="inlineStr"/>
      <c r="M240" s="10" t="inlineStr"/>
      <c r="N240" s="10" t="inlineStr"/>
    </row>
    <row r="241">
      <c r="A241" s="14" t="n">
        <v>238</v>
      </c>
      <c r="B241" s="14" t="inlineStr">
        <is>
          <t>C-일반</t>
        </is>
      </c>
      <c r="C241" s="11" t="inlineStr">
        <is>
          <t>설비·정비</t>
        </is>
      </c>
      <c r="D241" s="11" t="inlineStr">
        <is>
          <t>repairs/gx7-에어필터-자체조달-2026-08-14.md</t>
        </is>
      </c>
      <c r="E241" s="11" t="n">
        <v>327</v>
      </c>
      <c r="F241" s="11" t="inlineStr">
        <is>
          <t>확인 필요</t>
        </is>
      </c>
      <c r="G241" s="11" t="inlineStr">
        <is>
          <t>2026-09-11</t>
        </is>
      </c>
      <c r="H241" s="11" t="n">
        <v>30</v>
      </c>
      <c r="I241" s="11" t="n"/>
      <c r="J241" s="12" t="inlineStr">
        <is>
          <t>사내 적용안(제안, 한경준님 확인 필요):</t>
        </is>
      </c>
      <c r="K241" s="10" t="inlineStr"/>
      <c r="L241" s="10" t="inlineStr"/>
      <c r="M241" s="10" t="inlineStr"/>
      <c r="N241" s="10" t="inlineStr"/>
    </row>
    <row r="242">
      <c r="A242" s="13" t="n">
        <v>239</v>
      </c>
      <c r="B242" s="13" t="inlineStr">
        <is>
          <t>C-일반</t>
        </is>
      </c>
      <c r="C242" s="8" t="inlineStr">
        <is>
          <t>설비·정비</t>
        </is>
      </c>
      <c r="D242" s="8" t="inlineStr">
        <is>
          <t>repairs/gx7-에어필터-자체조달-2026-08-14.md</t>
        </is>
      </c>
      <c r="E242" s="8" t="n">
        <v>331</v>
      </c>
      <c r="F242" s="8" t="inlineStr">
        <is>
          <t>미확인</t>
        </is>
      </c>
      <c r="G242" s="8" t="inlineStr">
        <is>
          <t>2026-09-11</t>
        </is>
      </c>
      <c r="H242" s="8" t="n">
        <v>30</v>
      </c>
      <c r="I242" s="8" t="n"/>
      <c r="J242" s="9" t="inlineStr">
        <is>
          <t>⚠️ 미확인 — 이번에 탈거한 구품 엘리먼트의 최초 장착일: 실제 사용 기간이 2년을 초과했었는지(제조사 기준 초과</t>
        </is>
      </c>
      <c r="K242" s="10" t="inlineStr"/>
      <c r="L242" s="10" t="inlineStr"/>
      <c r="M242" s="10" t="inlineStr"/>
      <c r="N242" s="10" t="inlineStr"/>
    </row>
    <row r="243">
      <c r="A243" s="14" t="n">
        <v>240</v>
      </c>
      <c r="B243" s="14" t="inlineStr">
        <is>
          <t>C-일반</t>
        </is>
      </c>
      <c r="C243" s="11" t="inlineStr">
        <is>
          <t>설비·정비</t>
        </is>
      </c>
      <c r="D243" s="11" t="inlineStr">
        <is>
          <t>repairs/gx7-에어필터-자체조달-2026-08-14.md</t>
        </is>
      </c>
      <c r="E243" s="11" t="n">
        <v>332</v>
      </c>
      <c r="F243" s="11" t="inlineStr">
        <is>
          <t>확인 필요</t>
        </is>
      </c>
      <c r="G243" s="11" t="inlineStr">
        <is>
          <t>2026-09-11</t>
        </is>
      </c>
      <c r="H243" s="11" t="n">
        <v>30</v>
      </c>
      <c r="I243" s="11" t="n"/>
      <c r="J243" s="12" t="inlineStr">
        <is>
          <t>사용) 대조할 사내 실사용 경험값이 없다. 탈거 시점 실측 사진·구매 이력에 설치일 기록이 없어 확인 필요로 남김</t>
        </is>
      </c>
      <c r="K243" s="10" t="inlineStr"/>
      <c r="L243" s="10" t="inlineStr"/>
      <c r="M243" s="10" t="inlineStr"/>
      <c r="N243" s="10" t="inlineStr"/>
    </row>
    <row r="244">
      <c r="A244" s="13" t="n">
        <v>241</v>
      </c>
      <c r="B244" s="13" t="inlineStr">
        <is>
          <t>C-일반</t>
        </is>
      </c>
      <c r="C244" s="8" t="inlineStr">
        <is>
          <t>설비·정비</t>
        </is>
      </c>
      <c r="D244" s="8" t="inlineStr">
        <is>
          <t>repairs/gx7-에어필터-자체조달-2026-08-14.md</t>
        </is>
      </c>
      <c r="E244" s="8" t="n">
        <v>335</v>
      </c>
      <c r="F244" s="8" t="inlineStr">
        <is>
          <t>확인 필요</t>
        </is>
      </c>
      <c r="G244" s="8" t="inlineStr">
        <is>
          <t>2026-09-11</t>
        </is>
      </c>
      <c r="H244" s="8" t="n">
        <v>30</v>
      </c>
      <c r="I244" s="8" t="n"/>
      <c r="J244" s="9" t="inlineStr">
        <is>
          <t>계산(단, F 장비 필터 형번이 GX7과 동일한 AW 시리즈인지 미확인 — 확인 필요).</t>
        </is>
      </c>
      <c r="K244" s="10" t="inlineStr"/>
      <c r="L244" s="10" t="inlineStr"/>
      <c r="M244" s="10" t="inlineStr"/>
      <c r="N244" s="10" t="inlineStr"/>
    </row>
    <row r="245">
      <c r="A245" s="14" t="n">
        <v>242</v>
      </c>
      <c r="B245" s="14" t="inlineStr">
        <is>
          <t>C-일반</t>
        </is>
      </c>
      <c r="C245" s="11" t="inlineStr">
        <is>
          <t>설비·정비</t>
        </is>
      </c>
      <c r="D245" s="11" t="inlineStr">
        <is>
          <t>repairs/gx7-에어필터-자체조달-2026-08-14.md</t>
        </is>
      </c>
      <c r="E245" s="11" t="n">
        <v>354</v>
      </c>
      <c r="F245" s="11" t="inlineStr">
        <is>
          <t>미확정</t>
        </is>
      </c>
      <c r="G245" s="11" t="inlineStr">
        <is>
          <t>2026-09-11</t>
        </is>
      </c>
      <c r="H245" s="11" t="n">
        <v>30</v>
      </c>
      <c r="I245" s="11" t="n"/>
      <c r="J245" s="12" t="inlineStr">
        <is>
          <t>⚠️ 다만 0.7이 왜 필요한지(§5-4 논점 ②)는 여전히 미확정입니다 — 마커 처리와는 별개 사안입니다.</t>
        </is>
      </c>
      <c r="K245" s="10" t="inlineStr"/>
      <c r="L245" s="10" t="inlineStr"/>
      <c r="M245" s="10" t="inlineStr"/>
      <c r="N245" s="10" t="inlineStr"/>
    </row>
    <row r="246">
      <c r="A246" s="13" t="n">
        <v>243</v>
      </c>
      <c r="B246" s="13" t="inlineStr">
        <is>
          <t>C-일반</t>
        </is>
      </c>
      <c r="C246" s="8" t="inlineStr">
        <is>
          <t>설비·정비</t>
        </is>
      </c>
      <c r="D246" s="8" t="inlineStr">
        <is>
          <t>repairs/gx7-에어필터-자체조달-2026-08-14.md</t>
        </is>
      </c>
      <c r="E246" s="8" t="n">
        <v>373</v>
      </c>
      <c r="F246" s="8" t="inlineStr">
        <is>
          <t>미확인</t>
        </is>
      </c>
      <c r="G246" s="8" t="inlineStr">
        <is>
          <t>2026-09-11</t>
        </is>
      </c>
      <c r="H246" s="8" t="n">
        <v>30</v>
      </c>
      <c r="I246" s="8" t="n"/>
      <c r="J246" s="9" t="inlineStr">
        <is>
          <t>압력 스위치 ON ← SMC ISE1-01-55L 로 추정 (계통도 미확인)</t>
        </is>
      </c>
      <c r="K246" s="10" t="inlineStr"/>
      <c r="L246" s="10" t="inlineStr"/>
      <c r="M246" s="10" t="inlineStr"/>
      <c r="N246" s="10" t="inlineStr"/>
    </row>
    <row r="247">
      <c r="A247" s="14" t="n">
        <v>244</v>
      </c>
      <c r="B247" s="14" t="inlineStr">
        <is>
          <t>C-일반</t>
        </is>
      </c>
      <c r="C247" s="11" t="inlineStr">
        <is>
          <t>설비·정비</t>
        </is>
      </c>
      <c r="D247" s="11" t="inlineStr">
        <is>
          <t>repairs/gx7-에어필터-자체조달-2026-08-14.md</t>
        </is>
      </c>
      <c r="E247" s="11" t="n">
        <v>386</v>
      </c>
      <c r="F247" s="11" t="inlineStr">
        <is>
          <t>미확인</t>
        </is>
      </c>
      <c r="G247" s="11" t="inlineStr">
        <is>
          <t>2026-09-11</t>
        </is>
      </c>
      <c r="H247" s="11" t="n">
        <v>30</v>
      </c>
      <c r="I247" s="11" t="n"/>
      <c r="J247" s="12" t="inlineStr">
        <is>
          <t>SMC ISE1-01-55L | 압력 스위치 — IPB113을 켠다 | 라벨 실측 / 이 회로가 맞는지 계통도 미확인</t>
        </is>
      </c>
      <c r="K247" s="10" t="inlineStr"/>
      <c r="L247" s="10" t="inlineStr"/>
      <c r="M247" s="10" t="inlineStr"/>
      <c r="N247" s="10" t="inlineStr"/>
    </row>
    <row r="248">
      <c r="A248" s="13" t="n">
        <v>245</v>
      </c>
      <c r="B248" s="13" t="inlineStr">
        <is>
          <t>C-일반</t>
        </is>
      </c>
      <c r="C248" s="8" t="inlineStr">
        <is>
          <t>설비·정비</t>
        </is>
      </c>
      <c r="D248" s="8" t="inlineStr">
        <is>
          <t>repairs/gx7-에어필터-자체조달-2026-08-14.md</t>
        </is>
      </c>
      <c r="E248" s="8" t="n">
        <v>433</v>
      </c>
      <c r="F248" s="8" t="inlineStr">
        <is>
          <t>미확인</t>
        </is>
      </c>
      <c r="G248" s="8" t="inlineStr">
        <is>
          <t>2026-09-11</t>
        </is>
      </c>
      <c r="H248" s="8" t="n">
        <v>30</v>
      </c>
      <c r="I248" s="8" t="n"/>
      <c r="J248" s="9" t="inlineStr">
        <is>
          <t>모델코드 끝 L | 의미 미확인 | 저압형은 ISE1L-…(L이 앞) — 끝자리 L과 다름. 저압형으로 단정하지 않음</t>
        </is>
      </c>
      <c r="K248" s="10" t="inlineStr"/>
      <c r="L248" s="10" t="inlineStr"/>
      <c r="M248" s="10" t="inlineStr"/>
      <c r="N248" s="10" t="inlineStr"/>
    </row>
    <row r="249">
      <c r="A249" s="14" t="n">
        <v>246</v>
      </c>
      <c r="B249" s="14" t="inlineStr">
        <is>
          <t>C-일반</t>
        </is>
      </c>
      <c r="C249" s="11" t="inlineStr">
        <is>
          <t>설비·정비</t>
        </is>
      </c>
      <c r="D249" s="11" t="inlineStr">
        <is>
          <t>repairs/gx7-에어필터-자체조달-2026-08-14.md</t>
        </is>
      </c>
      <c r="E249" s="11" t="n">
        <v>439</v>
      </c>
      <c r="F249" s="11" t="inlineStr">
        <is>
          <t>미판독</t>
        </is>
      </c>
      <c r="G249" s="11" t="inlineStr">
        <is>
          <t>2026-09-11</t>
        </is>
      </c>
      <c r="H249" s="11" t="n">
        <v>30</v>
      </c>
      <c r="I249" s="11" t="n"/>
      <c r="J249" s="12"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249" s="10" t="inlineStr"/>
      <c r="L249" s="10" t="inlineStr"/>
      <c r="M249" s="10" t="inlineStr"/>
      <c r="N249" s="10" t="inlineStr"/>
    </row>
    <row r="250">
      <c r="A250" s="13" t="n">
        <v>247</v>
      </c>
      <c r="B250" s="13" t="inlineStr">
        <is>
          <t>C-일반</t>
        </is>
      </c>
      <c r="C250" s="8" t="inlineStr">
        <is>
          <t>설비·정비</t>
        </is>
      </c>
      <c r="D250" s="8" t="inlineStr">
        <is>
          <t>repairs/gx7-에어필터-자체조달-2026-08-14.md</t>
        </is>
      </c>
      <c r="E250" s="8" t="n">
        <v>440</v>
      </c>
      <c r="F250" s="8" t="inlineStr">
        <is>
          <t>미판독</t>
        </is>
      </c>
      <c r="G250" s="8" t="inlineStr">
        <is>
          <t>2026-09-11</t>
        </is>
      </c>
      <c r="H250" s="8" t="n">
        <v>30</v>
      </c>
      <c r="I250" s="8" t="n"/>
      <c r="J250" s="9" t="inlineStr">
        <is>
          <t>같은 성격의 미판독 자료가 다른 폴더에도 남아 있습니다 — repairs/과거-수리이력-백필-2021-2025의 설정 방법.hwp·부품 영수증.png 등.</t>
        </is>
      </c>
      <c r="K250" s="10" t="inlineStr"/>
      <c r="L250" s="10" t="inlineStr"/>
      <c r="M250" s="10" t="inlineStr"/>
      <c r="N250" s="10" t="inlineStr"/>
    </row>
    <row r="251">
      <c r="A251" s="14" t="n">
        <v>248</v>
      </c>
      <c r="B251" s="14" t="inlineStr">
        <is>
          <t>C-일반</t>
        </is>
      </c>
      <c r="C251" s="11" t="inlineStr">
        <is>
          <t>보고</t>
        </is>
      </c>
      <c r="D251" s="11" t="inlineStr">
        <is>
          <t>reports/05_검증·노트/ISO_표준_참조집.md</t>
        </is>
      </c>
      <c r="E251" s="11" t="n">
        <v>128</v>
      </c>
      <c r="F251" s="11" t="inlineStr">
        <is>
          <t>확인 필요</t>
        </is>
      </c>
      <c r="G251" s="11" t="inlineStr">
        <is>
          <t>2026-09-11</t>
        </is>
      </c>
      <c r="H251" s="11" t="n">
        <v>30</v>
      </c>
      <c r="I251" s="11" t="n"/>
      <c r="J251" s="12" t="inlineStr">
        <is>
          <t>연도: 파트별로 상이 (파트 별 발행 연도 확인 필요)</t>
        </is>
      </c>
      <c r="K251" s="10" t="inlineStr"/>
      <c r="L251" s="10" t="inlineStr"/>
      <c r="M251" s="10" t="inlineStr"/>
      <c r="N251" s="10" t="inlineStr"/>
    </row>
    <row r="252">
      <c r="A252" s="13" t="n">
        <v>249</v>
      </c>
      <c r="B252" s="13" t="inlineStr">
        <is>
          <t>C-일반</t>
        </is>
      </c>
      <c r="C252" s="8" t="inlineStr">
        <is>
          <t>보고</t>
        </is>
      </c>
      <c r="D252" s="8" t="inlineStr">
        <is>
          <t>reports/05_검증·노트/ISO_표준_참조집.md</t>
        </is>
      </c>
      <c r="E252" s="8" t="n">
        <v>182</v>
      </c>
      <c r="F252" s="8" t="inlineStr">
        <is>
          <t>확인 필요</t>
        </is>
      </c>
      <c r="G252" s="8" t="inlineStr">
        <is>
          <t>2026-09-11</t>
        </is>
      </c>
      <c r="H252" s="8" t="n">
        <v>30</v>
      </c>
      <c r="I252" s="8" t="n"/>
      <c r="J252" s="9" t="inlineStr">
        <is>
          <t>연도: 2000 (확인 필요 — 갱신판 존재 여부 KSA 통해 재확인 권장)</t>
        </is>
      </c>
      <c r="K252" s="10" t="inlineStr"/>
      <c r="L252" s="10" t="inlineStr"/>
      <c r="M252" s="10" t="inlineStr"/>
      <c r="N252" s="10" t="inlineStr"/>
    </row>
    <row r="253">
      <c r="A253" s="14" t="n">
        <v>250</v>
      </c>
      <c r="B253" s="14" t="inlineStr">
        <is>
          <t>C-일반</t>
        </is>
      </c>
      <c r="C253" s="11" t="inlineStr">
        <is>
          <t>보고</t>
        </is>
      </c>
      <c r="D253" s="11" t="inlineStr">
        <is>
          <t>reports/05_검증·노트/ISO_표준_참조집.md</t>
        </is>
      </c>
      <c r="E253" s="11" t="n">
        <v>204</v>
      </c>
      <c r="F253" s="11" t="inlineStr">
        <is>
          <t>확인 필요</t>
        </is>
      </c>
      <c r="G253" s="11" t="inlineStr">
        <is>
          <t>2026-09-11</t>
        </is>
      </c>
      <c r="H253" s="11" t="n">
        <v>30</v>
      </c>
      <c r="I253" s="11" t="n"/>
      <c r="J253" s="12" t="inlineStr">
        <is>
          <t>연도: 2013 (확인 필요)</t>
        </is>
      </c>
      <c r="K253" s="10" t="inlineStr"/>
      <c r="L253" s="10" t="inlineStr"/>
      <c r="M253" s="10" t="inlineStr"/>
      <c r="N253" s="10" t="inlineStr"/>
    </row>
    <row r="254">
      <c r="A254" s="13" t="n">
        <v>251</v>
      </c>
      <c r="B254" s="13" t="inlineStr">
        <is>
          <t>C-일반</t>
        </is>
      </c>
      <c r="C254" s="8" t="inlineStr">
        <is>
          <t>보고</t>
        </is>
      </c>
      <c r="D254" s="8" t="inlineStr">
        <is>
          <t>reports/05_검증·노트/ISO_표준_참조집.md</t>
        </is>
      </c>
      <c r="E254" s="8" t="n">
        <v>262</v>
      </c>
      <c r="F254" s="8" t="inlineStr">
        <is>
          <t>확인 필요</t>
        </is>
      </c>
      <c r="G254" s="8" t="inlineStr">
        <is>
          <t>2026-09-11</t>
        </is>
      </c>
      <c r="H254" s="8" t="n">
        <v>30</v>
      </c>
      <c r="I254" s="8" t="n"/>
      <c r="J254" s="9" t="inlineStr">
        <is>
          <t>연도: 발행 연도 확인 필요</t>
        </is>
      </c>
      <c r="K254" s="10" t="inlineStr"/>
      <c r="L254" s="10" t="inlineStr"/>
      <c r="M254" s="10" t="inlineStr"/>
      <c r="N254" s="10" t="inlineStr"/>
    </row>
    <row r="255">
      <c r="A255" s="14" t="n">
        <v>252</v>
      </c>
      <c r="B255" s="14" t="inlineStr">
        <is>
          <t>C-일반</t>
        </is>
      </c>
      <c r="C255" s="11" t="inlineStr">
        <is>
          <t>보고</t>
        </is>
      </c>
      <c r="D255" s="11" t="inlineStr">
        <is>
          <t>reports/05_검증·노트/ISO_표준_참조집.md</t>
        </is>
      </c>
      <c r="E255" s="11" t="n">
        <v>355</v>
      </c>
      <c r="F255" s="11" t="inlineStr">
        <is>
          <t>확인 필요</t>
        </is>
      </c>
      <c r="G255" s="11" t="inlineStr">
        <is>
          <t>2026-09-11</t>
        </is>
      </c>
      <c r="H255" s="11" t="n">
        <v>30</v>
      </c>
      <c r="I255" s="11" t="n"/>
      <c r="J255" s="12" t="inlineStr">
        <is>
          <t>ISO 12413:2019 | 미보유 | — | — | — | ~~Tier 1~~ → Tier 3 (초지립 비적용, 번호 확인 필요)</t>
        </is>
      </c>
      <c r="K255" s="10" t="inlineStr"/>
      <c r="L255" s="10" t="inlineStr"/>
      <c r="M255" s="10" t="inlineStr"/>
      <c r="N255" s="10" t="inlineStr"/>
    </row>
    <row r="256">
      <c r="A256" s="13" t="n">
        <v>253</v>
      </c>
      <c r="B256" s="13" t="inlineStr">
        <is>
          <t>C-일반</t>
        </is>
      </c>
      <c r="C256" s="8" t="inlineStr">
        <is>
          <t>공구·휠</t>
        </is>
      </c>
      <c r="D256" s="8" t="inlineStr">
        <is>
          <t>tools/wheels/스택-1-1.md</t>
        </is>
      </c>
      <c r="E256" s="8" t="n">
        <v>142</v>
      </c>
      <c r="F256" s="8" t="inlineStr">
        <is>
          <t>확인 필요</t>
        </is>
      </c>
      <c r="G256" s="8" t="inlineStr">
        <is>
          <t>2026-09-11</t>
        </is>
      </c>
      <c r="H256" s="8" t="n">
        <v>30</v>
      </c>
      <c r="I256" s="8" t="n"/>
      <c r="J256" s="9" t="inlineStr">
        <is>
          <t>즉 스택 1-1은 습식 권장 구간이 아니라 건식 권장 구간에서 운용되고 있다. 사내 ANCA는 습식(오일 쿨런트) 운전이므로 이 불일치의 원인은 확인 필요.</t>
        </is>
      </c>
      <c r="K256" s="10" t="inlineStr"/>
      <c r="L256" s="10" t="inlineStr"/>
      <c r="M256" s="10" t="inlineStr"/>
      <c r="N256" s="10" t="inlineStr"/>
    </row>
    <row r="257">
      <c r="A257" s="14" t="n">
        <v>254</v>
      </c>
      <c r="B257" s="14" t="inlineStr">
        <is>
          <t>C-일반</t>
        </is>
      </c>
      <c r="C257" s="11" t="inlineStr">
        <is>
          <t>공구·휠</t>
        </is>
      </c>
      <c r="D257" s="11" t="inlineStr">
        <is>
          <t>tools/wheels/스택-1-1.md</t>
        </is>
      </c>
      <c r="E257" s="11" t="n">
        <v>144</v>
      </c>
      <c r="F257" s="11" t="inlineStr">
        <is>
          <t>미확정</t>
        </is>
      </c>
      <c r="G257" s="11" t="inlineStr">
        <is>
          <t>2026-09-11</t>
        </is>
      </c>
      <c r="H257" s="11" t="n">
        <v>30</v>
      </c>
      <c r="I257" s="11" t="n"/>
      <c r="J257" s="12"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257" s="10" t="inlineStr"/>
      <c r="L257" s="10" t="inlineStr"/>
      <c r="M257" s="10" t="inlineStr"/>
      <c r="N257" s="10" t="inlineStr"/>
    </row>
    <row r="258">
      <c r="A258" s="13" t="n">
        <v>255</v>
      </c>
      <c r="B258" s="13" t="inlineStr">
        <is>
          <t>C-일반</t>
        </is>
      </c>
      <c r="C258" s="8" t="inlineStr">
        <is>
          <t>공구·휠</t>
        </is>
      </c>
      <c r="D258" s="8" t="inlineStr">
        <is>
          <t>tools/공구-직경별-연삭조건.md</t>
        </is>
      </c>
      <c r="E258" s="8" t="n">
        <v>102</v>
      </c>
      <c r="F258" s="8" t="inlineStr">
        <is>
          <t>확인 필요</t>
        </is>
      </c>
      <c r="G258" s="8" t="inlineStr">
        <is>
          <t>2026-09-14</t>
        </is>
      </c>
      <c r="H258" s="8" t="n">
        <v>27</v>
      </c>
      <c r="I258" s="8" t="n"/>
      <c r="J258" s="9" t="inlineStr">
        <is>
          <t>방향성 근거로 단독 사용할 수 없다. 추정하지 않는다. [확인 필요]</t>
        </is>
      </c>
      <c r="K258" s="10" t="inlineStr"/>
      <c r="L258" s="10" t="inlineStr"/>
      <c r="M258" s="10" t="inlineStr"/>
      <c r="N258" s="10" t="inlineStr"/>
    </row>
    <row r="259">
      <c r="A259" s="14" t="n">
        <v>256</v>
      </c>
      <c r="B259" s="14" t="inlineStr">
        <is>
          <t>C-일반</t>
        </is>
      </c>
      <c r="C259" s="11" t="inlineStr">
        <is>
          <t>프로젝트</t>
        </is>
      </c>
      <c r="D259" s="11" t="inlineStr">
        <is>
          <t>projects/ANCA-장비-투자-생산력강화-검토.md</t>
        </is>
      </c>
      <c r="E259" s="11" t="n">
        <v>403</v>
      </c>
      <c r="F259" s="11" t="inlineStr">
        <is>
          <t>확인 필요</t>
        </is>
      </c>
      <c r="G259" s="11" t="inlineStr">
        <is>
          <t>2026-09-18</t>
        </is>
      </c>
      <c r="H259" s="11" t="n">
        <v>23</v>
      </c>
      <c r="I259" s="11" t="n"/>
      <c r="J259" s="12" t="inlineStr">
        <is>
          <t>RedaX 도입 검토 — 4대 동시 감시의 핵심. 요건은 확인 완료(OPC UA 서버+클라이언트+사내 서버, 2026-09-18 [VEN-ANCA-MGMTSUITE-BROCHURE]) — 비용은 여전히 확인 필요(ANCA 공식 견적 문의 대상)</t>
        </is>
      </c>
      <c r="K259" s="10" t="inlineStr"/>
      <c r="L259" s="10" t="inlineStr"/>
      <c r="M259" s="10" t="inlineStr"/>
      <c r="N259" s="10" t="inlineStr"/>
    </row>
    <row r="260">
      <c r="A260" s="13" t="n">
        <v>257</v>
      </c>
      <c r="B260" s="13" t="inlineStr">
        <is>
          <t>C-일반</t>
        </is>
      </c>
      <c r="C260" s="8" t="inlineStr">
        <is>
          <t>설비·정비</t>
        </is>
      </c>
      <c r="D260" s="8" t="inlineStr">
        <is>
          <t>repairs/gx7-로더-사용금지-2026-08-13.md</t>
        </is>
      </c>
      <c r="E260" s="8" t="n">
        <v>86</v>
      </c>
      <c r="F260" s="8" t="inlineStr">
        <is>
          <t>확인 필요</t>
        </is>
      </c>
      <c r="G260" s="8" t="inlineStr">
        <is>
          <t>2026-09-21</t>
        </is>
      </c>
      <c r="H260" s="8" t="n">
        <v>20</v>
      </c>
      <c r="I260" s="8" t="n"/>
      <c r="J260" s="9" t="inlineStr">
        <is>
          <t>GX7 1대 실린더 교체는 다음 주(2026-09-21 주) 진행 예정 [한경준님 확인, 2026-09-14]. 정확한 일자는 확인 필요 — 추정하지 않는다.</t>
        </is>
      </c>
      <c r="K260" s="10" t="inlineStr"/>
      <c r="L260" s="10" t="inlineStr"/>
      <c r="M260" s="10" t="inlineStr"/>
      <c r="N260" s="10" t="inlineStr"/>
    </row>
    <row r="261">
      <c r="A261" s="14" t="n">
        <v>258</v>
      </c>
      <c r="B261" s="14" t="inlineStr">
        <is>
          <t>C-일반</t>
        </is>
      </c>
      <c r="C261" s="11" t="inlineStr">
        <is>
          <t>비교분석</t>
        </is>
      </c>
      <c r="D261" s="11" t="inlineStr">
        <is>
          <t>comparisons/AL코팅엔드밀-비교.md</t>
        </is>
      </c>
      <c r="E261" s="11" t="n">
        <v>21</v>
      </c>
      <c r="F261" s="11" t="inlineStr">
        <is>
          <t>확인 필요</t>
        </is>
      </c>
      <c r="G261" s="11" t="inlineStr">
        <is>
          <t>2026-09-23</t>
        </is>
      </c>
      <c r="H261" s="11" t="n">
        <v>18</v>
      </c>
      <c r="I261" s="11" t="n"/>
      <c r="J261" s="12" t="inlineStr">
        <is>
          <t>신뢰도: 사내 경험값 (제품 조사는 제조사 카탈로그 기준, 실측 결과는 확인 필요)</t>
        </is>
      </c>
      <c r="K261" s="10" t="inlineStr"/>
      <c r="L261" s="10" t="inlineStr"/>
      <c r="M261" s="10" t="inlineStr"/>
      <c r="N261" s="10" t="inlineStr"/>
    </row>
    <row r="262">
      <c r="A262" s="13" t="n">
        <v>259</v>
      </c>
      <c r="B262" s="13" t="inlineStr">
        <is>
          <t>C-일반</t>
        </is>
      </c>
      <c r="C262" s="8" t="inlineStr">
        <is>
          <t>비교분석</t>
        </is>
      </c>
      <c r="D262" s="8" t="inlineStr">
        <is>
          <t>comparisons/AL코팅엔드밀-비교.md</t>
        </is>
      </c>
      <c r="E262" s="8" t="n">
        <v>33</v>
      </c>
      <c r="F262" s="8" t="inlineStr">
        <is>
          <t>확인 필요</t>
        </is>
      </c>
      <c r="G262" s="8" t="inlineStr">
        <is>
          <t>2026-09-23</t>
        </is>
      </c>
      <c r="H262" s="8" t="n">
        <v>18</v>
      </c>
      <c r="I262" s="8" t="n"/>
      <c r="J262" s="9" t="inlineStr">
        <is>
          <t>한송(유통사) | 3ALE 계열 | 코팅 종류 — 확인 필요 (카탈로그 이미지에 표지만 확보, 코팅명 미기재) | —</t>
        </is>
      </c>
      <c r="K262" s="10" t="inlineStr"/>
      <c r="L262" s="10" t="inlineStr"/>
      <c r="M262" s="10" t="inlineStr"/>
      <c r="N262" s="10" t="inlineStr"/>
    </row>
    <row r="263">
      <c r="A263" s="14" t="n">
        <v>260</v>
      </c>
      <c r="B263" s="14" t="inlineStr">
        <is>
          <t>C-일반</t>
        </is>
      </c>
      <c r="C263" s="11" t="inlineStr">
        <is>
          <t>비교분석</t>
        </is>
      </c>
      <c r="D263" s="11" t="inlineStr">
        <is>
          <t>comparisons/AL코팅엔드밀-비교.md</t>
        </is>
      </c>
      <c r="E263" s="11" t="n">
        <v>34</v>
      </c>
      <c r="F263" s="11" t="inlineStr">
        <is>
          <t>확인 필요</t>
        </is>
      </c>
      <c r="G263" s="11" t="inlineStr">
        <is>
          <t>2026-09-23</t>
        </is>
      </c>
      <c r="H263" s="11" t="n">
        <v>18</v>
      </c>
      <c r="I263" s="11" t="n"/>
      <c r="J263" s="12" t="inlineStr">
        <is>
          <t>GR (Gühring, 귀링) | Ratio Alu RF100A | 무코팅/PVD 옵션 (카탈로그 내 Cb 표기 — 정확한 코팅명 확인 필요) | 독일 브랜드, 고속(Vc≤750 m/min, N%Si 조건) 데이터 보유</t>
        </is>
      </c>
      <c r="K263" s="10" t="inlineStr"/>
      <c r="L263" s="10" t="inlineStr"/>
      <c r="M263" s="10" t="inlineStr"/>
      <c r="N263" s="10" t="inlineStr"/>
    </row>
    <row r="264">
      <c r="A264" s="13" t="n">
        <v>261</v>
      </c>
      <c r="B264" s="13" t="inlineStr">
        <is>
          <t>C-일반</t>
        </is>
      </c>
      <c r="C264" s="8" t="inlineStr">
        <is>
          <t>비교분석</t>
        </is>
      </c>
      <c r="D264" s="8" t="inlineStr">
        <is>
          <t>comparisons/AL코팅엔드밀-비교.md</t>
        </is>
      </c>
      <c r="E264" s="8" t="n">
        <v>35</v>
      </c>
      <c r="F264" s="8" t="inlineStr">
        <is>
          <t>확인 필요</t>
        </is>
      </c>
      <c r="G264" s="8" t="inlineStr">
        <is>
          <t>2026-09-23</t>
        </is>
      </c>
      <c r="H264" s="8" t="n">
        <v>18</v>
      </c>
      <c r="I264" s="8" t="n"/>
      <c r="J264" s="9" t="inlineStr">
        <is>
          <t>OSG (OSG Korea) | AL+ MG-ET 3날 플랫 | 알루미늄 합금 전용 형상(채터링 억제 형상), 코팅 종류 확인 필요 | —</t>
        </is>
      </c>
      <c r="K264" s="10" t="inlineStr"/>
      <c r="L264" s="10" t="inlineStr"/>
      <c r="M264" s="10" t="inlineStr"/>
      <c r="N264" s="10" t="inlineStr"/>
    </row>
    <row r="265">
      <c r="A265" s="14" t="n">
        <v>262</v>
      </c>
      <c r="B265" s="14" t="inlineStr">
        <is>
          <t>C-일반</t>
        </is>
      </c>
      <c r="C265" s="11" t="inlineStr">
        <is>
          <t>비교분석</t>
        </is>
      </c>
      <c r="D265" s="11" t="inlineStr">
        <is>
          <t>comparisons/AL코팅엔드밀-비교.md</t>
        </is>
      </c>
      <c r="E265" s="11" t="n">
        <v>36</v>
      </c>
      <c r="F265" s="11" t="inlineStr">
        <is>
          <t>확인 필요</t>
        </is>
      </c>
      <c r="G265" s="11" t="inlineStr">
        <is>
          <t>2026-09-23</t>
        </is>
      </c>
      <c r="H265" s="11" t="n">
        <v>18</v>
      </c>
      <c r="I265" s="11" t="n"/>
      <c r="J265" s="12" t="inlineStr">
        <is>
          <t>COGO | 3AHE | R-TAC 계열 코팅(카탈로그 아이콘 기준, 정확한 코팅명 확인 필요) | 3날 45° 헬릭스, 알루미늄 전용</t>
        </is>
      </c>
      <c r="K265" s="10" t="inlineStr"/>
      <c r="L265" s="10" t="inlineStr"/>
      <c r="M265" s="10" t="inlineStr"/>
      <c r="N265" s="10" t="inlineStr"/>
    </row>
    <row r="266">
      <c r="A266" s="13" t="n">
        <v>263</v>
      </c>
      <c r="B266" s="13" t="inlineStr">
        <is>
          <t>C-일반</t>
        </is>
      </c>
      <c r="C266" s="8" t="inlineStr">
        <is>
          <t>비교분석</t>
        </is>
      </c>
      <c r="D266" s="8" t="inlineStr">
        <is>
          <t>comparisons/AL코팅엔드밀-비교.md</t>
        </is>
      </c>
      <c r="E266" s="8" t="n">
        <v>38</v>
      </c>
      <c r="F266" s="8" t="inlineStr">
        <is>
          <t>확인 필요</t>
        </is>
      </c>
      <c r="G266" s="8" t="inlineStr">
        <is>
          <t>2026-09-23</t>
        </is>
      </c>
      <c r="H266" s="8" t="n">
        <v>18</v>
      </c>
      <c r="I266" s="8" t="n"/>
      <c r="J266" s="9" t="inlineStr">
        <is>
          <t>⚠️ 코팅명은 카탈로그 캡처 이미지 판독 기준이라 일부 정확한 정식 명칭 확인이 필요합니다("확인 필요" 표기).</t>
        </is>
      </c>
      <c r="K266" s="10" t="inlineStr"/>
      <c r="L266" s="10" t="inlineStr"/>
      <c r="M266" s="10" t="inlineStr"/>
      <c r="N266" s="10" t="inlineStr"/>
    </row>
    <row r="267">
      <c r="A267" s="14" t="n">
        <v>264</v>
      </c>
      <c r="B267" s="14" t="inlineStr">
        <is>
          <t>C-일반</t>
        </is>
      </c>
      <c r="C267" s="11" t="inlineStr">
        <is>
          <t>비교분석</t>
        </is>
      </c>
      <c r="D267" s="11" t="inlineStr">
        <is>
          <t>comparisons/AL코팅엔드밀-비교.md</t>
        </is>
      </c>
      <c r="E267" s="11" t="n">
        <v>51</v>
      </c>
      <c r="F267" s="11" t="inlineStr">
        <is>
          <t>확인 필요</t>
        </is>
      </c>
      <c r="G267" s="11" t="inlineStr">
        <is>
          <t>2026-09-23</t>
        </is>
      </c>
      <c r="H267" s="11" t="n">
        <v>18</v>
      </c>
      <c r="I267" s="11" t="n"/>
      <c r="J267" s="12" t="inlineStr">
        <is>
          <t>YG(-1) | 2.제품 사진\YG\YG1~4.jpg | ✅ 가공함 | ✅ 있음 (§5, 폴더 6과 동일 YG-1 계열로 추정 — 확인 필요)</t>
        </is>
      </c>
      <c r="K267" s="10" t="inlineStr"/>
      <c r="L267" s="10" t="inlineStr"/>
      <c r="M267" s="10" t="inlineStr"/>
      <c r="N267" s="10" t="inlineStr"/>
    </row>
    <row r="268">
      <c r="A268" s="13" t="n">
        <v>265</v>
      </c>
      <c r="B268" s="13" t="inlineStr">
        <is>
          <t>C-일반</t>
        </is>
      </c>
      <c r="C268" s="8" t="inlineStr">
        <is>
          <t>비교분석</t>
        </is>
      </c>
      <c r="D268" s="8" t="inlineStr">
        <is>
          <t>comparisons/AL코팅엔드밀-비교.md</t>
        </is>
      </c>
      <c r="E268" s="8" t="n">
        <v>78</v>
      </c>
      <c r="F268" s="8" t="inlineStr">
        <is>
          <t>확인 필요</t>
        </is>
      </c>
      <c r="G268" s="8" t="inlineStr">
        <is>
          <t>2026-09-23</t>
        </is>
      </c>
      <c r="H268" s="8" t="n">
        <v>18</v>
      </c>
      <c r="I268" s="8" t="n"/>
      <c r="J268" s="9"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268" s="10" t="inlineStr"/>
      <c r="L268" s="10" t="inlineStr"/>
      <c r="M268" s="10" t="inlineStr"/>
      <c r="N268" s="10" t="inlineStr"/>
    </row>
    <row r="269">
      <c r="A269" s="14" t="n">
        <v>266</v>
      </c>
      <c r="B269" s="14" t="inlineStr">
        <is>
          <t>C-일반</t>
        </is>
      </c>
      <c r="C269" s="11" t="inlineStr">
        <is>
          <t>비교분석</t>
        </is>
      </c>
      <c r="D269" s="11" t="inlineStr">
        <is>
          <t>comparisons/AL코팅엔드밀-비교.md</t>
        </is>
      </c>
      <c r="E269" s="11" t="n">
        <v>90</v>
      </c>
      <c r="F269" s="11" t="inlineStr">
        <is>
          <t>미확인</t>
        </is>
      </c>
      <c r="G269" s="11" t="inlineStr">
        <is>
          <t>2026-09-23</t>
        </is>
      </c>
      <c r="H269" s="11" t="n">
        <v>18</v>
      </c>
      <c r="I269" s="11" t="n"/>
      <c r="J269" s="12" t="inlineStr">
        <is>
          <t>추정 목표(100%) 스펙: S ≈ 10,980 rpm, F ≈ 2,569 mm/min (사내 경험값 — 역산 기준, 실제 100% G코드 파일은 미확인)</t>
        </is>
      </c>
      <c r="K269" s="10" t="inlineStr"/>
      <c r="L269" s="10" t="inlineStr"/>
      <c r="M269" s="10" t="inlineStr"/>
      <c r="N269" s="10" t="inlineStr"/>
    </row>
    <row r="270">
      <c r="A270" s="13" t="n">
        <v>267</v>
      </c>
      <c r="B270" s="13" t="inlineStr">
        <is>
          <t>C-일반</t>
        </is>
      </c>
      <c r="C270" s="8" t="inlineStr">
        <is>
          <t>비교분석</t>
        </is>
      </c>
      <c r="D270" s="8" t="inlineStr">
        <is>
          <t>comparisons/AL코팅엔드밀-비교.md</t>
        </is>
      </c>
      <c r="E270" s="8" t="n">
        <v>92</v>
      </c>
      <c r="F270" s="8" t="inlineStr">
        <is>
          <t>확인 필요</t>
        </is>
      </c>
      <c r="G270" s="8" t="inlineStr">
        <is>
          <t>2026-09-23</t>
        </is>
      </c>
      <c r="H270" s="8" t="n">
        <v>18</v>
      </c>
      <c r="I270" s="8" t="n"/>
      <c r="J270" s="9" t="inlineStr">
        <is>
          <t>Vc 검산 (D10 기준 — 공구 직경 D10 가정, 확인 필요)</t>
        </is>
      </c>
      <c r="K270" s="10" t="inlineStr"/>
      <c r="L270" s="10" t="inlineStr"/>
      <c r="M270" s="10" t="inlineStr"/>
      <c r="N270" s="10" t="inlineStr"/>
    </row>
    <row r="271">
      <c r="A271" s="14" t="n">
        <v>268</v>
      </c>
      <c r="B271" s="14" t="inlineStr">
        <is>
          <t>C-일반</t>
        </is>
      </c>
      <c r="C271" s="11" t="inlineStr">
        <is>
          <t>비교분석</t>
        </is>
      </c>
      <c r="D271" s="11" t="inlineStr">
        <is>
          <t>comparisons/AL코팅엔드밀-비교.md</t>
        </is>
      </c>
      <c r="E271" s="11" t="n">
        <v>151</v>
      </c>
      <c r="F271" s="11" t="inlineStr">
        <is>
          <t>확인 필요</t>
        </is>
      </c>
      <c r="G271" s="11" t="inlineStr">
        <is>
          <t>2026-09-23</t>
        </is>
      </c>
      <c r="H271" s="11" t="n">
        <v>18</v>
      </c>
      <c r="I271" s="11" t="n"/>
      <c r="J271" s="12"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271" s="10" t="inlineStr"/>
      <c r="L271" s="10" t="inlineStr"/>
      <c r="M271" s="10" t="inlineStr"/>
      <c r="N271" s="10" t="inlineStr"/>
    </row>
    <row r="272">
      <c r="A272" s="13" t="n">
        <v>269</v>
      </c>
      <c r="B272" s="13" t="inlineStr">
        <is>
          <t>C-일반</t>
        </is>
      </c>
      <c r="C272" s="8" t="inlineStr">
        <is>
          <t>비교분석</t>
        </is>
      </c>
      <c r="D272" s="8" t="inlineStr">
        <is>
          <t>comparisons/AL코팅엔드밀-비교.md</t>
        </is>
      </c>
      <c r="E272" s="8" t="n">
        <v>153</v>
      </c>
      <c r="F272" s="8" t="inlineStr">
        <is>
          <t>확인 필요</t>
        </is>
      </c>
      <c r="G272" s="8" t="inlineStr">
        <is>
          <t>2026-09-23</t>
        </is>
      </c>
      <c r="H272" s="8" t="n">
        <v>18</v>
      </c>
      <c r="I272" s="8" t="n"/>
      <c r="J272" s="9" t="inlineStr">
        <is>
          <t>§4의 고속가공 램프업 G코드(70%/80%)는 YG-1의 RPM(8,785)과 정확히 일치 — 이 고속 G코드가 YG-1 공구로 실행된 시험이었을 가능성이 높음(확인 필요, 원본에 공구-G코드 매핑 명시 없음).</t>
        </is>
      </c>
      <c r="K272" s="10" t="inlineStr"/>
      <c r="L272" s="10" t="inlineStr"/>
      <c r="M272" s="10" t="inlineStr"/>
      <c r="N272" s="10" t="inlineStr"/>
    </row>
    <row r="273">
      <c r="A273" s="14" t="n">
        <v>270</v>
      </c>
      <c r="B273" s="14" t="inlineStr">
        <is>
          <t>C-일반</t>
        </is>
      </c>
      <c r="C273" s="11" t="inlineStr">
        <is>
          <t>프로젝트</t>
        </is>
      </c>
      <c r="D273" s="11" t="inlineStr">
        <is>
          <t>projects/ANCA-장비-투자-생산력강화-검토.md</t>
        </is>
      </c>
      <c r="E273" s="11" t="n">
        <v>19</v>
      </c>
      <c r="F273" s="11" t="inlineStr">
        <is>
          <t>미확정</t>
        </is>
      </c>
      <c r="G273" s="11" t="inlineStr">
        <is>
          <t>2026-09-23</t>
        </is>
      </c>
      <c r="H273" s="11" t="n">
        <v>18</v>
      </c>
      <c r="I273" s="11" t="n"/>
      <c r="J273" s="12" t="inlineStr">
        <is>
          <t>여전히 미확정: 신품/중고 구분, 개당 순마진 — 이 둘이 없으면 회수기간을 확정할 수 없습니다.</t>
        </is>
      </c>
      <c r="K273" s="10" t="inlineStr"/>
      <c r="L273" s="10" t="inlineStr"/>
      <c r="M273" s="10" t="inlineStr"/>
      <c r="N273" s="10" t="inlineStr"/>
    </row>
    <row r="274">
      <c r="A274" s="13" t="n">
        <v>271</v>
      </c>
      <c r="B274" s="13" t="inlineStr">
        <is>
          <t>C-일반</t>
        </is>
      </c>
      <c r="C274" s="8" t="inlineStr">
        <is>
          <t>프로젝트</t>
        </is>
      </c>
      <c r="D274" s="8" t="inlineStr">
        <is>
          <t>projects/ANCA-장비-투자-생산력강화-검토.md</t>
        </is>
      </c>
      <c r="E274" s="8" t="n">
        <v>43</v>
      </c>
      <c r="F274" s="8" t="inlineStr">
        <is>
          <t>확인 필요</t>
        </is>
      </c>
      <c r="G274" s="8" t="inlineStr">
        <is>
          <t>2026-09-23</t>
        </is>
      </c>
      <c r="H274" s="8" t="n">
        <v>18</v>
      </c>
      <c r="I274" s="8" t="n"/>
      <c r="J274" s="9" t="inlineStr">
        <is>
          <t>신품/중고 | ⚠️ 미정 (확인 필요) | ⚠️ 미정 (확인 필요)</t>
        </is>
      </c>
      <c r="K274" s="10" t="inlineStr"/>
      <c r="L274" s="10" t="inlineStr"/>
      <c r="M274" s="10" t="inlineStr"/>
      <c r="N274" s="10" t="inlineStr"/>
    </row>
    <row r="275">
      <c r="A275" s="14" t="n">
        <v>272</v>
      </c>
      <c r="B275" s="14" t="inlineStr">
        <is>
          <t>C-일반</t>
        </is>
      </c>
      <c r="C275" s="11" t="inlineStr">
        <is>
          <t>프로젝트</t>
        </is>
      </c>
      <c r="D275" s="11" t="inlineStr">
        <is>
          <t>projects/ANCA-장비-투자-생산력강화-검토.md</t>
        </is>
      </c>
      <c r="E275" s="11" t="n">
        <v>44</v>
      </c>
      <c r="F275" s="11" t="inlineStr">
        <is>
          <t>확인 필요</t>
        </is>
      </c>
      <c r="G275" s="11" t="inlineStr">
        <is>
          <t>2026-09-23</t>
        </is>
      </c>
      <c r="H275" s="11" t="n">
        <v>18</v>
      </c>
      <c r="I275" s="11" t="n"/>
      <c r="J275" s="12" t="inlineStr">
        <is>
          <t>스펙·견적 근거 | 확인 필요 — ANCA 공식 견적서 미확보 | 확인 필요 — ANCA 공식 견적서 미확보</t>
        </is>
      </c>
      <c r="K275" s="10" t="inlineStr"/>
      <c r="L275" s="10" t="inlineStr"/>
      <c r="M275" s="10" t="inlineStr"/>
      <c r="N275" s="10" t="inlineStr"/>
    </row>
    <row r="276">
      <c r="A276" s="13" t="n">
        <v>273</v>
      </c>
      <c r="B276" s="13" t="inlineStr">
        <is>
          <t>C-일반</t>
        </is>
      </c>
      <c r="C276" s="8" t="inlineStr">
        <is>
          <t>프로젝트</t>
        </is>
      </c>
      <c r="D276" s="8" t="inlineStr">
        <is>
          <t>projects/ANCA-장비-투자-생산력강화-검토.md</t>
        </is>
      </c>
      <c r="E276" s="8" t="n">
        <v>61</v>
      </c>
      <c r="F276" s="8" t="inlineStr">
        <is>
          <t>확인 필요</t>
        </is>
      </c>
      <c r="G276" s="8" t="inlineStr">
        <is>
          <t>2026-09-23</t>
        </is>
      </c>
      <c r="H276" s="8" t="n">
        <v>18</v>
      </c>
      <c r="I276" s="8" t="n"/>
      <c r="J276" s="9" t="inlineStr">
        <is>
          <t>설치 공간 — GX7 외형 2.5 m × 2.0 m × 1.9 m, 중량 4,500 kg [VEN-ANCA-RX7GX7-MANUAL]. 2대 추가 시 최소 약 10 m² + 작업 통로. 사내 여유 공간 확인 필요.</t>
        </is>
      </c>
      <c r="K276" s="10" t="inlineStr"/>
      <c r="L276" s="10" t="inlineStr"/>
      <c r="M276" s="10" t="inlineStr"/>
      <c r="N276" s="10" t="inlineStr"/>
    </row>
    <row r="277">
      <c r="A277" s="14" t="n">
        <v>274</v>
      </c>
      <c r="B277" s="14" t="inlineStr">
        <is>
          <t>C-일반</t>
        </is>
      </c>
      <c r="C277" s="11" t="inlineStr">
        <is>
          <t>프로젝트</t>
        </is>
      </c>
      <c r="D277" s="11" t="inlineStr">
        <is>
          <t>projects/ANCA-장비-투자-생산력강화-검토.md</t>
        </is>
      </c>
      <c r="E277" s="11" t="n">
        <v>62</v>
      </c>
      <c r="F277" s="11" t="inlineStr">
        <is>
          <t>확인 필요</t>
        </is>
      </c>
      <c r="G277" s="11" t="inlineStr">
        <is>
          <t>2026-09-23</t>
        </is>
      </c>
      <c r="H277" s="11" t="n">
        <v>18</v>
      </c>
      <c r="I277" s="11" t="n"/>
      <c r="J277" s="12" t="inlineStr">
        <is>
          <t>전력·에어 용량 — GX7 20 kVA @380~480 V, 공기압 6.0 bar. 2대 추가 시 수전 용량·컴프레서 토출량이 감당되는지 확인 필요.</t>
        </is>
      </c>
      <c r="K277" s="10" t="inlineStr"/>
      <c r="L277" s="10" t="inlineStr"/>
      <c r="M277" s="10" t="inlineStr"/>
      <c r="N277" s="10" t="inlineStr"/>
    </row>
    <row r="278">
      <c r="A278" s="13" t="n">
        <v>275</v>
      </c>
      <c r="B278" s="13" t="inlineStr">
        <is>
          <t>C-일반</t>
        </is>
      </c>
      <c r="C278" s="8" t="inlineStr">
        <is>
          <t>프로젝트</t>
        </is>
      </c>
      <c r="D278" s="8" t="inlineStr">
        <is>
          <t>projects/ANCA-장비-투자-생산력강화-검토.md</t>
        </is>
      </c>
      <c r="E278" s="8" t="n">
        <v>67</v>
      </c>
      <c r="F278" s="8" t="inlineStr">
        <is>
          <t>확인 필요</t>
        </is>
      </c>
      <c r="G278" s="8" t="inlineStr">
        <is>
          <t>2026-09-23</t>
        </is>
      </c>
      <c r="H278" s="8" t="n">
        <v>18</v>
      </c>
      <c r="I278" s="8" t="n"/>
      <c r="J278" s="9" t="inlineStr">
        <is>
          <t>사내 F 장비(FastGrind)는 ANCA FX 시리즈 계열, G 장비는 GX7(machines/anca-cnc-tool-grinder §라인업). FX7·GX7이 각각의 후속 모델인지는 확인 필요.</t>
        </is>
      </c>
      <c r="K278" s="10" t="inlineStr"/>
      <c r="L278" s="10" t="inlineStr"/>
      <c r="M278" s="10" t="inlineStr"/>
      <c r="N278" s="10" t="inlineStr"/>
    </row>
    <row r="279">
      <c r="A279" s="14" t="n">
        <v>276</v>
      </c>
      <c r="B279" s="14" t="inlineStr">
        <is>
          <t>C-일반</t>
        </is>
      </c>
      <c r="C279" s="11" t="inlineStr">
        <is>
          <t>프로젝트</t>
        </is>
      </c>
      <c r="D279" s="11" t="inlineStr">
        <is>
          <t>projects/ANCA-장비-투자-생산력강화-검토.md</t>
        </is>
      </c>
      <c r="E279" s="11" t="n">
        <v>141</v>
      </c>
      <c r="F279" s="11" t="inlineStr">
        <is>
          <t>확인 필요</t>
        </is>
      </c>
      <c r="G279" s="11" t="inlineStr">
        <is>
          <t>2026-09-23</t>
        </is>
      </c>
      <c r="H279" s="11" t="n">
        <v>18</v>
      </c>
      <c r="I279" s="11" t="n"/>
      <c r="J279" s="12" t="inlineStr">
        <is>
          <t>여전히 확인 필요한 값</t>
        </is>
      </c>
      <c r="K279" s="10" t="inlineStr"/>
      <c r="L279" s="10" t="inlineStr"/>
      <c r="M279" s="10" t="inlineStr"/>
      <c r="N279" s="10" t="inlineStr"/>
    </row>
    <row r="280">
      <c r="A280" s="13" t="n">
        <v>277</v>
      </c>
      <c r="B280" s="13" t="inlineStr">
        <is>
          <t>C-일반</t>
        </is>
      </c>
      <c r="C280" s="8" t="inlineStr">
        <is>
          <t>프로젝트</t>
        </is>
      </c>
      <c r="D280" s="8" t="inlineStr">
        <is>
          <t>projects/ANCA-장비-투자-생산력강화-검토.md</t>
        </is>
      </c>
      <c r="E280" s="8" t="n">
        <v>143</v>
      </c>
      <c r="F280" s="8" t="inlineStr">
        <is>
          <t>확인 필요</t>
        </is>
      </c>
      <c r="G280" s="8" t="inlineStr">
        <is>
          <t>2026-09-23</t>
        </is>
      </c>
      <c r="H280" s="8" t="n">
        <v>18</v>
      </c>
      <c r="I280" s="8" t="n"/>
      <c r="J280" s="9" t="inlineStr">
        <is>
          <t>개당 순마진 (재연마 단가 - 변동비) — 단가는 대외비이나 이 페이지는 예외 승인됨(§개요). 산정 주체·기준 확인 필요.</t>
        </is>
      </c>
      <c r="K280" s="10" t="inlineStr"/>
      <c r="L280" s="10" t="inlineStr"/>
      <c r="M280" s="10" t="inlineStr"/>
      <c r="N280" s="10" t="inlineStr"/>
    </row>
    <row r="281">
      <c r="A281" s="14" t="n">
        <v>278</v>
      </c>
      <c r="B281" s="14" t="inlineStr">
        <is>
          <t>C-일반</t>
        </is>
      </c>
      <c r="C281" s="11" t="inlineStr">
        <is>
          <t>프로젝트</t>
        </is>
      </c>
      <c r="D281" s="11" t="inlineStr">
        <is>
          <t>projects/ANCA-장비-투자-생산력강화-검토.md</t>
        </is>
      </c>
      <c r="E281" s="11" t="n">
        <v>166</v>
      </c>
      <c r="F281" s="11" t="inlineStr">
        <is>
          <t>확인 필요</t>
        </is>
      </c>
      <c r="G281" s="11" t="inlineStr">
        <is>
          <t>2026-09-23</t>
        </is>
      </c>
      <c r="H281" s="11" t="n">
        <v>18</v>
      </c>
      <c r="I281" s="11" t="n"/>
      <c r="J281" s="12" t="inlineStr">
        <is>
          <t>같은 신품 FX7에 3억원과 1.5억원이 병존합니다(2배 차이). 기존 3억원 값은 삭제하지 않고 병기하며, 아래 셋 중 어느 것인지 확인 필요입니다.</t>
        </is>
      </c>
      <c r="K281" s="10" t="inlineStr"/>
      <c r="L281" s="10" t="inlineStr"/>
      <c r="M281" s="10" t="inlineStr"/>
      <c r="N281" s="10" t="inlineStr"/>
    </row>
    <row r="282">
      <c r="A282" s="13" t="n">
        <v>279</v>
      </c>
      <c r="B282" s="13" t="inlineStr">
        <is>
          <t>C-일반</t>
        </is>
      </c>
      <c r="C282" s="8" t="inlineStr">
        <is>
          <t>프로젝트</t>
        </is>
      </c>
      <c r="D282" s="8" t="inlineStr">
        <is>
          <t>projects/ANCA-장비-투자-생산력강화-검토.md</t>
        </is>
      </c>
      <c r="E282" s="8" t="n">
        <v>189</v>
      </c>
      <c r="F282" s="8" t="inlineStr">
        <is>
          <t>미확인</t>
        </is>
      </c>
      <c r="G282" s="8" t="inlineStr">
        <is>
          <t>2026-09-23</t>
        </is>
      </c>
      <c r="H282" s="8" t="n">
        <v>18</v>
      </c>
      <c r="I282" s="8" t="n"/>
      <c r="J282" s="9" t="inlineStr">
        <is>
          <t>C | 중국제 신품 2대 | 2대 | 성능·A/S·로더 사양 전부 미확인</t>
        </is>
      </c>
      <c r="K282" s="10" t="inlineStr"/>
      <c r="L282" s="10" t="inlineStr"/>
      <c r="M282" s="10" t="inlineStr"/>
      <c r="N282" s="10" t="inlineStr"/>
    </row>
    <row r="283">
      <c r="A283" s="14" t="n">
        <v>280</v>
      </c>
      <c r="B283" s="14" t="inlineStr">
        <is>
          <t>C-일반</t>
        </is>
      </c>
      <c r="C283" s="11" t="inlineStr">
        <is>
          <t>프로젝트</t>
        </is>
      </c>
      <c r="D283" s="11" t="inlineStr">
        <is>
          <t>projects/ANCA-장비-투자-생산력강화-검토.md</t>
        </is>
      </c>
      <c r="E283" s="11" t="n">
        <v>263</v>
      </c>
      <c r="F283" s="11" t="inlineStr">
        <is>
          <t>확인 필요</t>
        </is>
      </c>
      <c r="G283" s="11" t="inlineStr">
        <is>
          <t>2026-09-23</t>
        </is>
      </c>
      <c r="H283" s="11" t="n">
        <v>18</v>
      </c>
      <c r="I283" s="11" t="n"/>
      <c r="J283" s="12" t="inlineStr">
        <is>
          <t>즉 "1인 다대 운전"이 목표(§3)인데 로더가 없으면 C안의 수치 우위가 사라집니다. 그 밖의 확인 필요 항목:</t>
        </is>
      </c>
      <c r="K283" s="10" t="inlineStr"/>
      <c r="L283" s="10" t="inlineStr"/>
      <c r="M283" s="10" t="inlineStr"/>
      <c r="N283" s="10" t="inlineStr"/>
    </row>
    <row r="284">
      <c r="A284" s="13" t="n">
        <v>281</v>
      </c>
      <c r="B284" s="13" t="inlineStr">
        <is>
          <t>C-일반</t>
        </is>
      </c>
      <c r="C284" s="8" t="inlineStr">
        <is>
          <t>프로젝트</t>
        </is>
      </c>
      <c r="D284" s="8" t="inlineStr">
        <is>
          <t>projects/ANCA-장비-투자-생산력강화-검토.md</t>
        </is>
      </c>
      <c r="E284" s="8" t="n">
        <v>341</v>
      </c>
      <c r="F284" s="8" t="inlineStr">
        <is>
          <t>확인 필요</t>
        </is>
      </c>
      <c r="G284" s="8" t="inlineStr">
        <is>
          <t>2026-09-23</t>
        </is>
      </c>
      <c r="H284" s="8" t="n">
        <v>18</v>
      </c>
      <c r="I284" s="8" t="n"/>
      <c r="J284" s="9"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284" s="10" t="inlineStr"/>
      <c r="L284" s="10" t="inlineStr"/>
      <c r="M284" s="10" t="inlineStr"/>
      <c r="N284" s="10" t="inlineStr"/>
    </row>
    <row r="285">
      <c r="A285" s="14" t="n">
        <v>282</v>
      </c>
      <c r="B285" s="14" t="inlineStr">
        <is>
          <t>C-일반</t>
        </is>
      </c>
      <c r="C285" s="11" t="inlineStr">
        <is>
          <t>프로젝트</t>
        </is>
      </c>
      <c r="D285" s="11" t="inlineStr">
        <is>
          <t>projects/ANCA-장비-투자-생산력강화-검토.md</t>
        </is>
      </c>
      <c r="E285" s="11" t="n">
        <v>395</v>
      </c>
      <c r="F285" s="11" t="inlineStr">
        <is>
          <t>미확정</t>
        </is>
      </c>
      <c r="G285" s="11" t="inlineStr">
        <is>
          <t>2026-09-23</t>
        </is>
      </c>
      <c r="H285" s="11" t="n">
        <v>18</v>
      </c>
      <c r="I285" s="11" t="n"/>
      <c r="J285" s="12"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285" s="10" t="inlineStr"/>
      <c r="L285" s="10" t="inlineStr"/>
      <c r="M285" s="10" t="inlineStr"/>
      <c r="N285" s="10" t="inlineStr"/>
    </row>
    <row r="286">
      <c r="A286" s="13" t="n">
        <v>283</v>
      </c>
      <c r="B286" s="13" t="inlineStr">
        <is>
          <t>C-일반</t>
        </is>
      </c>
      <c r="C286" s="8" t="inlineStr">
        <is>
          <t>프로젝트</t>
        </is>
      </c>
      <c r="D286" s="8" t="inlineStr">
        <is>
          <t>projects/ANCA-장비-투자-생산력강화-검토.md</t>
        </is>
      </c>
      <c r="E286" s="8" t="n">
        <v>417</v>
      </c>
      <c r="F286" s="8" t="inlineStr">
        <is>
          <t>미확정</t>
        </is>
      </c>
      <c r="G286" s="8" t="inlineStr">
        <is>
          <t>2026-09-23</t>
        </is>
      </c>
      <c r="H286" s="8" t="n">
        <v>18</v>
      </c>
      <c r="I286" s="8" t="n"/>
      <c r="J286" s="9" t="inlineStr">
        <is>
          <t>⚠️ 미확정: 신품/중고 구분, 개당 순마진, ANCA 공식 견적서, 설치 공간·전력·에어 용량</t>
        </is>
      </c>
      <c r="K286" s="10" t="inlineStr"/>
      <c r="L286" s="10" t="inlineStr"/>
      <c r="M286" s="10" t="inlineStr"/>
      <c r="N286" s="10" t="inlineStr"/>
    </row>
    <row r="287">
      <c r="A287" s="14" t="n">
        <v>284</v>
      </c>
      <c r="B287" s="14" t="inlineStr">
        <is>
          <t>C-일반</t>
        </is>
      </c>
      <c r="C287" s="11" t="inlineStr">
        <is>
          <t>보고</t>
        </is>
      </c>
      <c r="D287" s="11" t="inlineStr">
        <is>
          <t>reports/05_검증·노트/휠RPM-정책-검증-노트.md</t>
        </is>
      </c>
      <c r="E287" s="11" t="n">
        <v>144</v>
      </c>
      <c r="F287" s="11" t="inlineStr">
        <is>
          <t>확인 필요</t>
        </is>
      </c>
      <c r="G287" s="11" t="inlineStr">
        <is>
          <t>2026-09-23</t>
        </is>
      </c>
      <c r="H287" s="11" t="n">
        <v>18</v>
      </c>
      <c r="I287" s="11" t="n"/>
      <c r="J287" s="12" t="inlineStr">
        <is>
          <t>⚠️ 번호 확인 필요: sources.md 의 iso.org 링크가 404 이고 검색으로도 ISO 판이 확인되지 않는다.</t>
        </is>
      </c>
      <c r="K287" s="10" t="inlineStr"/>
      <c r="L287" s="10" t="inlineStr"/>
      <c r="M287" s="10" t="inlineStr"/>
      <c r="N287" s="10" t="inlineStr"/>
    </row>
    <row r="288">
      <c r="A288" s="13" t="n">
        <v>285</v>
      </c>
      <c r="B288" s="13" t="inlineStr">
        <is>
          <t>C-일반</t>
        </is>
      </c>
      <c r="C288" s="8" t="inlineStr">
        <is>
          <t>보고</t>
        </is>
      </c>
      <c r="D288" s="8" t="inlineStr">
        <is>
          <t>reports/05_검증·노트/휠RPM-정책-검증-노트.md</t>
        </is>
      </c>
      <c r="E288" s="8" t="n">
        <v>145</v>
      </c>
      <c r="F288" s="8" t="inlineStr">
        <is>
          <t>확인 필요</t>
        </is>
      </c>
      <c r="G288" s="8" t="inlineStr">
        <is>
          <t>2026-09-23</t>
        </is>
      </c>
      <c r="H288" s="8" t="n">
        <v>18</v>
      </c>
      <c r="I288" s="8" t="n"/>
      <c r="J288" s="9" t="inlineStr">
        <is>
          <t>실재가 확인되는 것은 EN 12413:2019(CEN) 다. ISO 판 존재 여부는 확인 필요 — 「없다」고 단정하지 않는다.</t>
        </is>
      </c>
      <c r="K288" s="10" t="inlineStr"/>
      <c r="L288" s="10" t="inlineStr"/>
      <c r="M288" s="10" t="inlineStr"/>
      <c r="N288" s="10" t="inlineStr"/>
    </row>
    <row r="289">
      <c r="A289" s="14" t="n">
        <v>286</v>
      </c>
      <c r="B289" s="14" t="inlineStr">
        <is>
          <t>C-일반</t>
        </is>
      </c>
      <c r="C289" s="11" t="inlineStr">
        <is>
          <t>공구·휠</t>
        </is>
      </c>
      <c r="D289" s="11" t="inlineStr">
        <is>
          <t>tools/wheels/index.md</t>
        </is>
      </c>
      <c r="E289" s="11" t="n">
        <v>61</v>
      </c>
      <c r="F289" s="11" t="inlineStr">
        <is>
          <t>미확인</t>
        </is>
      </c>
      <c r="G289" s="11" t="inlineStr">
        <is>
          <t>2026-09-23</t>
        </is>
      </c>
      <c r="H289" s="11" t="n">
        <v>18</v>
      </c>
      <c r="I289" s="11" t="n"/>
      <c r="J289" s="12" t="inlineStr">
        <is>
          <t>집중도 | C125 (5.5ct/cc, 높은 집중도) — 환산값은 통용 기준 C100 = 4.4 ct/cm³ 비례 계산 [추정값 — 1차 출처 미확인]</t>
        </is>
      </c>
      <c r="K289" s="10" t="inlineStr"/>
      <c r="L289" s="10" t="inlineStr"/>
      <c r="M289" s="10" t="inlineStr"/>
      <c r="N289" s="10" t="inlineStr"/>
    </row>
    <row r="290">
      <c r="A290" s="13" t="n">
        <v>287</v>
      </c>
      <c r="B290" s="13" t="inlineStr">
        <is>
          <t>C-일반</t>
        </is>
      </c>
      <c r="C290" s="8" t="inlineStr">
        <is>
          <t>공구·휠</t>
        </is>
      </c>
      <c r="D290" s="8" t="inlineStr">
        <is>
          <t>tools/wheels/index.md</t>
        </is>
      </c>
      <c r="E290" s="8" t="n">
        <v>68</v>
      </c>
      <c r="F290" s="8" t="inlineStr">
        <is>
          <t>확인 필요</t>
        </is>
      </c>
      <c r="G290" s="8" t="inlineStr">
        <is>
          <t>2026-09-23</t>
        </is>
      </c>
      <c r="H290" s="8" t="n">
        <v>18</v>
      </c>
      <c r="I290" s="8" t="n"/>
      <c r="J290" s="9" t="inlineStr">
        <is>
          <t>본 페이지 (위 표) | 6,000 rpm | 근거 미기재 — 확인 필요</t>
        </is>
      </c>
      <c r="K290" s="10" t="inlineStr"/>
      <c r="L290" s="10" t="inlineStr"/>
      <c r="M290" s="10" t="inlineStr"/>
      <c r="N290" s="10" t="inlineStr"/>
    </row>
    <row r="291">
      <c r="A291" s="14" t="n">
        <v>288</v>
      </c>
      <c r="B291" s="14" t="inlineStr">
        <is>
          <t>C-일반</t>
        </is>
      </c>
      <c r="C291" s="11" t="inlineStr">
        <is>
          <t>공구·휠</t>
        </is>
      </c>
      <c r="D291" s="11" t="inlineStr">
        <is>
          <t>tools/wheels/index.md</t>
        </is>
      </c>
      <c r="E291" s="11" t="n">
        <v>323</v>
      </c>
      <c r="F291" s="11" t="inlineStr">
        <is>
          <t>확인 필요</t>
        </is>
      </c>
      <c r="G291" s="11" t="inlineStr">
        <is>
          <t>2026-09-23</t>
        </is>
      </c>
      <c r="H291" s="11" t="n">
        <v>18</v>
      </c>
      <c r="I291" s="11" t="n"/>
      <c r="J291" s="12"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291" s="10" t="inlineStr"/>
      <c r="L291" s="10" t="inlineStr"/>
      <c r="M291" s="10" t="inlineStr"/>
      <c r="N291" s="10" t="inlineStr"/>
    </row>
    <row r="292">
      <c r="A292" s="13" t="n">
        <v>289</v>
      </c>
      <c r="B292" s="13" t="inlineStr">
        <is>
          <t>C-일반</t>
        </is>
      </c>
      <c r="C292" s="8" t="inlineStr">
        <is>
          <t>공구·휠</t>
        </is>
      </c>
      <c r="D292" s="8" t="inlineStr">
        <is>
          <t>tools/wheels/홍익다이아-발주체크리스트-원통연마.md</t>
        </is>
      </c>
      <c r="E292" s="8" t="n">
        <v>23</v>
      </c>
      <c r="F292" s="8" t="inlineStr">
        <is>
          <t>확인 필요</t>
        </is>
      </c>
      <c r="G292" s="8" t="inlineStr">
        <is>
          <t>2026-09-23</t>
        </is>
      </c>
      <c r="H292" s="8" t="n">
        <v>18</v>
      </c>
      <c r="I292" s="8" t="n"/>
      <c r="J292" s="9" t="inlineStr">
        <is>
          <t>홍익다이아 문의 전에 한경준 확인 필요.</t>
        </is>
      </c>
      <c r="K292" s="10" t="inlineStr"/>
      <c r="L292" s="10" t="inlineStr"/>
      <c r="M292" s="10" t="inlineStr"/>
      <c r="N292" s="10" t="inlineStr"/>
    </row>
    <row r="293">
      <c r="A293" s="14" t="n">
        <v>290</v>
      </c>
      <c r="B293" s="14" t="inlineStr">
        <is>
          <t>C-일반</t>
        </is>
      </c>
      <c r="C293" s="11" t="inlineStr">
        <is>
          <t>공구·휠</t>
        </is>
      </c>
      <c r="D293" s="11" t="inlineStr">
        <is>
          <t>tools/wheels/홍익다이아-발주체크리스트-원통연마.md</t>
        </is>
      </c>
      <c r="E293" s="11" t="n">
        <v>29</v>
      </c>
      <c r="F293" s="11" t="inlineStr">
        <is>
          <t>미확정</t>
        </is>
      </c>
      <c r="G293" s="11" t="inlineStr">
        <is>
          <t>2026-09-23</t>
        </is>
      </c>
      <c r="H293" s="11" t="n">
        <v>18</v>
      </c>
      <c r="I293" s="11" t="n"/>
      <c r="J293" s="12" t="inlineStr">
        <is>
          <t>발주 수량 (각 휠당) | 미정 | ☐ 미확정</t>
        </is>
      </c>
      <c r="K293" s="10" t="inlineStr"/>
      <c r="L293" s="10" t="inlineStr"/>
      <c r="M293" s="10" t="inlineStr"/>
      <c r="N293" s="10" t="inlineStr"/>
    </row>
    <row r="294">
      <c r="A294" s="13" t="n">
        <v>291</v>
      </c>
      <c r="B294" s="13" t="inlineStr">
        <is>
          <t>C-일반</t>
        </is>
      </c>
      <c r="C294" s="8" t="inlineStr">
        <is>
          <t>공구·휠</t>
        </is>
      </c>
      <c r="D294" s="8" t="inlineStr">
        <is>
          <t>tools/wheels/홍익다이아-발주체크리스트-원통연마.md</t>
        </is>
      </c>
      <c r="E294" s="8" t="n">
        <v>30</v>
      </c>
      <c r="F294" s="8" t="inlineStr">
        <is>
          <t>미확정</t>
        </is>
      </c>
      <c r="G294" s="8" t="inlineStr">
        <is>
          <t>2026-09-23</t>
        </is>
      </c>
      <c r="H294" s="8" t="n">
        <v>18</v>
      </c>
      <c r="I294" s="8" t="n"/>
      <c r="J294" s="9" t="inlineStr">
        <is>
          <t>예산 범위 | 대외비 | ☐ 미확정</t>
        </is>
      </c>
      <c r="K294" s="10" t="inlineStr"/>
      <c r="L294" s="10" t="inlineStr"/>
      <c r="M294" s="10" t="inlineStr"/>
      <c r="N294" s="10" t="inlineStr"/>
    </row>
    <row r="295">
      <c r="A295" s="14" t="n">
        <v>292</v>
      </c>
      <c r="B295" s="14" t="inlineStr">
        <is>
          <t>C-일반</t>
        </is>
      </c>
      <c r="C295" s="11" t="inlineStr">
        <is>
          <t>공구·휠</t>
        </is>
      </c>
      <c r="D295" s="11" t="inlineStr">
        <is>
          <t>tools/wheels/홍익다이아-발주체크리스트-원통연마.md</t>
        </is>
      </c>
      <c r="E295" s="11" t="n">
        <v>104</v>
      </c>
      <c r="F295" s="11" t="inlineStr">
        <is>
          <t>확인 필요</t>
        </is>
      </c>
      <c r="G295" s="11" t="inlineStr">
        <is>
          <t>2026-09-23</t>
        </is>
      </c>
      <c r="H295" s="11" t="n">
        <v>18</v>
      </c>
      <c r="I295" s="11" t="n"/>
      <c r="J295" s="12"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295" s="10" t="inlineStr"/>
      <c r="L295" s="10" t="inlineStr"/>
      <c r="M295" s="10" t="inlineStr"/>
      <c r="N295" s="10" t="inlineStr"/>
    </row>
    <row r="296">
      <c r="A296" s="13" t="n">
        <v>293</v>
      </c>
      <c r="B296" s="13" t="inlineStr">
        <is>
          <t>C-일반</t>
        </is>
      </c>
      <c r="C296" s="8" t="inlineStr">
        <is>
          <t>공구·휠</t>
        </is>
      </c>
      <c r="D296" s="8" t="inlineStr">
        <is>
          <t>tools/wheels/홍익다이아-발주체크리스트-원통연마.md</t>
        </is>
      </c>
      <c r="E296" s="8" t="n">
        <v>114</v>
      </c>
      <c r="F296" s="8" t="inlineStr">
        <is>
          <t>확인 필요</t>
        </is>
      </c>
      <c r="G296" s="8" t="inlineStr">
        <is>
          <t>2026-09-23</t>
        </is>
      </c>
      <c r="H296" s="8" t="n">
        <v>18</v>
      </c>
      <c r="I296" s="8" t="n"/>
      <c r="J296" s="9" t="inlineStr">
        <is>
          <t>[ ] Neck 직경(목 OD)은 얼마로 설계하는가 — 공구 직경별 간섭 여부 확인 필요</t>
        </is>
      </c>
      <c r="K296" s="10" t="inlineStr"/>
      <c r="L296" s="10" t="inlineStr"/>
      <c r="M296" s="10" t="inlineStr"/>
      <c r="N296" s="10" t="inlineStr"/>
    </row>
    <row r="297">
      <c r="A297" s="14" t="n">
        <v>294</v>
      </c>
      <c r="B297" s="14" t="inlineStr">
        <is>
          <t>C-일반</t>
        </is>
      </c>
      <c r="C297" s="11" t="inlineStr">
        <is>
          <t>공구·휠</t>
        </is>
      </c>
      <c r="D297" s="11" t="inlineStr">
        <is>
          <t>tools/wheels/홍익다이아-발주체크리스트-원통연마.md</t>
        </is>
      </c>
      <c r="E297" s="11" t="n">
        <v>177</v>
      </c>
      <c r="F297" s="11" t="inlineStr">
        <is>
          <t>미확인</t>
        </is>
      </c>
      <c r="G297" s="11" t="inlineStr">
        <is>
          <t>2026-09-23</t>
        </is>
      </c>
      <c r="H297" s="11" t="n">
        <v>18</v>
      </c>
      <c r="I297" s="11" t="n"/>
      <c r="J297" s="12" t="inlineStr">
        <is>
          <t>⚠️ 함께 미뤄지는 실무 리스크 2건 — ①연삭재 종류 미확인(보유 휠 5종 abrasive 전부 공란) ②라벨 전면 부재(현장 육안 식별 불가). 조건 상향과 무관하므로 차기 발주 체크리스트에 반드시 얹을 것.</t>
        </is>
      </c>
      <c r="K297" s="10" t="inlineStr"/>
      <c r="L297" s="10" t="inlineStr"/>
      <c r="M297" s="10" t="inlineStr"/>
      <c r="N297" s="10" t="inlineStr"/>
    </row>
    <row r="298">
      <c r="A298" s="13" t="n">
        <v>295</v>
      </c>
      <c r="B298" s="13" t="inlineStr">
        <is>
          <t>C-일반</t>
        </is>
      </c>
      <c r="C298" s="8" t="inlineStr">
        <is>
          <t>공구·휠</t>
        </is>
      </c>
      <c r="D298" s="8" t="inlineStr">
        <is>
          <t>tools/연삭-조건-D8-4날-코너R-GASH.md</t>
        </is>
      </c>
      <c r="E298" s="8" t="n">
        <v>139</v>
      </c>
      <c r="F298" s="8" t="inlineStr">
        <is>
          <t>확인 필요</t>
        </is>
      </c>
      <c r="G298" s="8" t="inlineStr">
        <is>
          <t>2026-09-23</t>
        </is>
      </c>
      <c r="H298" s="8" t="n">
        <v>18</v>
      </c>
      <c r="I298" s="8" t="n"/>
      <c r="J298" s="9" t="inlineStr">
        <is>
          <t>버닝 | (확인 필요)</t>
        </is>
      </c>
      <c r="K298" s="10" t="inlineStr"/>
      <c r="L298" s="10" t="inlineStr"/>
      <c r="M298" s="10" t="inlineStr"/>
      <c r="N298" s="10" t="inlineStr"/>
    </row>
    <row r="299">
      <c r="A299" s="14" t="n">
        <v>296</v>
      </c>
      <c r="B299" s="14" t="inlineStr">
        <is>
          <t>C-일반</t>
        </is>
      </c>
      <c r="C299" s="11" t="inlineStr">
        <is>
          <t>공구·휠</t>
        </is>
      </c>
      <c r="D299" s="11" t="inlineStr">
        <is>
          <t>tools/연삭-조건-D8-4날-코너R-GASH.md</t>
        </is>
      </c>
      <c r="E299" s="11" t="n">
        <v>140</v>
      </c>
      <c r="F299" s="11" t="inlineStr">
        <is>
          <t>확인 필요</t>
        </is>
      </c>
      <c r="G299" s="11" t="inlineStr">
        <is>
          <t>2026-09-23</t>
        </is>
      </c>
      <c r="H299" s="11" t="n">
        <v>18</v>
      </c>
      <c r="I299" s="11" t="n"/>
      <c r="J299" s="12" t="inlineStr">
        <is>
          <t>드래그마크 | (확인 필요)</t>
        </is>
      </c>
      <c r="K299" s="10" t="inlineStr"/>
      <c r="L299" s="10" t="inlineStr"/>
      <c r="M299" s="10" t="inlineStr"/>
      <c r="N299" s="10" t="inlineStr"/>
    </row>
    <row r="300">
      <c r="A300" s="13" t="n">
        <v>297</v>
      </c>
      <c r="B300" s="13" t="inlineStr">
        <is>
          <t>C-일반</t>
        </is>
      </c>
      <c r="C300" s="8" t="inlineStr">
        <is>
          <t>공구·휠</t>
        </is>
      </c>
      <c r="D300" s="8" t="inlineStr">
        <is>
          <t>tools/연삭-조건-D8-4날-코너R-GASH.md</t>
        </is>
      </c>
      <c r="E300" s="8" t="n">
        <v>141</v>
      </c>
      <c r="F300" s="8" t="inlineStr">
        <is>
          <t>확인 필요</t>
        </is>
      </c>
      <c r="G300" s="8" t="inlineStr">
        <is>
          <t>2026-09-23</t>
        </is>
      </c>
      <c r="H300" s="8" t="n">
        <v>18</v>
      </c>
      <c r="I300" s="8" t="n"/>
      <c r="J300" s="9" t="inlineStr">
        <is>
          <t>치수/표면 품질 | (확인 필요)</t>
        </is>
      </c>
      <c r="K300" s="10" t="inlineStr"/>
      <c r="L300" s="10" t="inlineStr"/>
      <c r="M300" s="10" t="inlineStr"/>
      <c r="N300" s="10" t="inlineStr"/>
    </row>
    <row r="301">
      <c r="A301" s="14" t="n">
        <v>298</v>
      </c>
      <c r="B301" s="14" t="inlineStr">
        <is>
          <t>C-일반</t>
        </is>
      </c>
      <c r="C301" s="11" t="inlineStr">
        <is>
          <t>비교분석</t>
        </is>
      </c>
      <c r="D301" s="11" t="inlineStr">
        <is>
          <t>comparisons/출하현황-KPI-트렌드-2022-2026.md</t>
        </is>
      </c>
      <c r="E301" s="11" t="n">
        <v>351</v>
      </c>
      <c r="F301" s="11" t="inlineStr">
        <is>
          <t>확인 필요</t>
        </is>
      </c>
      <c r="G301" s="11" t="inlineStr">
        <is>
          <t>2026-10-01</t>
        </is>
      </c>
      <c r="H301" s="11" t="n">
        <v>10</v>
      </c>
      <c r="I301" s="11" t="n"/>
      <c r="J301" s="12" t="inlineStr">
        <is>
          <t>(2026-10-01) 2022~2025 출고 열이 출고(연마불가 차감) 기준인지는 다시 확인하지 않았다 — 2026 4·5월처럼 출고합계가 섞였을 가능성 확인 필요</t>
        </is>
      </c>
      <c r="K301" s="10" t="inlineStr"/>
      <c r="L301" s="10" t="inlineStr"/>
      <c r="M301" s="10" t="inlineStr"/>
      <c r="N301" s="10" t="inlineStr"/>
    </row>
    <row r="302">
      <c r="A302" s="13" t="n">
        <v>299</v>
      </c>
      <c r="B302" s="13" t="inlineStr">
        <is>
          <t>C-일반</t>
        </is>
      </c>
      <c r="C302" s="8" t="inlineStr">
        <is>
          <t>소재</t>
        </is>
      </c>
      <c r="D302" s="8" t="inlineStr">
        <is>
          <t>materials/초경.md</t>
        </is>
      </c>
      <c r="E302" s="8" t="n">
        <v>203</v>
      </c>
      <c r="F302" s="8" t="inlineStr">
        <is>
          <t>확인 필요</t>
        </is>
      </c>
      <c r="G302" s="8" t="inlineStr">
        <is>
          <t>2026-10-01</t>
        </is>
      </c>
      <c r="H302" s="8" t="n">
        <v>10</v>
      </c>
      <c r="I302" s="8" t="n"/>
      <c r="J302" s="9" t="inlineStr">
        <is>
          <t>J.J | 확인 필요 | 확인 필요 | 5개 미만 | 테스트용 소량 구매</t>
        </is>
      </c>
      <c r="K302" s="10" t="inlineStr"/>
      <c r="L302" s="10" t="inlineStr"/>
      <c r="M302" s="10" t="inlineStr"/>
      <c r="N302" s="10" t="inlineStr"/>
    </row>
    <row r="303">
      <c r="A303" s="14" t="n">
        <v>300</v>
      </c>
      <c r="B303" s="14" t="inlineStr">
        <is>
          <t>C-일반</t>
        </is>
      </c>
      <c r="C303" s="11" t="inlineStr">
        <is>
          <t>소재</t>
        </is>
      </c>
      <c r="D303" s="11" t="inlineStr">
        <is>
          <t>materials/초경.md</t>
        </is>
      </c>
      <c r="E303" s="11" t="n">
        <v>204</v>
      </c>
      <c r="F303" s="11" t="inlineStr">
        <is>
          <t>확인 필요</t>
        </is>
      </c>
      <c r="G303" s="11" t="inlineStr">
        <is>
          <t>2026-10-01</t>
        </is>
      </c>
      <c r="H303" s="11" t="n">
        <v>10</v>
      </c>
      <c r="I303" s="11" t="n"/>
      <c r="J303" s="12" t="inlineStr">
        <is>
          <t>한송 | 확인 필요 | 확인 필요 | 5개 미만 | 테스트용 소량 구매</t>
        </is>
      </c>
      <c r="K303" s="10" t="inlineStr"/>
      <c r="L303" s="10" t="inlineStr"/>
      <c r="M303" s="10" t="inlineStr"/>
      <c r="N303" s="10" t="inlineStr"/>
    </row>
    <row r="304">
      <c r="A304" s="13" t="n">
        <v>301</v>
      </c>
      <c r="B304" s="13" t="inlineStr">
        <is>
          <t>C-일반</t>
        </is>
      </c>
      <c r="C304" s="8" t="inlineStr">
        <is>
          <t>소재</t>
        </is>
      </c>
      <c r="D304" s="8" t="inlineStr">
        <is>
          <t>materials/초경.md</t>
        </is>
      </c>
      <c r="E304" s="8" t="n">
        <v>205</v>
      </c>
      <c r="F304" s="8" t="inlineStr">
        <is>
          <t>확인 필요</t>
        </is>
      </c>
      <c r="G304" s="8" t="inlineStr">
        <is>
          <t>2026-10-01</t>
        </is>
      </c>
      <c r="H304" s="8" t="n">
        <v>10</v>
      </c>
      <c r="I304" s="8" t="n"/>
      <c r="J304" s="9" t="inlineStr">
        <is>
          <t>부영 | 확인 필요 | 확인 필요 | 5개 미만 | 테스트용 소량 구매</t>
        </is>
      </c>
      <c r="K304" s="10" t="inlineStr"/>
      <c r="L304" s="10" t="inlineStr"/>
      <c r="M304" s="10" t="inlineStr"/>
      <c r="N304" s="10" t="inlineStr"/>
    </row>
    <row r="305">
      <c r="A305" s="14" t="n">
        <v>302</v>
      </c>
      <c r="B305" s="14" t="inlineStr">
        <is>
          <t>C-일반</t>
        </is>
      </c>
      <c r="C305" s="11" t="inlineStr">
        <is>
          <t>공구·휠</t>
        </is>
      </c>
      <c r="D305" s="11" t="inlineStr">
        <is>
          <t>tools/공구-수명-관리.md</t>
        </is>
      </c>
      <c r="E305" s="11" t="n">
        <v>269</v>
      </c>
      <c r="F305" s="11" t="inlineStr">
        <is>
          <t>확인 필요</t>
        </is>
      </c>
      <c r="G305" s="11" t="inlineStr">
        <is>
          <t>2026-10-01</t>
        </is>
      </c>
      <c r="H305" s="11" t="n">
        <v>10</v>
      </c>
      <c r="I305" s="11" t="n"/>
      <c r="J305" s="12" t="inlineStr">
        <is>
          <t>F | 볼 (Ø2~Ø8) | 날장 소진 시 | 확인 필요 | 날장 소진 | 횟수 기준 미확립</t>
        </is>
      </c>
      <c r="K305" s="10" t="inlineStr"/>
      <c r="L305" s="10" t="inlineStr"/>
      <c r="M305" s="10" t="inlineStr"/>
      <c r="N305" s="10" t="inlineStr"/>
    </row>
    <row r="306">
      <c r="A306" s="13" t="n">
        <v>303</v>
      </c>
      <c r="B306" s="13" t="inlineStr">
        <is>
          <t>C-일반</t>
        </is>
      </c>
      <c r="C306" s="8" t="inlineStr">
        <is>
          <t>공구·휠</t>
        </is>
      </c>
      <c r="D306" s="8" t="inlineStr">
        <is>
          <t>tools/공구-수명-관리.md</t>
        </is>
      </c>
      <c r="E306" s="8" t="n">
        <v>270</v>
      </c>
      <c r="F306" s="8" t="inlineStr">
        <is>
          <t>확인 필요</t>
        </is>
      </c>
      <c r="G306" s="8" t="inlineStr">
        <is>
          <t>2026-10-01</t>
        </is>
      </c>
      <c r="H306" s="8" t="n">
        <v>10</v>
      </c>
      <c r="I306" s="8" t="n"/>
      <c r="J306" s="9" t="inlineStr">
        <is>
          <t>F | 코너R (Ø2~Ø8) | 날장 소진 시 | 확인 필요 | 날장 소진 | 횟수 기준 미확립</t>
        </is>
      </c>
      <c r="K306" s="10" t="inlineStr"/>
      <c r="L306" s="10" t="inlineStr"/>
      <c r="M306" s="10" t="inlineStr"/>
      <c r="N306" s="10" t="inlineStr"/>
    </row>
    <row r="307">
      <c r="A307" s="14" t="n">
        <v>304</v>
      </c>
      <c r="B307" s="14" t="inlineStr">
        <is>
          <t>C-일반</t>
        </is>
      </c>
      <c r="C307" s="11" t="inlineStr">
        <is>
          <t>공구·휠</t>
        </is>
      </c>
      <c r="D307" s="11" t="inlineStr">
        <is>
          <t>tools/공구-수명-관리.md</t>
        </is>
      </c>
      <c r="E307" s="11" t="n">
        <v>271</v>
      </c>
      <c r="F307" s="11" t="inlineStr">
        <is>
          <t>확인 필요</t>
        </is>
      </c>
      <c r="G307" s="11" t="inlineStr">
        <is>
          <t>2026-10-01</t>
        </is>
      </c>
      <c r="H307" s="11" t="n">
        <v>10</v>
      </c>
      <c r="I307" s="11" t="n"/>
      <c r="J307" s="12" t="inlineStr">
        <is>
          <t>F | 평/스퀘어 (Ø2~Ø8) | 날장 소진 시 | 확인 필요 | 날장 소진 | 횟수 기준 미확립</t>
        </is>
      </c>
      <c r="K307" s="10" t="inlineStr"/>
      <c r="L307" s="10" t="inlineStr"/>
      <c r="M307" s="10" t="inlineStr"/>
      <c r="N307" s="10" t="inlineStr"/>
    </row>
    <row r="308">
      <c r="A308" s="13" t="n">
        <v>305</v>
      </c>
      <c r="B308" s="13" t="inlineStr">
        <is>
          <t>C-일반</t>
        </is>
      </c>
      <c r="C308" s="8" t="inlineStr">
        <is>
          <t>공구·휠</t>
        </is>
      </c>
      <c r="D308" s="8" t="inlineStr">
        <is>
          <t>tools/공구-수명-관리.md</t>
        </is>
      </c>
      <c r="E308" s="8" t="n">
        <v>272</v>
      </c>
      <c r="F308" s="8" t="inlineStr">
        <is>
          <t>확인 필요</t>
        </is>
      </c>
      <c r="G308" s="8" t="inlineStr">
        <is>
          <t>2026-10-01</t>
        </is>
      </c>
      <c r="H308" s="8" t="n">
        <v>10</v>
      </c>
      <c r="I308" s="8" t="n"/>
      <c r="J308" s="9" t="inlineStr">
        <is>
          <t>G | 볼 (Ø10~Ø20) | 날장 소진 시 | 확인 필요 | 날장 소진 | 횟수 기준 미확립</t>
        </is>
      </c>
      <c r="K308" s="10" t="inlineStr"/>
      <c r="L308" s="10" t="inlineStr"/>
      <c r="M308" s="10" t="inlineStr"/>
      <c r="N308" s="10" t="inlineStr"/>
    </row>
    <row r="309">
      <c r="A309" s="14" t="n">
        <v>306</v>
      </c>
      <c r="B309" s="14" t="inlineStr">
        <is>
          <t>C-일반</t>
        </is>
      </c>
      <c r="C309" s="11" t="inlineStr">
        <is>
          <t>공구·휠</t>
        </is>
      </c>
      <c r="D309" s="11" t="inlineStr">
        <is>
          <t>tools/공구-수명-관리.md</t>
        </is>
      </c>
      <c r="E309" s="11" t="n">
        <v>273</v>
      </c>
      <c r="F309" s="11" t="inlineStr">
        <is>
          <t>확인 필요</t>
        </is>
      </c>
      <c r="G309" s="11" t="inlineStr">
        <is>
          <t>2026-10-01</t>
        </is>
      </c>
      <c r="H309" s="11" t="n">
        <v>10</v>
      </c>
      <c r="I309" s="11" t="n"/>
      <c r="J309" s="12" t="inlineStr">
        <is>
          <t>G | 코너R (Ø10~Ø20) | 날장 소진 시 | 확인 필요 | 날장 소진 | 횟수 기준 미확립</t>
        </is>
      </c>
      <c r="K309" s="10" t="inlineStr"/>
      <c r="L309" s="10" t="inlineStr"/>
      <c r="M309" s="10" t="inlineStr"/>
      <c r="N309" s="10" t="inlineStr"/>
    </row>
    <row r="310">
      <c r="A310" s="13" t="n">
        <v>307</v>
      </c>
      <c r="B310" s="13" t="inlineStr">
        <is>
          <t>C-일반</t>
        </is>
      </c>
      <c r="C310" s="8" t="inlineStr">
        <is>
          <t>공구·휠</t>
        </is>
      </c>
      <c r="D310" s="8" t="inlineStr">
        <is>
          <t>tools/공구-수명-관리.md</t>
        </is>
      </c>
      <c r="E310" s="8" t="n">
        <v>274</v>
      </c>
      <c r="F310" s="8" t="inlineStr">
        <is>
          <t>확인 필요</t>
        </is>
      </c>
      <c r="G310" s="8" t="inlineStr">
        <is>
          <t>2026-10-01</t>
        </is>
      </c>
      <c r="H310" s="8" t="n">
        <v>10</v>
      </c>
      <c r="I310" s="8" t="n"/>
      <c r="J310" s="9" t="inlineStr">
        <is>
          <t>G | 평/스퀘어 (Ø10~Ø20) | 날장 소진 시 | 확인 필요 | 날장 소진 | 횟수 기준 미확립</t>
        </is>
      </c>
      <c r="K310" s="10" t="inlineStr"/>
      <c r="L310" s="10" t="inlineStr"/>
      <c r="M310" s="10" t="inlineStr"/>
      <c r="N310" s="10" t="inlineStr"/>
    </row>
    <row r="311">
      <c r="A311" s="14" t="n">
        <v>308</v>
      </c>
      <c r="B311" s="14" t="inlineStr">
        <is>
          <t>C-일반</t>
        </is>
      </c>
      <c r="C311" s="11" t="inlineStr">
        <is>
          <t>공구·휠</t>
        </is>
      </c>
      <c r="D311" s="11" t="inlineStr">
        <is>
          <t>tools/공구-수명-관리.md</t>
        </is>
      </c>
      <c r="E311" s="11" t="n">
        <v>275</v>
      </c>
      <c r="F311" s="11" t="inlineStr">
        <is>
          <t>확인 필요</t>
        </is>
      </c>
      <c r="G311" s="11" t="inlineStr">
        <is>
          <t>2026-10-01</t>
        </is>
      </c>
      <c r="H311" s="11" t="n">
        <v>10</v>
      </c>
      <c r="I311" s="11" t="n"/>
      <c r="J311" s="12" t="inlineStr">
        <is>
          <t>F/G | 드릴 | 날장 소진 시 | 확인 필요 | 날장 소진</t>
        </is>
      </c>
      <c r="K311" s="10" t="inlineStr"/>
      <c r="L311" s="10" t="inlineStr"/>
      <c r="M311" s="10" t="inlineStr"/>
      <c r="N311" s="10" t="inlineStr"/>
    </row>
    <row r="312">
      <c r="A312" s="13" t="n">
        <v>309</v>
      </c>
      <c r="B312" s="13" t="inlineStr">
        <is>
          <t>C-일반</t>
        </is>
      </c>
      <c r="C312" s="8" t="inlineStr">
        <is>
          <t>공구·휠</t>
        </is>
      </c>
      <c r="D312" s="8" t="inlineStr">
        <is>
          <t>tools/공구-수명-관리.md</t>
        </is>
      </c>
      <c r="E312" s="8" t="n">
        <v>276</v>
      </c>
      <c r="F312" s="8" t="inlineStr">
        <is>
          <t>확인 필요</t>
        </is>
      </c>
      <c r="G312" s="8" t="inlineStr">
        <is>
          <t>2026-10-01</t>
        </is>
      </c>
      <c r="H312" s="8" t="n">
        <v>10</v>
      </c>
      <c r="I312" s="8" t="n"/>
      <c r="J312" s="9" t="inlineStr">
        <is>
          <t>F/G | 면취 | 날장 소진 시 | 확인 필요 | 날장 소진</t>
        </is>
      </c>
      <c r="K312" s="10" t="inlineStr"/>
      <c r="L312" s="10" t="inlineStr"/>
      <c r="M312" s="10" t="inlineStr"/>
      <c r="N312" s="10" t="inlineStr"/>
    </row>
    <row r="313">
      <c r="A313" s="14" t="n">
        <v>310</v>
      </c>
      <c r="B313" s="14" t="inlineStr">
        <is>
          <t>C-일반</t>
        </is>
      </c>
      <c r="C313" s="11" t="inlineStr">
        <is>
          <t>공구·휠</t>
        </is>
      </c>
      <c r="D313" s="11" t="inlineStr">
        <is>
          <t>tools/공구-수명-관리.md</t>
        </is>
      </c>
      <c r="E313" s="11" t="n">
        <v>277</v>
      </c>
      <c r="F313" s="11" t="inlineStr">
        <is>
          <t>확인 필요</t>
        </is>
      </c>
      <c r="G313" s="11" t="inlineStr">
        <is>
          <t>2026-10-01</t>
        </is>
      </c>
      <c r="H313" s="11" t="n">
        <v>10</v>
      </c>
      <c r="I313" s="11" t="n"/>
      <c r="J313" s="12" t="inlineStr">
        <is>
          <t>F/G | NC | 날장 소진 시 | 확인 필요 | 날장 소진</t>
        </is>
      </c>
      <c r="K313" s="10" t="inlineStr"/>
      <c r="L313" s="10" t="inlineStr"/>
      <c r="M313" s="10" t="inlineStr"/>
      <c r="N313" s="10" t="inlineStr"/>
    </row>
    <row r="314">
      <c r="A314" s="13" t="n">
        <v>311</v>
      </c>
      <c r="B314" s="13" t="inlineStr">
        <is>
          <t>C-일반</t>
        </is>
      </c>
      <c r="C314" s="8" t="inlineStr">
        <is>
          <t>트러블슈팅</t>
        </is>
      </c>
      <c r="D314" s="8" t="inlineStr">
        <is>
          <t>troubleshoot/치수불량.md</t>
        </is>
      </c>
      <c r="E314" s="8" t="n">
        <v>168</v>
      </c>
      <c r="F314" s="8" t="inlineStr">
        <is>
          <t>확인 필요</t>
        </is>
      </c>
      <c r="G314" s="8" t="inlineStr">
        <is>
          <t>2026-10-01</t>
        </is>
      </c>
      <c r="H314" s="8" t="n">
        <v>10</v>
      </c>
      <c r="I314" s="8" t="n"/>
      <c r="J314" s="9" t="inlineStr">
        <is>
          <t>사내 확인 필요 — 아래는 일반 공구 연삭 기준 추정값. 실측 후 갱신 권장.</t>
        </is>
      </c>
      <c r="K314" s="10" t="inlineStr"/>
      <c r="L314" s="10" t="inlineStr"/>
      <c r="M314" s="10" t="inlineStr"/>
      <c r="N314" s="10" t="inlineStr"/>
    </row>
    <row r="315">
      <c r="A315" s="14" t="n">
        <v>312</v>
      </c>
      <c r="B315" s="14" t="inlineStr">
        <is>
          <t>C-일반</t>
        </is>
      </c>
      <c r="C315" s="11" t="inlineStr">
        <is>
          <t>트러블슈팅</t>
        </is>
      </c>
      <c r="D315" s="11" t="inlineStr">
        <is>
          <t>troubleshoot/치수불량.md</t>
        </is>
      </c>
      <c r="E315" s="11" t="n">
        <v>181</v>
      </c>
      <c r="F315" s="11" t="inlineStr">
        <is>
          <t>확인 필요</t>
        </is>
      </c>
      <c r="G315" s="11" t="inlineStr">
        <is>
          <t>2026-10-01</t>
        </is>
      </c>
      <c r="H315" s="11" t="n">
        <v>10</v>
      </c>
      <c r="I315" s="11" t="n"/>
      <c r="J315" s="12" t="inlineStr">
        <is>
          <t>[인용 정정 2026-10-01] 종전 출처 [STD-ISO2768] → [STD-ISO1]. 측정 기준 온도 20 °C 는 ISO 1 소관이고 ISO 2768(일반 공차)은 온도를 다루지 않는다. ±2 °C 허용폭은 ISO 1 규정이 아니다 — 사내 측정 관행으로 보이나 근거 확인 필요(값은 바꾸지 않음).</t>
        </is>
      </c>
      <c r="K315" s="10" t="inlineStr"/>
      <c r="L315" s="10" t="inlineStr"/>
      <c r="M315" s="10" t="inlineStr"/>
      <c r="N315" s="10" t="inlineStr"/>
    </row>
    <row r="316">
      <c r="A316" s="13" t="n">
        <v>313</v>
      </c>
      <c r="B316" s="13" t="inlineStr">
        <is>
          <t>C-일반</t>
        </is>
      </c>
      <c r="C316" s="8" t="inlineStr">
        <is>
          <t>ERP</t>
        </is>
      </c>
      <c r="D316" s="8" t="inlineStr">
        <is>
          <t>erp/생산팀-업무분장-KPI체계.md</t>
        </is>
      </c>
      <c r="E316" s="8" t="n">
        <v>125</v>
      </c>
      <c r="F316" s="8" t="inlineStr">
        <is>
          <t>확인 필요</t>
        </is>
      </c>
      <c r="G316" s="8" t="inlineStr">
        <is>
          <t>2026-10-02</t>
        </is>
      </c>
      <c r="H316" s="8" t="n">
        <v>9</v>
      </c>
      <c r="I316" s="8" t="n"/>
      <c r="J316" s="9" t="inlineStr">
        <is>
          <t>⚠️ "양품율" 지표는 값이 낮을수록 상위 등급(S=0.5%)인 구조 — 표기상 "불량률(연마불가율)"에 가까워 보이나, 원본 라벨을 그대로 유지하고 이 각주로 병기함(확인 필요).</t>
        </is>
      </c>
      <c r="K316" s="10" t="inlineStr"/>
      <c r="L316" s="10" t="inlineStr"/>
      <c r="M316" s="10" t="inlineStr"/>
      <c r="N316" s="10" t="inlineStr"/>
    </row>
    <row r="317">
      <c r="A317" s="14" t="n">
        <v>314</v>
      </c>
      <c r="B317" s="14" t="inlineStr">
        <is>
          <t>C-일반</t>
        </is>
      </c>
      <c r="C317" s="11" t="inlineStr">
        <is>
          <t>프로젝트</t>
        </is>
      </c>
      <c r="D317" s="11" t="inlineStr">
        <is>
          <t>projects/공구사양-실험-이력.md</t>
        </is>
      </c>
      <c r="E317" s="11" t="n">
        <v>85</v>
      </c>
      <c r="F317" s="11" t="inlineStr">
        <is>
          <t>확인 필요</t>
        </is>
      </c>
      <c r="G317" s="11" t="inlineStr">
        <is>
          <t>2026-10-02</t>
        </is>
      </c>
      <c r="H317" s="11" t="n">
        <v>9</v>
      </c>
      <c r="I317" s="11" t="n"/>
      <c r="J317" s="12" t="inlineStr">
        <is>
          <t>⚠️ 단, "표준화 완료" 여부는 한경준님 확인 필요 (tasks.md 미완 항목 — 챗으로 가져갈 질문).</t>
        </is>
      </c>
      <c r="K317" s="10" t="inlineStr"/>
      <c r="L317" s="10" t="inlineStr"/>
      <c r="M317" s="10" t="inlineStr"/>
      <c r="N317" s="10" t="inlineStr"/>
    </row>
    <row r="318">
      <c r="A318" s="13" t="n">
        <v>315</v>
      </c>
      <c r="B318" s="13" t="inlineStr">
        <is>
          <t>C-일반</t>
        </is>
      </c>
      <c r="C318" s="8" t="inlineStr">
        <is>
          <t>설비·정비</t>
        </is>
      </c>
      <c r="D318" s="8" t="inlineStr">
        <is>
          <t>repairs/fastgrind-로더-유압실린더-파손-2026-08-11.md</t>
        </is>
      </c>
      <c r="E318" s="8" t="n">
        <v>51</v>
      </c>
      <c r="F318" s="8" t="inlineStr">
        <is>
          <t>확인 필요</t>
        </is>
      </c>
      <c r="G318" s="8" t="inlineStr">
        <is>
          <t>2026-10-02</t>
        </is>
      </c>
      <c r="H318" s="8" t="n">
        <v>9</v>
      </c>
      <c r="I318" s="8" t="n"/>
      <c r="J318" s="9"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318" s="10" t="inlineStr"/>
      <c r="L318" s="10" t="inlineStr"/>
      <c r="M318" s="10" t="inlineStr"/>
      <c r="N318" s="10" t="inlineStr"/>
    </row>
    <row r="319">
      <c r="A319" s="14" t="n">
        <v>316</v>
      </c>
      <c r="B319" s="14" t="inlineStr">
        <is>
          <t>C-일반</t>
        </is>
      </c>
      <c r="C319" s="11" t="inlineStr">
        <is>
          <t>설비·정비</t>
        </is>
      </c>
      <c r="D319" s="11" t="inlineStr">
        <is>
          <t>repairs/fastgrind-로더-유압실린더-파손-2026-08-11.md</t>
        </is>
      </c>
      <c r="E319" s="11" t="n">
        <v>98</v>
      </c>
      <c r="F319" s="11" t="inlineStr">
        <is>
          <t>확인 필요</t>
        </is>
      </c>
      <c r="G319" s="11" t="inlineStr">
        <is>
          <t>2026-10-02</t>
        </is>
      </c>
      <c r="H319" s="11" t="n">
        <v>9</v>
      </c>
      <c r="I319" s="11" t="n"/>
      <c r="J319" s="12"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319" s="10" t="inlineStr"/>
      <c r="L319" s="10" t="inlineStr"/>
      <c r="M319" s="10" t="inlineStr"/>
      <c r="N319" s="10" t="inlineStr"/>
    </row>
    <row r="320">
      <c r="A320" s="13" t="n">
        <v>317</v>
      </c>
      <c r="B320" s="13" t="inlineStr">
        <is>
          <t>C-일반</t>
        </is>
      </c>
      <c r="C320" s="8" t="inlineStr">
        <is>
          <t>설비·정비</t>
        </is>
      </c>
      <c r="D320" s="8" t="inlineStr">
        <is>
          <t>repairs/fastgrind-로더-유압실린더-파손-2026-08-11.md</t>
        </is>
      </c>
      <c r="E320" s="8" t="n">
        <v>107</v>
      </c>
      <c r="F320" s="8" t="inlineStr">
        <is>
          <t>미확정</t>
        </is>
      </c>
      <c r="G320" s="8" t="inlineStr">
        <is>
          <t>2026-10-02</t>
        </is>
      </c>
      <c r="H320" s="8" t="n">
        <v>9</v>
      </c>
      <c r="I320" s="8" t="n"/>
      <c r="J320" s="9" t="inlineStr">
        <is>
          <t>⚠️ 정밀 원인 미확정 — ANCA 정비 측의 정밀 진단(견적서 포함) 결과가 나오는 대로 갱신 필요. PLC 로그 기반 정밀 타임라인은 위 §3 참조.</t>
        </is>
      </c>
      <c r="K320" s="10" t="inlineStr"/>
      <c r="L320" s="10" t="inlineStr"/>
      <c r="M320" s="10" t="inlineStr"/>
      <c r="N320" s="10" t="inlineStr"/>
    </row>
    <row r="321">
      <c r="A321" s="14" t="n">
        <v>318</v>
      </c>
      <c r="B321" s="14" t="inlineStr">
        <is>
          <t>C-일반</t>
        </is>
      </c>
      <c r="C321" s="11" t="inlineStr">
        <is>
          <t>설비·정비</t>
        </is>
      </c>
      <c r="D321" s="11" t="inlineStr">
        <is>
          <t>repairs/fastgrind-로더-유압실린더-파손-2026-08-11.md</t>
        </is>
      </c>
      <c r="E321" s="11" t="n">
        <v>112</v>
      </c>
      <c r="F321" s="11" t="inlineStr">
        <is>
          <t>확인 필요</t>
        </is>
      </c>
      <c r="G321" s="11" t="inlineStr">
        <is>
          <t>2026-10-02</t>
        </is>
      </c>
      <c r="H321" s="11" t="n">
        <v>9</v>
      </c>
      <c r="I321" s="11" t="n"/>
      <c r="J321" s="12"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321" s="10" t="inlineStr"/>
      <c r="L321" s="10" t="inlineStr"/>
      <c r="M321" s="10" t="inlineStr"/>
      <c r="N321" s="10" t="inlineStr"/>
    </row>
    <row r="322">
      <c r="A322" s="13" t="n">
        <v>319</v>
      </c>
      <c r="B322" s="13" t="inlineStr">
        <is>
          <t>C-일반</t>
        </is>
      </c>
      <c r="C322" s="8" t="inlineStr">
        <is>
          <t>설비·정비</t>
        </is>
      </c>
      <c r="D322" s="8" t="inlineStr">
        <is>
          <t>repairs/fastgrind-로더-유압실린더-파손-2026-08-11.md</t>
        </is>
      </c>
      <c r="E322" s="8" t="n">
        <v>113</v>
      </c>
      <c r="F322" s="8" t="inlineStr">
        <is>
          <t>확인 필요</t>
        </is>
      </c>
      <c r="G322" s="8" t="inlineStr">
        <is>
          <t>2026-10-02</t>
        </is>
      </c>
      <c r="H322" s="8" t="n">
        <v>9</v>
      </c>
      <c r="I322" s="8" t="n"/>
      <c r="J322" s="9" t="inlineStr">
        <is>
          <t>유압실린더 봉 파손이 (a) 끌림 사고 이전부터 있던 선행 결함(노후화 진행)이 사고를 유발/악화시킨 것인지, (b) 끌림 사고의 충격만으로 발생한 것인지 — 확인 필요.</t>
        </is>
      </c>
      <c r="K322" s="10" t="inlineStr"/>
      <c r="L322" s="10" t="inlineStr"/>
      <c r="M322" s="10" t="inlineStr"/>
      <c r="N322" s="10" t="inlineStr"/>
    </row>
    <row r="323">
      <c r="A323" s="14" t="n">
        <v>320</v>
      </c>
      <c r="B323" s="14" t="inlineStr">
        <is>
          <t>C-일반</t>
        </is>
      </c>
      <c r="C323" s="11" t="inlineStr">
        <is>
          <t>설비·정비</t>
        </is>
      </c>
      <c r="D323" s="11" t="inlineStr">
        <is>
          <t>repairs/fastgrind-로더-유압실린더-파손-2026-08-11.md</t>
        </is>
      </c>
      <c r="E323" s="11" t="n">
        <v>175</v>
      </c>
      <c r="F323" s="11" t="inlineStr">
        <is>
          <t>확인 필요</t>
        </is>
      </c>
      <c r="G323" s="11" t="inlineStr">
        <is>
          <t>2026-10-02</t>
        </is>
      </c>
      <c r="H323" s="11" t="n">
        <v>9</v>
      </c>
      <c r="I323" s="11" t="n"/>
      <c r="J323" s="12"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323" s="10" t="inlineStr"/>
      <c r="L323" s="10" t="inlineStr"/>
      <c r="M323" s="10" t="inlineStr"/>
      <c r="N323" s="10" t="inlineStr"/>
    </row>
    <row r="324">
      <c r="A324" s="13" t="n">
        <v>321</v>
      </c>
      <c r="B324" s="13" t="inlineStr">
        <is>
          <t>C-일반</t>
        </is>
      </c>
      <c r="C324" s="8" t="inlineStr">
        <is>
          <t>설비·정비</t>
        </is>
      </c>
      <c r="D324" s="8" t="inlineStr">
        <is>
          <t>repairs/fastgrind-로더-유압실린더-파손-2026-08-11.md</t>
        </is>
      </c>
      <c r="E324" s="8" t="n">
        <v>202</v>
      </c>
      <c r="F324" s="8" t="inlineStr">
        <is>
          <t>확인 필요</t>
        </is>
      </c>
      <c r="G324" s="8" t="inlineStr">
        <is>
          <t>2026-10-02</t>
        </is>
      </c>
      <c r="H324" s="8" t="n">
        <v>9</v>
      </c>
      <c r="I324" s="8" t="n"/>
      <c r="J324" s="9"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324" s="10" t="inlineStr"/>
      <c r="L324" s="10" t="inlineStr"/>
      <c r="M324" s="10" t="inlineStr"/>
      <c r="N324" s="10" t="inlineStr"/>
    </row>
    <row r="325">
      <c r="A325" s="14" t="n">
        <v>322</v>
      </c>
      <c r="B325" s="14" t="inlineStr">
        <is>
          <t>C-일반</t>
        </is>
      </c>
      <c r="C325" s="11" t="inlineStr">
        <is>
          <t>설비·정비</t>
        </is>
      </c>
      <c r="D325" s="11" t="inlineStr">
        <is>
          <t>repairs/fastgrind-로더-유압실린더-파손-2026-08-11.md</t>
        </is>
      </c>
      <c r="E325" s="11" t="n">
        <v>226</v>
      </c>
      <c r="F325" s="11" t="inlineStr">
        <is>
          <t>확인 필요</t>
        </is>
      </c>
      <c r="G325" s="11" t="inlineStr">
        <is>
          <t>2026-10-02</t>
        </is>
      </c>
      <c r="H325" s="11" t="n">
        <v>9</v>
      </c>
      <c r="I325" s="11" t="n"/>
      <c r="J325" s="12" t="inlineStr">
        <is>
          <t>(예정) | 부품 입고 + ANCA 서비스 현장 장착 진행 | 미착수 — 정확한 착수일 확인 필요</t>
        </is>
      </c>
      <c r="K325" s="10" t="inlineStr"/>
      <c r="L325" s="10" t="inlineStr"/>
      <c r="M325" s="10" t="inlineStr"/>
      <c r="N325" s="10" t="inlineStr"/>
    </row>
    <row r="326">
      <c r="A326" s="13" t="n">
        <v>323</v>
      </c>
      <c r="B326" s="13" t="inlineStr">
        <is>
          <t>C-일반</t>
        </is>
      </c>
      <c r="C326" s="8" t="inlineStr">
        <is>
          <t>설비·정비</t>
        </is>
      </c>
      <c r="D326" s="8" t="inlineStr">
        <is>
          <t>repairs/fastgrind-로더-유압실린더-파손-2026-08-11.md</t>
        </is>
      </c>
      <c r="E326" s="8" t="n">
        <v>232</v>
      </c>
      <c r="F326" s="8" t="inlineStr">
        <is>
          <t>미확정</t>
        </is>
      </c>
      <c r="G326" s="8" t="inlineStr">
        <is>
          <t>2026-10-02</t>
        </is>
      </c>
      <c r="H326" s="8" t="n">
        <v>9</v>
      </c>
      <c r="I326" s="8" t="n"/>
      <c r="J326" s="9" t="inlineStr">
        <is>
          <t>정식 수리 일정(부품 리드타임 등)은 아직 미확정 — 확정되는 대로 갱신 필요.</t>
        </is>
      </c>
      <c r="K326" s="10" t="inlineStr"/>
      <c r="L326" s="10" t="inlineStr"/>
      <c r="M326" s="10" t="inlineStr"/>
      <c r="N326" s="10" t="inlineStr"/>
    </row>
    <row r="327">
      <c r="A327" s="14" t="n">
        <v>324</v>
      </c>
      <c r="B327" s="14" t="inlineStr">
        <is>
          <t>C-일반</t>
        </is>
      </c>
      <c r="C327" s="11" t="inlineStr">
        <is>
          <t>설비·정비</t>
        </is>
      </c>
      <c r="D327" s="11" t="inlineStr">
        <is>
          <t>repairs/gx7-로더-사용금지-2026-08-13.md</t>
        </is>
      </c>
      <c r="E327" s="11" t="n">
        <v>46</v>
      </c>
      <c r="F327" s="11" t="inlineStr">
        <is>
          <t>확인 필요</t>
        </is>
      </c>
      <c r="G327" s="11" t="inlineStr">
        <is>
          <t>2026-10-02</t>
        </is>
      </c>
      <c r="H327" s="11" t="n">
        <v>9</v>
      </c>
      <c r="I327" s="11" t="n"/>
      <c r="J327" s="12"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327" s="10" t="inlineStr"/>
      <c r="L327" s="10" t="inlineStr"/>
      <c r="M327" s="10" t="inlineStr"/>
      <c r="N327" s="10" t="inlineStr"/>
    </row>
    <row r="328">
      <c r="A328" s="13" t="n">
        <v>325</v>
      </c>
      <c r="B328" s="13" t="inlineStr">
        <is>
          <t>C-일반</t>
        </is>
      </c>
      <c r="C328" s="8" t="inlineStr">
        <is>
          <t>설비·정비</t>
        </is>
      </c>
      <c r="D328" s="8" t="inlineStr">
        <is>
          <t>repairs/gx7-로더-사용금지-2026-08-13.md</t>
        </is>
      </c>
      <c r="E328" s="8" t="n">
        <v>66</v>
      </c>
      <c r="F328" s="8" t="inlineStr">
        <is>
          <t>확인 필요</t>
        </is>
      </c>
      <c r="G328" s="8" t="inlineStr">
        <is>
          <t>2026-10-02</t>
        </is>
      </c>
      <c r="H328" s="8" t="n">
        <v>9</v>
      </c>
      <c r="I328" s="8" t="n"/>
      <c r="J328" s="9"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328" s="10" t="inlineStr"/>
      <c r="L328" s="10" t="inlineStr"/>
      <c r="M328" s="10" t="inlineStr"/>
      <c r="N328" s="10" t="inlineStr"/>
    </row>
    <row r="329">
      <c r="A329" s="14" t="n">
        <v>326</v>
      </c>
      <c r="B329" s="14" t="inlineStr">
        <is>
          <t>C-일반</t>
        </is>
      </c>
      <c r="C329" s="11" t="inlineStr">
        <is>
          <t>설비·정비</t>
        </is>
      </c>
      <c r="D329" s="11" t="inlineStr">
        <is>
          <t>repairs/gx7-로더-사용금지-2026-08-13.md</t>
        </is>
      </c>
      <c r="E329" s="11" t="n">
        <v>72</v>
      </c>
      <c r="F329" s="11" t="inlineStr">
        <is>
          <t>확인 필요</t>
        </is>
      </c>
      <c r="G329" s="11" t="inlineStr">
        <is>
          <t>2026-10-02</t>
        </is>
      </c>
      <c r="H329" s="11" t="n">
        <v>9</v>
      </c>
      <c r="I329" s="11" t="n"/>
      <c r="J329" s="12"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329" s="10" t="inlineStr"/>
      <c r="L329" s="10" t="inlineStr"/>
      <c r="M329" s="10" t="inlineStr"/>
      <c r="N329" s="10" t="inlineStr"/>
    </row>
    <row r="330">
      <c r="A330" s="13" t="n">
        <v>327</v>
      </c>
      <c r="B330" s="13" t="inlineStr">
        <is>
          <t>C-일반</t>
        </is>
      </c>
      <c r="C330" s="8" t="inlineStr">
        <is>
          <t>프로젝트</t>
        </is>
      </c>
      <c r="D330" s="8" t="inlineStr">
        <is>
          <t>projects/자동화-효과-지표-2026.md</t>
        </is>
      </c>
      <c r="E330" s="8" t="n">
        <v>46</v>
      </c>
      <c r="F330" s="8" t="inlineStr">
        <is>
          <t>확인 필요</t>
        </is>
      </c>
      <c r="G330" s="8" t="inlineStr">
        <is>
          <t>2026-10-07</t>
        </is>
      </c>
      <c r="H330" s="8" t="n">
        <v>4</v>
      </c>
      <c r="I330" s="8" t="n"/>
      <c r="J330" s="9" t="inlineStr">
        <is>
          <t>B2B 고객 폼 5종 | 연결 확인(10-06 시험 접수) | 구글 시트 · 담당자 메일 | 실제 고객 접수 0건(사내 현황판 표시) — 집계 범위 확인 필요 | 4 | 👀 관찰 — 11-04 재판정</t>
        </is>
      </c>
      <c r="K330" s="10" t="inlineStr"/>
      <c r="L330" s="10" t="inlineStr"/>
      <c r="M330" s="10" t="inlineStr"/>
      <c r="N330" s="10" t="inlineStr"/>
    </row>
    <row r="331">
      <c r="A331" s="14" t="n">
        <v>328</v>
      </c>
      <c r="B331" s="14" t="inlineStr">
        <is>
          <t>C-일반</t>
        </is>
      </c>
      <c r="C331" s="11" t="inlineStr">
        <is>
          <t>설비·정비</t>
        </is>
      </c>
      <c r="D331" s="11" t="inlineStr">
        <is>
          <t>repairs/과거-수리이력-백필-2021-2025.md</t>
        </is>
      </c>
      <c r="E331" s="11" t="n">
        <v>21</v>
      </c>
      <c r="F331" s="11" t="inlineStr">
        <is>
          <t>확인 필요</t>
        </is>
      </c>
      <c r="G331" s="11" t="inlineStr">
        <is>
          <t>2026-10-07</t>
        </is>
      </c>
      <c r="H331" s="11" t="n">
        <v>4</v>
      </c>
      <c r="I331" s="11" t="n"/>
      <c r="J331" s="12"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331" s="10" t="inlineStr"/>
      <c r="L331" s="10" t="inlineStr"/>
      <c r="M331" s="10" t="inlineStr"/>
      <c r="N331" s="10" t="inlineStr"/>
    </row>
    <row r="332">
      <c r="A332" s="13" t="n">
        <v>329</v>
      </c>
      <c r="B332" s="13" t="inlineStr">
        <is>
          <t>C-일반</t>
        </is>
      </c>
      <c r="C332" s="8" t="inlineStr">
        <is>
          <t>설비·정비</t>
        </is>
      </c>
      <c r="D332" s="8" t="inlineStr">
        <is>
          <t>repairs/과거-수리이력-백필-2021-2025.md</t>
        </is>
      </c>
      <c r="E332" s="8" t="n">
        <v>260</v>
      </c>
      <c r="F332" s="8" t="inlineStr">
        <is>
          <t>확인 필요</t>
        </is>
      </c>
      <c r="G332" s="8" t="inlineStr">
        <is>
          <t>2026-10-07</t>
        </is>
      </c>
      <c r="H332" s="8" t="n">
        <v>4</v>
      </c>
      <c r="I332" s="8" t="n"/>
      <c r="J332" s="9" t="inlineStr">
        <is>
          <t>§확인 필요: ①설비와 정확한 설치 위치(도어? 커버? 로더 암?) ②스프링 규격(선경·외경·자유장·훅 형식) ③수리 방식(동일품 교체 vs 대체품) ④파손 원인(피로 파괴 추정 — 훅 끝단은 응력 집중부).</t>
        </is>
      </c>
      <c r="K332" s="10" t="inlineStr"/>
      <c r="L332" s="10" t="inlineStr"/>
      <c r="M332" s="10" t="inlineStr"/>
      <c r="N332" s="10" t="inlineStr"/>
    </row>
    <row r="333">
      <c r="A333" s="14" t="n">
        <v>330</v>
      </c>
      <c r="B333" s="14" t="inlineStr">
        <is>
          <t>C-일반</t>
        </is>
      </c>
      <c r="C333" s="11" t="inlineStr">
        <is>
          <t>설비·정비</t>
        </is>
      </c>
      <c r="D333" s="11" t="inlineStr">
        <is>
          <t>repairs/과거-수리이력-백필-2021-2025.md</t>
        </is>
      </c>
      <c r="E333" s="11" t="n">
        <v>295</v>
      </c>
      <c r="F333" s="11" t="inlineStr">
        <is>
          <t>미판독</t>
        </is>
      </c>
      <c r="G333" s="11" t="inlineStr">
        <is>
          <t>2026-10-07</t>
        </is>
      </c>
      <c r="H333" s="11" t="n">
        <v>4</v>
      </c>
      <c r="I333" s="11" t="n"/>
      <c r="J333" s="12" t="inlineStr">
        <is>
          <t>③ | 부품 영수증.png | 미판독 유지 — ②·②-1이 사내 확인으로 해소돼 판독 필요성은 낮아짐. 금융정보 포함이므로 위키 기재 대상 아님</t>
        </is>
      </c>
      <c r="K333" s="10" t="inlineStr"/>
      <c r="L333" s="10" t="inlineStr"/>
      <c r="M333" s="10" t="inlineStr"/>
      <c r="N333" s="10" t="inlineStr"/>
    </row>
    <row r="334">
      <c r="A334" s="13" t="n">
        <v>331</v>
      </c>
      <c r="B334" s="13" t="inlineStr">
        <is>
          <t>C-일반</t>
        </is>
      </c>
      <c r="C334" s="8" t="inlineStr">
        <is>
          <t>설비·정비</t>
        </is>
      </c>
      <c r="D334" s="8" t="inlineStr">
        <is>
          <t>repairs/과거-수리이력-백필-2021-2025.md</t>
        </is>
      </c>
      <c r="E334" s="8" t="n">
        <v>315</v>
      </c>
      <c r="F334" s="8" t="inlineStr">
        <is>
          <t>확인 필요</t>
        </is>
      </c>
      <c r="G334" s="8" t="inlineStr">
        <is>
          <t>2026-10-07</t>
        </is>
      </c>
      <c r="H334" s="8" t="n">
        <v>4</v>
      </c>
      <c r="I334" s="8" t="n"/>
      <c r="J334" s="9"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334" s="10" t="inlineStr"/>
      <c r="L334" s="10" t="inlineStr"/>
      <c r="M334" s="10" t="inlineStr"/>
      <c r="N334" s="10" t="inlineStr"/>
    </row>
    <row r="335">
      <c r="A335" s="14" t="n">
        <v>332</v>
      </c>
      <c r="B335" s="14" t="inlineStr">
        <is>
          <t>C-일반</t>
        </is>
      </c>
      <c r="C335" s="11" t="inlineStr">
        <is>
          <t>설비·정비</t>
        </is>
      </c>
      <c r="D335" s="11" t="inlineStr">
        <is>
          <t>repairs/과거-수리이력-백필-2021-2025.md</t>
        </is>
      </c>
      <c r="E335" s="11" t="n">
        <v>340</v>
      </c>
      <c r="F335" s="11" t="inlineStr">
        <is>
          <t>미확인</t>
        </is>
      </c>
      <c r="G335" s="11" t="inlineStr">
        <is>
          <t>2026-10-07</t>
        </is>
      </c>
      <c r="H335" s="11" t="n">
        <v>4</v>
      </c>
      <c r="I335" s="11" t="n"/>
      <c r="J335" s="12" t="inlineStr">
        <is>
          <t>⚠️ 아래는 자료 등재 과정에서 관찰된 경향이며, 증상·원인이 미확인인 건이 많아 확정 결론이 아닙니다.</t>
        </is>
      </c>
      <c r="K335" s="10" t="inlineStr"/>
      <c r="L335" s="10" t="inlineStr"/>
      <c r="M335" s="10" t="inlineStr"/>
      <c r="N335" s="10" t="inlineStr"/>
    </row>
    <row r="336">
      <c r="A336" s="13" t="n">
        <v>333</v>
      </c>
      <c r="B336" s="13" t="inlineStr">
        <is>
          <t>C-일반</t>
        </is>
      </c>
      <c r="C336" s="8" t="inlineStr">
        <is>
          <t>설비·정비</t>
        </is>
      </c>
      <c r="D336" s="8" t="inlineStr">
        <is>
          <t>repairs/과거-수리이력-백필-2021-2025.md</t>
        </is>
      </c>
      <c r="E336" s="8" t="n">
        <v>354</v>
      </c>
      <c r="F336" s="8" t="inlineStr">
        <is>
          <t>확인 필요</t>
        </is>
      </c>
      <c r="G336" s="8" t="inlineStr">
        <is>
          <t>2026-10-07</t>
        </is>
      </c>
      <c r="H336" s="8" t="n">
        <v>4</v>
      </c>
      <c r="I336" s="8" t="n"/>
      <c r="J336" s="9" t="inlineStr">
        <is>
          <t>§확인 필요 항목 일괄 확인 — 12건 전부 증상·조치·완료일이 비어 있거나 추정입니다. 한경준님 기억이 남아 있는 건부터 채우는 것이 우선.</t>
        </is>
      </c>
      <c r="K336" s="10" t="inlineStr"/>
      <c r="L336" s="10" t="inlineStr"/>
      <c r="M336" s="10" t="inlineStr"/>
      <c r="N336" s="10" t="inlineStr"/>
    </row>
    <row r="337">
      <c r="A337" s="14" t="n">
        <v>334</v>
      </c>
      <c r="B337" s="14" t="inlineStr">
        <is>
          <t>C-일반</t>
        </is>
      </c>
      <c r="C337" s="11" t="inlineStr">
        <is>
          <t>프로젝트</t>
        </is>
      </c>
      <c r="D337" s="11" t="inlineStr">
        <is>
          <t>projects/워크숍-업무자동화-B2B사이트-2026-10.md</t>
        </is>
      </c>
      <c r="E337" s="11" t="n">
        <v>116</v>
      </c>
      <c r="F337" s="11" t="inlineStr">
        <is>
          <t>확인 필요</t>
        </is>
      </c>
      <c r="G337" s="11" t="inlineStr">
        <is>
          <t>2026-10-08</t>
        </is>
      </c>
      <c r="H337" s="11" t="n">
        <v>3</v>
      </c>
      <c r="I337" s="11" t="n"/>
      <c r="J337" s="12" t="inlineStr">
        <is>
          <t>about.html — 회사소개·서비스 카탈로그 홍보 페이지 신규 제작. 실제 주소·전화번호·연혁 등은 [문구 확인 필요]로 표시해둠 — 임의로 지어내지 않음.</t>
        </is>
      </c>
      <c r="K337" s="10" t="inlineStr"/>
      <c r="L337" s="10" t="inlineStr"/>
      <c r="M337" s="10" t="inlineStr"/>
      <c r="N337" s="10" t="inlineStr"/>
    </row>
    <row r="338">
      <c r="A338" s="13" t="n">
        <v>335</v>
      </c>
      <c r="B338" s="13" t="inlineStr">
        <is>
          <t>C-일반</t>
        </is>
      </c>
      <c r="C338" s="8" t="inlineStr">
        <is>
          <t>스크립트</t>
        </is>
      </c>
      <c r="D338" s="8" t="inlineStr">
        <is>
          <t>scripts/거래처조회-AppsScript-배포-가이드.md</t>
        </is>
      </c>
      <c r="E338" s="8" t="n">
        <v>185</v>
      </c>
      <c r="F338" s="8" t="inlineStr">
        <is>
          <t>미확정</t>
        </is>
      </c>
      <c r="G338" s="8" t="inlineStr">
        <is>
          <t>2026-10-08</t>
        </is>
      </c>
      <c r="H338" s="8" t="n">
        <v>3</v>
      </c>
      <c r="I338" s="8" t="n"/>
      <c r="J338" s="9" t="inlineStr">
        <is>
          <t>업로드 결과가 ok 인데 행 수가 None (2026-10-08 실제 발생) | 업로드가 doPost 가 아니라 doGet 에 닿음 — 「조용한 성공」. 같은 시각 --ping 은 doPost 에 닿아 not_configured | 수정: rows 없는 ok 는 실패로 판정 · 리다이렉트를 직접 따라가며 경로 출력(경로: POST 302 → GET …). 재발하면 그 경로 줄을 확인. 🔄 2026-10-08 추가 관찰: 스크립트 속성 저장 직후 첫 업로드가 doGet 응답 → --probe 로 본문 크기(1~218 KB) 원인 아님</t>
        </is>
      </c>
      <c r="K338" s="10" t="inlineStr"/>
      <c r="L338" s="10" t="inlineStr"/>
      <c r="M338" s="10" t="inlineStr"/>
      <c r="N338" s="10" t="inlineStr"/>
    </row>
    <row r="339">
      <c r="A339" s="14" t="n">
        <v>336</v>
      </c>
      <c r="B339" s="14" t="inlineStr">
        <is>
          <t>C-일반</t>
        </is>
      </c>
      <c r="C339" s="11" t="inlineStr">
        <is>
          <t>CAD/CAM</t>
        </is>
      </c>
      <c r="D339" s="11" t="inlineStr">
        <is>
          <t>cadcam/연삭-테스트-방법.md</t>
        </is>
      </c>
      <c r="E339" s="11" t="n">
        <v>359</v>
      </c>
      <c r="F339" s="11" t="inlineStr">
        <is>
          <t>확인 필요</t>
        </is>
      </c>
      <c r="G339" s="11" t="n"/>
      <c r="H339" s="11" t="n"/>
      <c r="I339" s="11" t="n"/>
      <c r="J339" s="12" t="inlineStr">
        <is>
          <t>참고: HID 홍익다이아 Resin Bond Diamond 휠은 비드레서블 (non-dressable) 가능성 — 본 자료의 드레싱 변수(Ad 0.5-1 μm)는 드레서블 휠 (예: NaxoForce, Norton V-PRIME) 한정 적용. 본 위키 보유 휠 라벨 확인 필요.</t>
        </is>
      </c>
      <c r="K339" s="10" t="inlineStr"/>
      <c r="L339" s="10" t="inlineStr"/>
      <c r="M339" s="10" t="inlineStr"/>
      <c r="N339" s="10" t="inlineStr"/>
    </row>
    <row r="340">
      <c r="A340" s="13" t="n">
        <v>337</v>
      </c>
      <c r="B340" s="13" t="inlineStr">
        <is>
          <t>C-일반</t>
        </is>
      </c>
      <c r="C340" s="8" t="inlineStr">
        <is>
          <t>비교분석</t>
        </is>
      </c>
      <c r="D340" s="8" t="inlineStr">
        <is>
          <t>comparisons/CNC-공구연삭-3사-비교.md</t>
        </is>
      </c>
      <c r="E340" s="8" t="n">
        <v>92</v>
      </c>
      <c r="F340" s="8" t="inlineStr">
        <is>
          <t>확인 필요</t>
        </is>
      </c>
      <c r="G340" s="8" t="n"/>
      <c r="H340" s="8" t="n"/>
      <c r="I340" s="8" t="n"/>
      <c r="J340" s="9" t="inlineStr">
        <is>
          <t>치수 반복도 | 시뮬 기반 사전 검증 | (사양서 확인 필요) | &lt; 0.003 mm (Nano6)</t>
        </is>
      </c>
      <c r="K340" s="10" t="inlineStr"/>
      <c r="L340" s="10" t="inlineStr"/>
      <c r="M340" s="10" t="inlineStr"/>
      <c r="N340" s="10" t="inlineStr"/>
    </row>
    <row r="341">
      <c r="A341" s="14" t="n">
        <v>338</v>
      </c>
      <c r="B341" s="14" t="inlineStr">
        <is>
          <t>C-일반</t>
        </is>
      </c>
      <c r="C341" s="11" t="inlineStr">
        <is>
          <t>비교분석</t>
        </is>
      </c>
      <c r="D341" s="11" t="inlineStr">
        <is>
          <t>comparisons/CNC-공구연삭-3사-비교.md</t>
        </is>
      </c>
      <c r="E341" s="11" t="n">
        <v>209</v>
      </c>
      <c r="F341" s="11" t="inlineStr">
        <is>
          <t>확인 필요</t>
        </is>
      </c>
      <c r="G341" s="11" t="n"/>
      <c r="H341" s="11" t="n"/>
      <c r="I341" s="11" t="n"/>
      <c r="J341" s="12" t="inlineStr">
        <is>
          <t>HID 홍익다이아 카탈로그 — ANCA·WALTER·SCHÜTTE 호환 명시. VOLLMER·Rollomatic 호환은 명시 없음 (별도 확인 필요)</t>
        </is>
      </c>
      <c r="K341" s="10" t="inlineStr"/>
      <c r="L341" s="10" t="inlineStr"/>
      <c r="M341" s="10" t="inlineStr"/>
      <c r="N341" s="10" t="inlineStr"/>
    </row>
    <row r="342">
      <c r="A342" s="13" t="n">
        <v>339</v>
      </c>
      <c r="B342" s="13" t="inlineStr">
        <is>
          <t>C-일반</t>
        </is>
      </c>
      <c r="C342" s="8" t="inlineStr">
        <is>
          <t>비교분석</t>
        </is>
      </c>
      <c r="D342" s="8" t="inlineStr">
        <is>
          <t>comparisons/출하현황-KPI-트렌드-2022-2026.md</t>
        </is>
      </c>
      <c r="E342" s="8" t="n">
        <v>104</v>
      </c>
      <c r="F342" s="8" t="inlineStr">
        <is>
          <t>확인 필요</t>
        </is>
      </c>
      <c r="G342" s="8" t="n"/>
      <c r="H342" s="8" t="n"/>
      <c r="I342" s="8" t="n"/>
      <c r="J342" s="9" t="inlineStr">
        <is>
          <t>대일정공: 2026년 6월 370개 대량 출하 포함, 1~6월 1위. 단일 대량 수주 영향 — 연말 확인 필요</t>
        </is>
      </c>
      <c r="K342" s="10" t="inlineStr"/>
      <c r="L342" s="10" t="inlineStr"/>
      <c r="M342" s="10" t="inlineStr"/>
      <c r="N342" s="10" t="inlineStr"/>
    </row>
    <row r="343">
      <c r="A343" s="14" t="n">
        <v>340</v>
      </c>
      <c r="B343" s="14" t="inlineStr">
        <is>
          <t>C-일반</t>
        </is>
      </c>
      <c r="C343" s="11" t="inlineStr">
        <is>
          <t>비교분석</t>
        </is>
      </c>
      <c r="D343" s="11" t="inlineStr">
        <is>
          <t>comparisons/출하현황-KPI-트렌드-2022-2026.md</t>
        </is>
      </c>
      <c r="E343" s="11" t="n">
        <v>224</v>
      </c>
      <c r="F343" s="11" t="inlineStr">
        <is>
          <t>확인 필요</t>
        </is>
      </c>
      <c r="G343" s="11" t="n"/>
      <c r="H343" s="11" t="n"/>
      <c r="I343" s="11" t="n"/>
      <c r="J343" s="12" t="inlineStr">
        <is>
          <t>⚠️ 출하는 개별 공구 카운트, 작업일지는 재연마 1사이클 단위 — 집계 기준 차이 확인 필요.</t>
        </is>
      </c>
      <c r="K343" s="10" t="inlineStr"/>
      <c r="L343" s="10" t="inlineStr"/>
      <c r="M343" s="10" t="inlineStr"/>
      <c r="N343" s="10" t="inlineStr"/>
    </row>
    <row r="344">
      <c r="A344" s="13" t="n">
        <v>341</v>
      </c>
      <c r="B344" s="13" t="inlineStr">
        <is>
          <t>C-일반</t>
        </is>
      </c>
      <c r="C344" s="8" t="inlineStr">
        <is>
          <t>비교분석</t>
        </is>
      </c>
      <c r="D344" s="8" t="inlineStr">
        <is>
          <t>comparisons/출하현황-거래처별-8월-급감-분석-2026.md</t>
        </is>
      </c>
      <c r="E344" s="8" t="n">
        <v>137</v>
      </c>
      <c r="F344" s="8" t="inlineStr">
        <is>
          <t>확인 필요</t>
        </is>
      </c>
      <c r="G344" s="8" t="n"/>
      <c r="H344" s="8" t="n"/>
      <c r="I344" s="8" t="n"/>
      <c r="J344" s="9" t="inlineStr">
        <is>
          <t>월에도 0이면 이탈 신호로 봐야 한다 — 확인 필요.</t>
        </is>
      </c>
      <c r="K344" s="10" t="inlineStr"/>
      <c r="L344" s="10" t="inlineStr"/>
      <c r="M344" s="10" t="inlineStr"/>
      <c r="N344" s="10" t="inlineStr"/>
    </row>
    <row r="345">
      <c r="A345" s="14" t="n">
        <v>342</v>
      </c>
      <c r="B345" s="14" t="inlineStr">
        <is>
          <t>C-일반</t>
        </is>
      </c>
      <c r="C345" s="11" t="inlineStr">
        <is>
          <t>비교분석</t>
        </is>
      </c>
      <c r="D345" s="11" t="inlineStr">
        <is>
          <t>comparisons/출하현황-거래처별-8월-급감-분석-2026.md</t>
        </is>
      </c>
      <c r="E345" s="11" t="n">
        <v>210</v>
      </c>
      <c r="F345" s="11" t="inlineStr">
        <is>
          <t>확인 필요</t>
        </is>
      </c>
      <c r="G345" s="11" t="n"/>
      <c r="H345" s="11" t="n"/>
      <c r="I345" s="11" t="n"/>
      <c r="J345" s="12" t="inlineStr">
        <is>
          <t>결론과 확인 필요 사항</t>
        </is>
      </c>
      <c r="K345" s="10" t="inlineStr"/>
      <c r="L345" s="10" t="inlineStr"/>
      <c r="M345" s="10" t="inlineStr"/>
      <c r="N345" s="10" t="inlineStr"/>
    </row>
    <row r="346">
      <c r="A346" s="13" t="n">
        <v>343</v>
      </c>
      <c r="B346" s="13" t="inlineStr">
        <is>
          <t>C-일반</t>
        </is>
      </c>
      <c r="C346" s="8" t="inlineStr">
        <is>
          <t>비교분석</t>
        </is>
      </c>
      <c r="D346" s="8" t="inlineStr">
        <is>
          <t>comparisons/출하현황-거래처별-8월-급감-분석-2026.md</t>
        </is>
      </c>
      <c r="E346" s="8" t="n">
        <v>230</v>
      </c>
      <c r="F346" s="8" t="inlineStr">
        <is>
          <t>미확정</t>
        </is>
      </c>
      <c r="G346" s="8" t="n"/>
      <c r="H346" s="8" t="n"/>
      <c r="I346" s="8" t="n"/>
      <c r="J346" s="9" t="inlineStr">
        <is>
          <t>⚠️ 위 5건은 전부 미확정이다. 본 페이지는 무엇이 얼마나 줄었는지까지만 확정하고,</t>
        </is>
      </c>
      <c r="K346" s="10" t="inlineStr"/>
      <c r="L346" s="10" t="inlineStr"/>
      <c r="M346" s="10" t="inlineStr"/>
      <c r="N346" s="10" t="inlineStr"/>
    </row>
    <row r="347">
      <c r="A347" s="14" t="n">
        <v>344</v>
      </c>
      <c r="B347" s="14" t="inlineStr">
        <is>
          <t>C-일반</t>
        </is>
      </c>
      <c r="C347" s="11" t="inlineStr">
        <is>
          <t>비교분석</t>
        </is>
      </c>
      <c r="D347" s="11" t="inlineStr">
        <is>
          <t>comparisons/출하현황-거래처별-8월-급감-분석-2026.md</t>
        </is>
      </c>
      <c r="E347" s="11" t="n">
        <v>464</v>
      </c>
      <c r="F347" s="11" t="inlineStr">
        <is>
          <t>미확정</t>
        </is>
      </c>
      <c r="G347" s="11" t="n"/>
      <c r="H347" s="11" t="n"/>
      <c r="I347" s="11" t="n"/>
      <c r="J347" s="12" t="inlineStr">
        <is>
          <t>왜 출하가 늘지 않았나 — 생산 일평균 감소 (원인 미확정)</t>
        </is>
      </c>
      <c r="K347" s="10" t="inlineStr"/>
      <c r="L347" s="10" t="inlineStr"/>
      <c r="M347" s="10" t="inlineStr"/>
      <c r="N347" s="10" t="inlineStr"/>
    </row>
    <row r="348">
      <c r="A348" s="13" t="n">
        <v>345</v>
      </c>
      <c r="B348" s="13" t="inlineStr">
        <is>
          <t>C-일반</t>
        </is>
      </c>
      <c r="C348" s="8" t="inlineStr">
        <is>
          <t>비교분석</t>
        </is>
      </c>
      <c r="D348" s="8" t="inlineStr">
        <is>
          <t>comparisons/출하현황-거래처별-8월-급감-분석-2026.md</t>
        </is>
      </c>
      <c r="E348" s="8" t="n">
        <v>466</v>
      </c>
      <c r="F348" s="8" t="inlineStr">
        <is>
          <t>확인 필요</t>
        </is>
      </c>
      <c r="G348" s="8" t="n"/>
      <c r="H348" s="8" t="n"/>
      <c r="I348" s="8" t="n"/>
      <c r="J348" s="9" t="inlineStr">
        <is>
          <t>월 생산은 작업일이 3일 늘었는데(17 → 20일) 총량은 오히려 52개 줄었다 — 일평균 65.0 → 52.7개/일(−19%). §9-5 에서 8월은 「생산은 유지됐고 출하만 무너졌다」였는데, 9월은 생산 쪽이 처리량을 제약한 모양이다 [실측 검증 — 수치] / [원인은 확인 필요].</t>
        </is>
      </c>
      <c r="K348" s="10" t="inlineStr"/>
      <c r="L348" s="10" t="inlineStr"/>
      <c r="M348" s="10" t="inlineStr"/>
      <c r="N348" s="10" t="inlineStr"/>
    </row>
    <row r="349">
      <c r="A349" s="14" t="n">
        <v>346</v>
      </c>
      <c r="B349" s="14" t="inlineStr">
        <is>
          <t>C-일반</t>
        </is>
      </c>
      <c r="C349" s="11" t="inlineStr">
        <is>
          <t>비교분석</t>
        </is>
      </c>
      <c r="D349" s="11" t="inlineStr">
        <is>
          <t>comparisons/출하현황-거래처별-8월-급감-분석-2026.md</t>
        </is>
      </c>
      <c r="E349" s="11" t="n">
        <v>545</v>
      </c>
      <c r="F349" s="11" t="inlineStr">
        <is>
          <t>미확인</t>
        </is>
      </c>
      <c r="G349" s="11" t="n"/>
      <c r="H349" s="11" t="n"/>
      <c r="I349" s="11" t="n"/>
      <c r="J349" s="12" t="inlineStr">
        <is>
          <t>🔄 (10-08 추가) 10-07 은 FG 가공 2.70 h 로 짧았는데도 50개 — FG 개당 194 s 로 10월 중 가장 짧다(짧은 공구 위주 추정 [추정값 — 품목 구성 미확인]). GX7 은 3.95 h · 49개로 10월 최다. 4일 평균 FG 개당 시간 255 s 는 9/17~30 과 같은 수준 → 개당 속도는 그대로, 가동 시간이 늘어난 것이라는 1번 읽기가 유지된다</t>
        </is>
      </c>
      <c r="K349" s="10" t="inlineStr"/>
      <c r="L349" s="10" t="inlineStr"/>
      <c r="M349" s="10" t="inlineStr"/>
      <c r="N349" s="10" t="inlineStr"/>
    </row>
    <row r="350">
      <c r="A350" s="13" t="n">
        <v>347</v>
      </c>
      <c r="B350" s="13" t="inlineStr">
        <is>
          <t>C-일반</t>
        </is>
      </c>
      <c r="C350" s="8" t="inlineStr">
        <is>
          <t>비교분석</t>
        </is>
      </c>
      <c r="D350" s="8" t="inlineStr">
        <is>
          <t>comparisons/홍익다이아-vs-이화다이아.md</t>
        </is>
      </c>
      <c r="E350" s="8" t="n">
        <v>32</v>
      </c>
      <c r="F350" s="8" t="inlineStr">
        <is>
          <t>미확인</t>
        </is>
      </c>
      <c r="G350" s="8" t="n"/>
      <c r="H350" s="8" t="n"/>
      <c r="I350" s="8" t="n"/>
      <c r="J350" s="9"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50" s="10" t="inlineStr"/>
      <c r="L350" s="10" t="inlineStr"/>
      <c r="M350" s="10" t="inlineStr"/>
      <c r="N350" s="10" t="inlineStr"/>
    </row>
    <row r="351">
      <c r="A351" s="14" t="n">
        <v>348</v>
      </c>
      <c r="B351" s="14" t="inlineStr">
        <is>
          <t>C-일반</t>
        </is>
      </c>
      <c r="C351" s="11" t="inlineStr">
        <is>
          <t>비교분석</t>
        </is>
      </c>
      <c r="D351" s="11" t="inlineStr">
        <is>
          <t>comparisons/홍익다이아-vs-이화다이아.md</t>
        </is>
      </c>
      <c r="E351" s="11" t="n">
        <v>136</v>
      </c>
      <c r="F351" s="11" t="inlineStr">
        <is>
          <t>미확인</t>
        </is>
      </c>
      <c r="G351" s="11" t="n"/>
      <c r="H351" s="11" t="n"/>
      <c r="I351" s="11" t="n"/>
      <c r="J351" s="12" t="inlineStr">
        <is>
          <t>연삭재: Diamond (초경 가공) | ✅ Diamond D8~D91 보유 | ⚠️ portfolio = CBN 위주 (Diamond 라인업 미확인)</t>
        </is>
      </c>
      <c r="K351" s="10" t="inlineStr"/>
      <c r="L351" s="10" t="inlineStr"/>
      <c r="M351" s="10" t="inlineStr"/>
      <c r="N351" s="10" t="inlineStr"/>
    </row>
    <row r="352">
      <c r="A352" s="13" t="n">
        <v>349</v>
      </c>
      <c r="B352" s="13" t="inlineStr">
        <is>
          <t>C-일반</t>
        </is>
      </c>
      <c r="C352" s="8" t="inlineStr">
        <is>
          <t>비교분석</t>
        </is>
      </c>
      <c r="D352" s="8" t="inlineStr">
        <is>
          <t>comparisons/홍익다이아-vs-이화다이아.md</t>
        </is>
      </c>
      <c r="E352" s="8" t="n">
        <v>143</v>
      </c>
      <c r="F352" s="8" t="inlineStr">
        <is>
          <t>미확인</t>
        </is>
      </c>
      <c r="G352" s="8" t="n"/>
      <c r="H352" s="8" t="n"/>
      <c r="I352" s="8" t="n"/>
      <c r="J352" s="9"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52" s="10" t="inlineStr"/>
      <c r="L352" s="10" t="inlineStr"/>
      <c r="M352" s="10" t="inlineStr"/>
      <c r="N352" s="10" t="inlineStr"/>
    </row>
    <row r="353">
      <c r="A353" s="14" t="n">
        <v>350</v>
      </c>
      <c r="B353" s="14" t="inlineStr">
        <is>
          <t>C-일반</t>
        </is>
      </c>
      <c r="C353" s="11" t="inlineStr">
        <is>
          <t>법규</t>
        </is>
      </c>
      <c r="D353" s="11" t="inlineStr">
        <is>
          <t>compliance/작업환경측정.md</t>
        </is>
      </c>
      <c r="E353" s="11" t="n">
        <v>97</v>
      </c>
      <c r="F353" s="11" t="inlineStr">
        <is>
          <t>미확정</t>
        </is>
      </c>
      <c r="G353" s="11" t="n"/>
      <c r="H353" s="11" t="n"/>
      <c r="I353" s="11" t="n"/>
      <c r="J353" s="12"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53" s="10" t="inlineStr"/>
      <c r="L353" s="10" t="inlineStr"/>
      <c r="M353" s="10" t="inlineStr"/>
      <c r="N353" s="10" t="inlineStr"/>
    </row>
    <row r="354">
      <c r="A354" s="13" t="n">
        <v>351</v>
      </c>
      <c r="B354" s="13" t="inlineStr">
        <is>
          <t>C-일반</t>
        </is>
      </c>
      <c r="C354" s="8" t="inlineStr">
        <is>
          <t>법규</t>
        </is>
      </c>
      <c r="D354" s="8" t="inlineStr">
        <is>
          <t>compliance/작업환경측정.md</t>
        </is>
      </c>
      <c r="E354" s="8" t="n">
        <v>159</v>
      </c>
      <c r="F354" s="8" t="inlineStr">
        <is>
          <t>미확정</t>
        </is>
      </c>
      <c r="G354" s="8" t="n"/>
      <c r="H354" s="8" t="n"/>
      <c r="I354" s="8" t="n"/>
      <c r="J354" s="9"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54" s="10" t="inlineStr"/>
      <c r="L354" s="10" t="inlineStr"/>
      <c r="M354" s="10" t="inlineStr"/>
      <c r="N354" s="10" t="inlineStr"/>
    </row>
    <row r="355">
      <c r="A355" s="14" t="n">
        <v>352</v>
      </c>
      <c r="B355" s="14" t="inlineStr">
        <is>
          <t>C-일반</t>
        </is>
      </c>
      <c r="C355" s="11" t="inlineStr">
        <is>
          <t>법규</t>
        </is>
      </c>
      <c r="D355" s="11" t="inlineStr">
        <is>
          <t>compliance/작업환경측정.md</t>
        </is>
      </c>
      <c r="E355" s="11" t="n">
        <v>285</v>
      </c>
      <c r="F355" s="11" t="inlineStr">
        <is>
          <t>확인 필요</t>
        </is>
      </c>
      <c r="G355" s="11" t="n"/>
      <c r="H355" s="11" t="n"/>
      <c r="I355" s="11" t="n"/>
      <c r="J355" s="12" t="inlineStr">
        <is>
          <t>⚠️ 위 §5.3은 작업환경측정과 별개의 법정 의무입니다. 사내 이행 현황은 미기록 — 별도 페이지로 정리할지 확인 필요.</t>
        </is>
      </c>
      <c r="K355" s="10" t="inlineStr"/>
      <c r="L355" s="10" t="inlineStr"/>
      <c r="M355" s="10" t="inlineStr"/>
      <c r="N355" s="10" t="inlineStr"/>
    </row>
    <row r="356">
      <c r="A356" s="13" t="n">
        <v>353</v>
      </c>
      <c r="B356" s="13" t="inlineStr">
        <is>
          <t>C-일반</t>
        </is>
      </c>
      <c r="C356" s="8" t="inlineStr">
        <is>
          <t>설비</t>
        </is>
      </c>
      <c r="D356" s="8" t="inlineStr">
        <is>
          <t>machines/anca-cnc-tool-grinder.md</t>
        </is>
      </c>
      <c r="E356" s="8" t="n">
        <v>105</v>
      </c>
      <c r="F356" s="8" t="inlineStr">
        <is>
          <t>확인 필요</t>
        </is>
      </c>
      <c r="G356" s="8" t="n"/>
      <c r="H356" s="8" t="n"/>
      <c r="I356" s="8" t="n"/>
      <c r="J356" s="9" t="inlineStr">
        <is>
          <t>공기압 요구사항 | 확인 필요 (F 매뉴얼 미확보) | 6.0 bar (88 psi) [제조사 기준, VEN-ANCA-RX7GX7-MANUAL]</t>
        </is>
      </c>
      <c r="K356" s="10" t="inlineStr"/>
      <c r="L356" s="10" t="inlineStr"/>
      <c r="M356" s="10" t="inlineStr"/>
      <c r="N356" s="10" t="inlineStr"/>
    </row>
    <row r="357">
      <c r="A357" s="14" t="n">
        <v>354</v>
      </c>
      <c r="B357" s="14" t="inlineStr">
        <is>
          <t>C-일반</t>
        </is>
      </c>
      <c r="C357" s="11" t="inlineStr">
        <is>
          <t>설비</t>
        </is>
      </c>
      <c r="D357" s="11" t="inlineStr">
        <is>
          <t>machines/anca-cnc-tool-grinder.md</t>
        </is>
      </c>
      <c r="E357" s="11" t="n">
        <v>112</v>
      </c>
      <c r="F357" s="11" t="inlineStr">
        <is>
          <t>미확정</t>
        </is>
      </c>
      <c r="G357" s="11" t="n"/>
      <c r="H357" s="11" t="n"/>
      <c r="I357" s="11" t="n"/>
      <c r="J357" s="12" t="inlineStr">
        <is>
          <t>RX7 기준값이 GX7 문서에 잘못 섞였을 가능성은 다소 낮아졌다. 다만 이 두 사이트도 ANCA 자체 브로셔를 재게시한 것일 가능성이 있어(1차 출처가 결국 ANCA 발행 자료로 수렴할 수 있음), 독립 실측 확인은 아니다 — 정황 보강일 뿐 원인 확정은 아니다. [신뢰도: 제조사 기준(3자 재게시) — 실측 검증 아님]. 원인 후보(공차 미포함 순중량 vs 옵션 포함 중량, 명판 표기 오류, 계량 시점 차이 등)는 여전히 미확정. 출처: https://maszyneria.com/en/product/anca-gx7-cnc-tool</t>
        </is>
      </c>
      <c r="K357" s="10" t="inlineStr"/>
      <c r="L357" s="10" t="inlineStr"/>
      <c r="M357" s="10" t="inlineStr"/>
      <c r="N357" s="10" t="inlineStr"/>
    </row>
    <row r="358">
      <c r="A358" s="13" t="n">
        <v>355</v>
      </c>
      <c r="B358" s="13" t="inlineStr">
        <is>
          <t>C-일반</t>
        </is>
      </c>
      <c r="C358" s="8" t="inlineStr">
        <is>
          <t>설비</t>
        </is>
      </c>
      <c r="D358" s="8" t="inlineStr">
        <is>
          <t>machines/anca-cnc-tool-grinder.md</t>
        </is>
      </c>
      <c r="E358" s="8" t="n">
        <v>139</v>
      </c>
      <c r="F358" s="8" t="inlineStr">
        <is>
          <t>확인 필요</t>
        </is>
      </c>
      <c r="G358" s="8" t="n"/>
      <c r="H358" s="8" t="n"/>
      <c r="I358" s="8" t="n"/>
      <c r="J358" s="9" t="inlineStr">
        <is>
          <t>사내 스택 스택-1-1(2휠)·스택-1-2(3휠)은 팩당 4휠 제한 이내로 적합. 휠팩 총중량 8 kg 제한은 사내 실측 기록 없음 — 확인 필요.</t>
        </is>
      </c>
      <c r="K358" s="10" t="inlineStr"/>
      <c r="L358" s="10" t="inlineStr"/>
      <c r="M358" s="10" t="inlineStr"/>
      <c r="N358" s="10" t="inlineStr"/>
    </row>
    <row r="359">
      <c r="A359" s="14" t="n">
        <v>356</v>
      </c>
      <c r="B359" s="14" t="inlineStr">
        <is>
          <t>C-일반</t>
        </is>
      </c>
      <c r="C359" s="11" t="inlineStr">
        <is>
          <t>설비</t>
        </is>
      </c>
      <c r="D359" s="11" t="inlineStr">
        <is>
          <t>machines/anca-cnc-tool-grinder.md</t>
        </is>
      </c>
      <c r="E359" s="11" t="n">
        <v>158</v>
      </c>
      <c r="F359" s="11" t="inlineStr">
        <is>
          <t>확인 필요</t>
        </is>
      </c>
      <c r="G359" s="11" t="n"/>
      <c r="H359" s="11" t="n"/>
      <c r="I359" s="11" t="n"/>
      <c r="J359" s="12" t="inlineStr">
        <is>
          <t>이송량(Travel) | 439 mm | 464 mm | 274 mm | 360 deg | 확인 필요 (스캔 판독 불명)</t>
        </is>
      </c>
      <c r="K359" s="10" t="inlineStr"/>
      <c r="L359" s="10" t="inlineStr"/>
      <c r="M359" s="10" t="inlineStr"/>
      <c r="N359" s="10" t="inlineStr"/>
    </row>
    <row r="360">
      <c r="A360" s="13" t="n">
        <v>357</v>
      </c>
      <c r="B360" s="13" t="inlineStr">
        <is>
          <t>C-일반</t>
        </is>
      </c>
      <c r="C360" s="8" t="inlineStr">
        <is>
          <t>설비</t>
        </is>
      </c>
      <c r="D360" s="8" t="inlineStr">
        <is>
          <t>machines/anca-cnc-tool-grinder.md</t>
        </is>
      </c>
      <c r="E360" s="8" t="n">
        <v>185</v>
      </c>
      <c r="F360" s="8" t="inlineStr">
        <is>
          <t>확인 필요</t>
        </is>
      </c>
      <c r="G360" s="8" t="n"/>
      <c r="H360" s="8" t="n"/>
      <c r="I360" s="8" t="n"/>
      <c r="J360" s="9" t="inlineStr">
        <is>
          <t>💡 프로브 형번 확보: raw/CNC 정보/CNC 수리/ 과거 이력의 "프로브 파손" 건과 연결 가능 — 교체품 사양 조회 시 Renishaw LP2 기준. 실물 대조는 확인 필요.</t>
        </is>
      </c>
      <c r="K360" s="10" t="inlineStr"/>
      <c r="L360" s="10" t="inlineStr"/>
      <c r="M360" s="10" t="inlineStr"/>
      <c r="N360" s="10" t="inlineStr"/>
    </row>
    <row r="361">
      <c r="A361" s="14" t="n">
        <v>358</v>
      </c>
      <c r="B361" s="14" t="inlineStr">
        <is>
          <t>C-일반</t>
        </is>
      </c>
      <c r="C361" s="11" t="inlineStr">
        <is>
          <t>설비</t>
        </is>
      </c>
      <c r="D361" s="11" t="inlineStr">
        <is>
          <t>machines/anca-cnc-tool-grinder.md</t>
        </is>
      </c>
      <c r="E361" s="11" t="n">
        <v>288</v>
      </c>
      <c r="F361" s="11" t="inlineStr">
        <is>
          <t>확인 필요</t>
        </is>
      </c>
      <c r="G361" s="11" t="n"/>
      <c r="H361" s="11" t="n"/>
      <c r="I361" s="11" t="n"/>
      <c r="J361" s="12"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61" s="10" t="inlineStr"/>
      <c r="L361" s="10" t="inlineStr"/>
      <c r="M361" s="10" t="inlineStr"/>
      <c r="N361" s="10" t="inlineStr"/>
    </row>
    <row r="362">
      <c r="A362" s="13" t="n">
        <v>359</v>
      </c>
      <c r="B362" s="13" t="inlineStr">
        <is>
          <t>C-일반</t>
        </is>
      </c>
      <c r="C362" s="8" t="inlineStr">
        <is>
          <t>설비</t>
        </is>
      </c>
      <c r="D362" s="8" t="inlineStr">
        <is>
          <t>machines/anca-cnc-tool-grinder.md</t>
        </is>
      </c>
      <c r="E362" s="8" t="n">
        <v>312</v>
      </c>
      <c r="F362" s="8" t="inlineStr">
        <is>
          <t>미확정</t>
        </is>
      </c>
      <c r="G362" s="8" t="n"/>
      <c r="H362" s="8" t="n"/>
      <c r="I362" s="8" t="n"/>
      <c r="J362" s="9" t="inlineStr">
        <is>
          <t>,800 / 3,600 / 4,000 rpm | 스택별 실사용 기재값 (§아래 표) | 근거 미확정 — 아래 ③</t>
        </is>
      </c>
      <c r="K362" s="10" t="inlineStr"/>
      <c r="L362" s="10" t="inlineStr"/>
      <c r="M362" s="10" t="inlineStr"/>
      <c r="N362" s="10" t="inlineStr"/>
    </row>
    <row r="363">
      <c r="A363" s="14" t="n">
        <v>360</v>
      </c>
      <c r="B363" s="14" t="inlineStr">
        <is>
          <t>C-일반</t>
        </is>
      </c>
      <c r="C363" s="11" t="inlineStr">
        <is>
          <t>설비</t>
        </is>
      </c>
      <c r="D363" s="11" t="inlineStr">
        <is>
          <t>machines/anca-cnc-tool-grinder.md</t>
        </is>
      </c>
      <c r="E363" s="11" t="n">
        <v>315</v>
      </c>
      <c r="F363" s="11" t="inlineStr">
        <is>
          <t>확인 필요</t>
        </is>
      </c>
      <c r="G363" s="11" t="n"/>
      <c r="H363" s="11" t="n"/>
      <c r="I363" s="11" t="n"/>
      <c r="J363" s="12" t="inlineStr">
        <is>
          <t>표기와 실제 설정값이 어긋날 수 있다는 뜻이라면, 작업자가 화면을 보고 판단할 수 없다는 의미가 됩니다. 어느 쪽인지는 확인 필요이며 추정하지 않습니다:</t>
        </is>
      </c>
      <c r="K363" s="10" t="inlineStr"/>
      <c r="L363" s="10" t="inlineStr"/>
      <c r="M363" s="10" t="inlineStr"/>
      <c r="N363" s="10" t="inlineStr"/>
    </row>
    <row r="364">
      <c r="A364" s="13" t="n">
        <v>361</v>
      </c>
      <c r="B364" s="13" t="inlineStr">
        <is>
          <t>C-일반</t>
        </is>
      </c>
      <c r="C364" s="8" t="inlineStr">
        <is>
          <t>설비</t>
        </is>
      </c>
      <c r="D364" s="8" t="inlineStr">
        <is>
          <t>machines/anca-cnc-tool-grinder.md</t>
        </is>
      </c>
      <c r="E364" s="8" t="n">
        <v>322</v>
      </c>
      <c r="F364" s="8" t="inlineStr">
        <is>
          <t>미확정</t>
        </is>
      </c>
      <c r="G364" s="8" t="n"/>
      <c r="H364" s="8" t="n"/>
      <c r="I364" s="8" t="n"/>
      <c r="J364" s="9" t="inlineStr">
        <is>
          <t>,000은 *"넣을 수 있는 최대"* 이지 *"쓰고 있는 값"* 이 아닙니다. 아래 표의 2,800/3,600/4,000이 실사용값인지는 여전히 미확정입니다.</t>
        </is>
      </c>
      <c r="K364" s="10" t="inlineStr"/>
      <c r="L364" s="10" t="inlineStr"/>
      <c r="M364" s="10" t="inlineStr"/>
      <c r="N364" s="10" t="inlineStr"/>
    </row>
    <row r="365">
      <c r="A365" s="14" t="n">
        <v>362</v>
      </c>
      <c r="B365" s="14" t="inlineStr">
        <is>
          <t>C-일반</t>
        </is>
      </c>
      <c r="C365" s="11" t="inlineStr">
        <is>
          <t>설비</t>
        </is>
      </c>
      <c r="D365" s="11" t="inlineStr">
        <is>
          <t>machines/anca-cnc-tool-grinder.md</t>
        </is>
      </c>
      <c r="E365" s="11" t="n">
        <v>379</v>
      </c>
      <c r="F365" s="11" t="inlineStr">
        <is>
          <t>확인 필요</t>
        </is>
      </c>
      <c r="G365" s="11" t="n"/>
      <c r="H365" s="11" t="n"/>
      <c r="I365" s="11" t="n"/>
      <c r="J365" s="12"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65" s="10" t="inlineStr"/>
      <c r="L365" s="10" t="inlineStr"/>
      <c r="M365" s="10" t="inlineStr"/>
      <c r="N365" s="10" t="inlineStr"/>
    </row>
    <row r="366">
      <c r="A366" s="13" t="n">
        <v>363</v>
      </c>
      <c r="B366" s="13" t="inlineStr">
        <is>
          <t>C-일반</t>
        </is>
      </c>
      <c r="C366" s="8" t="inlineStr">
        <is>
          <t>설비</t>
        </is>
      </c>
      <c r="D366" s="8" t="inlineStr">
        <is>
          <t>machines/anca-cnc-tool-grinder.md</t>
        </is>
      </c>
      <c r="E366" s="8" t="n">
        <v>381</v>
      </c>
      <c r="F366" s="8" t="inlineStr">
        <is>
          <t>미확정</t>
        </is>
      </c>
      <c r="G366" s="8" t="n"/>
      <c r="H366" s="8" t="n"/>
      <c r="I366" s="8" t="n"/>
      <c r="J366" s="9" t="inlineStr">
        <is>
          <t>⚠️ 여전히 미확정: 홍익다이아 휠의 최대 안전 원주속도(Vmax, ~~ISO 12413:2019 §6.6~~ → [STD-EN13236] EN 13236:2019)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66" s="10" t="inlineStr"/>
      <c r="L366" s="10" t="inlineStr"/>
      <c r="M366" s="10" t="inlineStr"/>
      <c r="N366" s="10" t="inlineStr"/>
    </row>
    <row r="367">
      <c r="A367" s="14" t="n">
        <v>364</v>
      </c>
      <c r="B367" s="14" t="inlineStr">
        <is>
          <t>C-일반</t>
        </is>
      </c>
      <c r="C367" s="11" t="inlineStr">
        <is>
          <t>설비</t>
        </is>
      </c>
      <c r="D367" s="11" t="inlineStr">
        <is>
          <t>machines/vollmer-tool-grinder.md</t>
        </is>
      </c>
      <c r="E367" s="11" t="n">
        <v>93</v>
      </c>
      <c r="F367" s="11" t="inlineStr">
        <is>
          <t>확인 필요</t>
        </is>
      </c>
      <c r="G367" s="11" t="n"/>
      <c r="H367" s="11" t="n"/>
      <c r="I367" s="11" t="n"/>
      <c r="J367" s="12" t="inlineStr">
        <is>
          <t>정밀도 | 런아웃 + 동심도 관리 우수 | 정량 수치는 모델별 사양서 확인 필요</t>
        </is>
      </c>
      <c r="K367" s="10" t="inlineStr"/>
      <c r="L367" s="10" t="inlineStr"/>
      <c r="M367" s="10" t="inlineStr"/>
      <c r="N367" s="10" t="inlineStr"/>
    </row>
    <row r="368">
      <c r="A368" s="13" t="n">
        <v>365</v>
      </c>
      <c r="B368" s="13" t="inlineStr">
        <is>
          <t>C-일반</t>
        </is>
      </c>
      <c r="C368" s="8" t="inlineStr">
        <is>
          <t>소재</t>
        </is>
      </c>
      <c r="D368" s="8" t="inlineStr">
        <is>
          <t>materials/s45c.md</t>
        </is>
      </c>
      <c r="E368" s="8" t="n">
        <v>237</v>
      </c>
      <c r="F368" s="8" t="inlineStr">
        <is>
          <t>확인 필요</t>
        </is>
      </c>
      <c r="G368" s="8" t="n"/>
      <c r="H368" s="8" t="n"/>
      <c r="I368" s="8" t="n"/>
      <c r="J368" s="9" t="inlineStr">
        <is>
          <t>세부 지오메트리) 정보는 캐시 텍스트만으로는 확인 불가 — 확인 필요.</t>
        </is>
      </c>
      <c r="K368" s="10" t="inlineStr"/>
      <c r="L368" s="10" t="inlineStr"/>
      <c r="M368" s="10" t="inlineStr"/>
      <c r="N368" s="10" t="inlineStr"/>
    </row>
    <row r="369">
      <c r="A369" s="14" t="n">
        <v>366</v>
      </c>
      <c r="B369" s="14" t="inlineStr">
        <is>
          <t>C-일반</t>
        </is>
      </c>
      <c r="C369" s="11" t="inlineStr">
        <is>
          <t>소재</t>
        </is>
      </c>
      <c r="D369" s="11" t="inlineStr">
        <is>
          <t>materials/sus304.md</t>
        </is>
      </c>
      <c r="E369" s="11" t="n">
        <v>343</v>
      </c>
      <c r="F369" s="11" t="inlineStr">
        <is>
          <t>확인 필요</t>
        </is>
      </c>
      <c r="G369" s="11" t="n"/>
      <c r="H369" s="11" t="n"/>
      <c r="I369" s="11" t="n"/>
      <c r="J369" s="12" t="inlineStr">
        <is>
          <t>표기가 없어 서로 다른 절삭 방식을 비교했을 가능성 — 확인 필요, 둘 다 병기하고 직접 대체 금지.</t>
        </is>
      </c>
      <c r="K369" s="10" t="inlineStr"/>
      <c r="L369" s="10" t="inlineStr"/>
      <c r="M369" s="10" t="inlineStr"/>
      <c r="N369" s="10" t="inlineStr"/>
    </row>
    <row r="370">
      <c r="A370" s="13" t="n">
        <v>367</v>
      </c>
      <c r="B370" s="13" t="inlineStr">
        <is>
          <t>C-일반</t>
        </is>
      </c>
      <c r="C370" s="8" t="inlineStr">
        <is>
          <t>소재</t>
        </is>
      </c>
      <c r="D370" s="8" t="inlineStr">
        <is>
          <t>materials/알루미늄.md</t>
        </is>
      </c>
      <c r="E370" s="8" t="n">
        <v>313</v>
      </c>
      <c r="F370" s="8" t="inlineStr">
        <is>
          <t>미확인</t>
        </is>
      </c>
      <c r="G370" s="8" t="n"/>
      <c r="H370" s="8" t="n"/>
      <c r="I370" s="8" t="n"/>
      <c r="J370" s="9" t="inlineStr">
        <is>
          <t>(사내 주력 합금-템퍼 미확인 — §7.2 첫 실측 시 합금·템퍼 기재 필요).</t>
        </is>
      </c>
      <c r="K370" s="10" t="inlineStr"/>
      <c r="L370" s="10" t="inlineStr"/>
      <c r="M370" s="10" t="inlineStr"/>
      <c r="N370" s="10" t="inlineStr"/>
    </row>
    <row r="371">
      <c r="A371" s="14" t="n">
        <v>368</v>
      </c>
      <c r="B371" s="14" t="inlineStr">
        <is>
          <t>C-일반</t>
        </is>
      </c>
      <c r="C371" s="11" t="inlineStr">
        <is>
          <t>소재</t>
        </is>
      </c>
      <c r="D371" s="11" t="inlineStr">
        <is>
          <t>materials/알루미늄.md</t>
        </is>
      </c>
      <c r="E371" s="11" t="n">
        <v>345</v>
      </c>
      <c r="F371" s="11" t="inlineStr">
        <is>
          <t>미확인</t>
        </is>
      </c>
      <c r="G371" s="11" t="n"/>
      <c r="H371" s="11" t="n"/>
      <c r="I371" s="11" t="n"/>
      <c r="J371" s="12" t="inlineStr">
        <is>
          <t>⚠️ 사내 F/G 장비 구분(F=Ø2~8, G=Ø10~20)·코팅(뮤/울트라)과의 직접 대응은 미확인 — 알루미늄은</t>
        </is>
      </c>
      <c r="K371" s="10" t="inlineStr"/>
      <c r="L371" s="10" t="inlineStr"/>
      <c r="M371" s="10" t="inlineStr"/>
      <c r="N371" s="10" t="inlineStr"/>
    </row>
    <row r="372">
      <c r="A372" s="13" t="n">
        <v>369</v>
      </c>
      <c r="B372" s="13" t="inlineStr">
        <is>
          <t>C-일반</t>
        </is>
      </c>
      <c r="C372" s="8" t="inlineStr">
        <is>
          <t>소재</t>
        </is>
      </c>
      <c r="D372" s="8" t="inlineStr">
        <is>
          <t>materials/알루미늄.md</t>
        </is>
      </c>
      <c r="E372" s="8" t="n">
        <v>347</v>
      </c>
      <c r="F372" s="8" t="inlineStr">
        <is>
          <t>확인 필요</t>
        </is>
      </c>
      <c r="G372" s="8" t="n"/>
      <c r="H372" s="8" t="n"/>
      <c r="I372" s="8" t="n"/>
      <c r="J372" s="9" t="inlineStr">
        <is>
          <t>가능성이 있음 — 확인 필요(공구 발주 시 무코팅/DLC 계열 확인).</t>
        </is>
      </c>
      <c r="K372" s="10" t="inlineStr"/>
      <c r="L372" s="10" t="inlineStr"/>
      <c r="M372" s="10" t="inlineStr"/>
      <c r="N372" s="10" t="inlineStr"/>
    </row>
    <row r="373">
      <c r="A373" s="14" t="n">
        <v>370</v>
      </c>
      <c r="B373" s="14" t="inlineStr">
        <is>
          <t>C-일반</t>
        </is>
      </c>
      <c r="C373" s="11" t="inlineStr">
        <is>
          <t>공구·휠</t>
        </is>
      </c>
      <c r="D373" s="11" t="inlineStr">
        <is>
          <t>tools/wheels/catalog/이화다이아-카탈로그.md</t>
        </is>
      </c>
      <c r="E373" s="11" t="n">
        <v>277</v>
      </c>
      <c r="F373" s="11" t="inlineStr">
        <is>
          <t>확인 필요</t>
        </is>
      </c>
      <c r="G373" s="11" t="n"/>
      <c r="H373" s="11" t="n"/>
      <c r="I373" s="11" t="n"/>
      <c r="J373"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73" s="10" t="inlineStr"/>
      <c r="L373" s="10" t="inlineStr"/>
      <c r="M373" s="10" t="inlineStr"/>
      <c r="N373" s="10" t="inlineStr"/>
    </row>
    <row r="374">
      <c r="A374" s="13" t="n">
        <v>371</v>
      </c>
      <c r="B374" s="13" t="inlineStr">
        <is>
          <t>C-일반</t>
        </is>
      </c>
      <c r="C374" s="8" t="inlineStr">
        <is>
          <t>공구·휠</t>
        </is>
      </c>
      <c r="D374" s="8" t="inlineStr">
        <is>
          <t>tools/wheels/catalog/이화다이아-카탈로그.md</t>
        </is>
      </c>
      <c r="E374" s="8" t="n">
        <v>314</v>
      </c>
      <c r="F374" s="8" t="inlineStr">
        <is>
          <t>미확인</t>
        </is>
      </c>
      <c r="G374" s="8" t="n"/>
      <c r="H374" s="8" t="n"/>
      <c r="I374" s="8" t="n"/>
      <c r="J374"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74" s="10" t="inlineStr"/>
      <c r="L374" s="10" t="inlineStr"/>
      <c r="M374" s="10" t="inlineStr"/>
      <c r="N374" s="10" t="inlineStr"/>
    </row>
    <row r="375">
      <c r="A375" s="14" t="n">
        <v>372</v>
      </c>
      <c r="B375" s="14" t="inlineStr">
        <is>
          <t>C-일반</t>
        </is>
      </c>
      <c r="C375" s="11" t="inlineStr">
        <is>
          <t>공구·휠</t>
        </is>
      </c>
      <c r="D375" s="11" t="inlineStr">
        <is>
          <t>tools/wheels/catalog/이화다이아-카탈로그.md</t>
        </is>
      </c>
      <c r="E375" s="11" t="n">
        <v>321</v>
      </c>
      <c r="F375" s="11" t="inlineStr">
        <is>
          <t>미확정</t>
        </is>
      </c>
      <c r="G375" s="11" t="n"/>
      <c r="H375" s="11" t="n"/>
      <c r="I375" s="11" t="n"/>
      <c r="J375" s="12" t="inlineStr">
        <is>
          <t>이화 자체 자료 내 불일치 — 일반 표(레진 습식 23.3~26.7 m/s) vs 이화 자신의 공구 연삭 실적용값(18 m/s). 일반 표는 평면·원통 연삭 기준이고 tool grinding은 별개 기준선을 쓰는 것으로 추정(미확정).</t>
        </is>
      </c>
      <c r="K375" s="10" t="inlineStr"/>
      <c r="L375" s="10" t="inlineStr"/>
      <c r="M375" s="10" t="inlineStr"/>
      <c r="N375" s="10" t="inlineStr"/>
    </row>
    <row r="376">
      <c r="A376" s="13" t="n">
        <v>373</v>
      </c>
      <c r="B376" s="13" t="inlineStr">
        <is>
          <t>C-일반</t>
        </is>
      </c>
      <c r="C376" s="8" t="inlineStr">
        <is>
          <t>공구·휠</t>
        </is>
      </c>
      <c r="D376" s="8" t="inlineStr">
        <is>
          <t>tools/wheels/catalog/이화다이아-카탈로그.md</t>
        </is>
      </c>
      <c r="E376" s="8" t="n">
        <v>322</v>
      </c>
      <c r="F376" s="8" t="inlineStr">
        <is>
          <t>확인 필요</t>
        </is>
      </c>
      <c r="G376" s="8" t="n"/>
      <c r="H376" s="8" t="n"/>
      <c r="I376" s="8" t="n"/>
      <c r="J376" s="9" t="inlineStr">
        <is>
          <t>사내 습·건식 불일치 — ANCA는 습식(오일 쿨런트) 운전인데 스택 1-1은 이화 건식 권장 구간(1,100 · 1,131 m/min)에서 운용 중. 확인 필요.</t>
        </is>
      </c>
      <c r="K376" s="10" t="inlineStr"/>
      <c r="L376" s="10" t="inlineStr"/>
      <c r="M376" s="10" t="inlineStr"/>
      <c r="N376" s="10" t="inlineStr"/>
    </row>
    <row r="377">
      <c r="A377" s="14" t="n">
        <v>374</v>
      </c>
      <c r="B377" s="14" t="inlineStr">
        <is>
          <t>C-일반</t>
        </is>
      </c>
      <c r="C377" s="11" t="inlineStr">
        <is>
          <t>공구·휠</t>
        </is>
      </c>
      <c r="D377" s="11" t="inlineStr">
        <is>
          <t>tools/wheels/catalog/이화다이아-카탈로그.md</t>
        </is>
      </c>
      <c r="E377" s="11" t="n">
        <v>323</v>
      </c>
      <c r="F377" s="11" t="inlineStr">
        <is>
          <t>확인 필요</t>
        </is>
      </c>
      <c r="G377" s="11" t="n"/>
      <c r="H377" s="11" t="n"/>
      <c r="I377" s="11" t="n"/>
      <c r="J377"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77" s="10" t="inlineStr"/>
      <c r="L377" s="10" t="inlineStr"/>
      <c r="M377" s="10" t="inlineStr"/>
      <c r="N377" s="10" t="inlineStr"/>
    </row>
    <row r="378">
      <c r="A378" s="13" t="n">
        <v>375</v>
      </c>
      <c r="B378" s="13" t="inlineStr">
        <is>
          <t>C-일반</t>
        </is>
      </c>
      <c r="C378" s="8" t="inlineStr">
        <is>
          <t>공구·휠</t>
        </is>
      </c>
      <c r="D378" s="8" t="inlineStr">
        <is>
          <t>tools/wheels/휠-20도-Ø125-1-1.md</t>
        </is>
      </c>
      <c r="E378" s="8" t="n">
        <v>55</v>
      </c>
      <c r="F378" s="8" t="inlineStr">
        <is>
          <t>미확인</t>
        </is>
      </c>
      <c r="G378" s="8" t="n"/>
      <c r="H378" s="8" t="n"/>
      <c r="I378" s="8" t="n"/>
      <c r="J378" s="9" t="inlineStr">
        <is>
          <t>다이아몬드로 추정 — 서면 미확인. 다만 다이아몬드든 CBN 이든 모두 초지립이므로 아래 결론은 동일하다).</t>
        </is>
      </c>
      <c r="K378" s="10" t="inlineStr"/>
      <c r="L378" s="10" t="inlineStr"/>
      <c r="M378" s="10" t="inlineStr"/>
      <c r="N378" s="10" t="inlineStr"/>
    </row>
    <row r="379">
      <c r="A379" s="14" t="n">
        <v>376</v>
      </c>
      <c r="B379" s="14" t="inlineStr">
        <is>
          <t>C-일반</t>
        </is>
      </c>
      <c r="C379" s="11" t="inlineStr">
        <is>
          <t>공구·휠</t>
        </is>
      </c>
      <c r="D379" s="11" t="inlineStr">
        <is>
          <t>tools/wheels/휠-20도-Ø125-1-1.md</t>
        </is>
      </c>
      <c r="E379" s="11" t="n">
        <v>61</v>
      </c>
      <c r="F379" s="11" t="inlineStr">
        <is>
          <t>확인 필요</t>
        </is>
      </c>
      <c r="G379" s="11" t="n"/>
      <c r="H379" s="11" t="n"/>
      <c r="I379" s="11" t="n"/>
      <c r="J379" s="12" t="inlineStr">
        <is>
          <t>⚠️ ISO 12413 이라는 번호 자체도 확인 필요 — sources.md 의 iso.org 링크가 404 이고 실재가 확인되는 것은</t>
        </is>
      </c>
      <c r="K379" s="10" t="inlineStr"/>
      <c r="L379" s="10" t="inlineStr"/>
      <c r="M379" s="10" t="inlineStr"/>
      <c r="N379" s="10" t="inlineStr"/>
    </row>
    <row r="380">
      <c r="A380" s="13" t="n">
        <v>377</v>
      </c>
      <c r="B380" s="13" t="inlineStr">
        <is>
          <t>C-일반</t>
        </is>
      </c>
      <c r="C380" s="8" t="inlineStr">
        <is>
          <t>공구·휠</t>
        </is>
      </c>
      <c r="D380" s="8" t="inlineStr">
        <is>
          <t>tools/wheels/휠-컵-Ø100-1-2.md</t>
        </is>
      </c>
      <c r="E380" s="8" t="n">
        <v>80</v>
      </c>
      <c r="F380" s="8" t="inlineStr">
        <is>
          <t>확인 필요</t>
        </is>
      </c>
      <c r="G380" s="8" t="n"/>
      <c r="H380" s="8" t="n"/>
      <c r="I380" s="8" t="n"/>
      <c r="J380" s="9" t="inlineStr">
        <is>
          <t>(현재 지정된 공정 없음 — 용도 확인 필요)</t>
        </is>
      </c>
      <c r="K380" s="10" t="inlineStr"/>
      <c r="L380" s="10" t="inlineStr"/>
      <c r="M380" s="10" t="inlineStr"/>
      <c r="N380" s="10" t="inlineStr"/>
    </row>
    <row r="381">
      <c r="A381" s="14" t="n">
        <v>378</v>
      </c>
      <c r="B381" s="14" t="inlineStr">
        <is>
          <t>C-일반</t>
        </is>
      </c>
      <c r="C381" s="11" t="inlineStr">
        <is>
          <t>공구·휠</t>
        </is>
      </c>
      <c r="D381" s="11" t="inlineStr">
        <is>
          <t>tools/wheels/휠-컵-Ø100-1-2.md</t>
        </is>
      </c>
      <c r="E381" s="11" t="n">
        <v>115</v>
      </c>
      <c r="F381" s="11" t="inlineStr">
        <is>
          <t>미확정</t>
        </is>
      </c>
      <c r="G381" s="11" t="n"/>
      <c r="H381" s="11" t="n"/>
      <c r="I381" s="11" t="n"/>
      <c r="J381" s="12" t="inlineStr">
        <is>
          <t>⚠️ 본 휠은 §4 사용 이력에 현재 지정된 공정이 없음 (용도 미확정). iBalance 측정 + 향후 가공 결정 시 §6.2 가공일 첫 행 채움.</t>
        </is>
      </c>
      <c r="K381" s="10" t="inlineStr"/>
      <c r="L381" s="10" t="inlineStr"/>
      <c r="M381" s="10" t="inlineStr"/>
      <c r="N381" s="10" t="inlineStr"/>
    </row>
    <row r="382">
      <c r="A382" s="13" t="n">
        <v>379</v>
      </c>
      <c r="B382" s="13" t="inlineStr">
        <is>
          <t>D-중복</t>
        </is>
      </c>
      <c r="C382" s="8" t="inlineStr">
        <is>
          <t>비교분석</t>
        </is>
      </c>
      <c r="D382" s="8" t="inlineStr">
        <is>
          <t>comparisons/드릴-6종-비교-D5.md</t>
        </is>
      </c>
      <c r="E382" s="8" t="n">
        <v>53</v>
      </c>
      <c r="F382" s="8" t="inlineStr">
        <is>
          <t>미확인</t>
        </is>
      </c>
      <c r="G382" s="8" t="inlineStr">
        <is>
          <t>2026-07-09</t>
        </is>
      </c>
      <c r="H382" s="8" t="n">
        <v>94</v>
      </c>
      <c r="I382" s="8" t="inlineStr">
        <is>
          <t>중복</t>
        </is>
      </c>
      <c r="J382" s="9" t="inlineStr">
        <is>
          <t>쿨런트 | 미확인 | —</t>
        </is>
      </c>
      <c r="K382" s="10" t="inlineStr"/>
      <c r="L382" s="10" t="inlineStr"/>
      <c r="M382" s="10" t="inlineStr"/>
      <c r="N382" s="10" t="inlineStr"/>
    </row>
    <row r="383">
      <c r="A383" s="13" t="n">
        <v>380</v>
      </c>
      <c r="B383" s="13" t="inlineStr">
        <is>
          <t>D-중복</t>
        </is>
      </c>
      <c r="C383" s="11" t="inlineStr">
        <is>
          <t>비교분석</t>
        </is>
      </c>
      <c r="D383" s="11" t="inlineStr">
        <is>
          <t>comparisons/드릴-6종-비교-D5.md</t>
        </is>
      </c>
      <c r="E383" s="11" t="n">
        <v>191</v>
      </c>
      <c r="F383" s="11" t="inlineStr">
        <is>
          <t>미확인</t>
        </is>
      </c>
      <c r="G383" s="11" t="inlineStr">
        <is>
          <t>2026-07-09</t>
        </is>
      </c>
      <c r="H383" s="11" t="n">
        <v>94</v>
      </c>
      <c r="I383" s="11" t="inlineStr">
        <is>
          <t>중복</t>
        </is>
      </c>
      <c r="J383" s="12" t="inlineStr">
        <is>
          <t>쿨런트 농도/pH | 미확인</t>
        </is>
      </c>
      <c r="K383" s="10" t="inlineStr"/>
      <c r="L383" s="10" t="inlineStr"/>
      <c r="M383" s="10" t="inlineStr"/>
      <c r="N383" s="10" t="inlineStr"/>
    </row>
    <row r="384">
      <c r="A384" s="13" t="n">
        <v>381</v>
      </c>
      <c r="B384" s="13" t="inlineStr">
        <is>
          <t>D-중복</t>
        </is>
      </c>
      <c r="C384" s="8" t="inlineStr">
        <is>
          <t>트러블슈팅</t>
        </is>
      </c>
      <c r="D384" s="8" t="inlineStr">
        <is>
          <t>troubleshoot/측면가공-파손-ae과다.md</t>
        </is>
      </c>
      <c r="E384" s="8" t="n">
        <v>42</v>
      </c>
      <c r="F384" s="8" t="inlineStr">
        <is>
          <t>미확인</t>
        </is>
      </c>
      <c r="G384" s="8" t="inlineStr">
        <is>
          <t>2026-07-09</t>
        </is>
      </c>
      <c r="H384" s="8" t="n">
        <v>94</v>
      </c>
      <c r="I384" s="8" t="inlineStr">
        <is>
          <t>중복</t>
        </is>
      </c>
      <c r="J384" s="9" t="inlineStr">
        <is>
          <t>쿨런트 | 수용성 (농도·압력 미확인)</t>
        </is>
      </c>
      <c r="K384" s="10" t="inlineStr"/>
      <c r="L384" s="10" t="inlineStr"/>
      <c r="M384" s="10" t="inlineStr"/>
      <c r="N384" s="10" t="inlineStr"/>
    </row>
    <row r="385">
      <c r="A385" s="13" t="n">
        <v>382</v>
      </c>
      <c r="B385" s="13" t="inlineStr">
        <is>
          <t>D-중복</t>
        </is>
      </c>
      <c r="C385" s="11" t="inlineStr">
        <is>
          <t>설비·정비</t>
        </is>
      </c>
      <c r="D385" s="11" t="inlineStr">
        <is>
          <t>repairs/gx7-로더-사용금지-2026-08-13.md</t>
        </is>
      </c>
      <c r="E385" s="11" t="n">
        <v>39</v>
      </c>
      <c r="F385" s="11" t="inlineStr">
        <is>
          <t>확인 필요</t>
        </is>
      </c>
      <c r="G385" s="11" t="inlineStr">
        <is>
          <t>2026-08-14</t>
        </is>
      </c>
      <c r="H385" s="11" t="n">
        <v>58</v>
      </c>
      <c r="I385" s="11" t="inlineStr">
        <is>
          <t>중복</t>
        </is>
      </c>
      <c r="J385" s="12"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385" s="10" t="inlineStr"/>
      <c r="L385" s="10" t="inlineStr"/>
      <c r="M385" s="10" t="inlineStr"/>
      <c r="N385" s="10" t="inlineStr"/>
    </row>
    <row r="386">
      <c r="A386" s="13" t="n">
        <v>383</v>
      </c>
      <c r="B386" s="13" t="inlineStr">
        <is>
          <t>D-중복</t>
        </is>
      </c>
      <c r="C386" s="8" t="inlineStr">
        <is>
          <t>CAD/CAM</t>
        </is>
      </c>
      <c r="D386" s="8" t="inlineStr">
        <is>
          <t>cadcam/휠-밸런싱-iBalance.md</t>
        </is>
      </c>
      <c r="E386" s="8" t="n">
        <v>184</v>
      </c>
      <c r="F386" s="8" t="inlineStr">
        <is>
          <t>확인 필요</t>
        </is>
      </c>
      <c r="G386" s="8" t="inlineStr">
        <is>
          <t>2026-09-09</t>
        </is>
      </c>
      <c r="H386" s="8" t="n">
        <v>32</v>
      </c>
      <c r="I386" s="8" t="inlineStr">
        <is>
          <t>중복</t>
        </is>
      </c>
      <c r="J386" s="9" t="inlineStr">
        <is>
          <t>ISO 12413:2019 — *Bonded abrasive products — Safety requirements*. 휠 안전 운영 기준. ⚠️ 2026-09-09 정정 — 적용범위가 초지립을 제외한다 [STD-EN12413]. 번호 자체도 확인 필요.</t>
        </is>
      </c>
      <c r="K386" s="10" t="inlineStr"/>
      <c r="L386" s="10" t="inlineStr"/>
      <c r="M386" s="10" t="inlineStr"/>
      <c r="N386" s="10" t="inlineStr"/>
    </row>
    <row r="387">
      <c r="A387" s="13" t="n">
        <v>384</v>
      </c>
      <c r="B387" s="13" t="inlineStr">
        <is>
          <t>D-중복</t>
        </is>
      </c>
      <c r="C387" s="11" t="inlineStr">
        <is>
          <t>공구·휠</t>
        </is>
      </c>
      <c r="D387" s="11" t="inlineStr">
        <is>
          <t>tools/wheels/index.md</t>
        </is>
      </c>
      <c r="E387" s="11" t="n">
        <v>341</v>
      </c>
      <c r="F387" s="11" t="inlineStr">
        <is>
          <t>확인 필요</t>
        </is>
      </c>
      <c r="G387" s="11" t="inlineStr">
        <is>
          <t>2026-09-09</t>
        </is>
      </c>
      <c r="H387" s="11" t="n">
        <v>32</v>
      </c>
      <c r="I387" s="11" t="inlineStr">
        <is>
          <t>중복</t>
        </is>
      </c>
      <c r="J387" s="12" t="inlineStr">
        <is>
          <t>b. ISO 12413:2019 — *Bonded abrasive products — Safety requirements*. 휠 측면 Vmax 표시 의무 (§6.6). ⚠️ 2026-09-09 정정 — 초지립 비적용 [STD-EN12413]. 번호 자체도 확인 필요. (보존)</t>
        </is>
      </c>
      <c r="K387" s="10" t="inlineStr"/>
      <c r="L387" s="10" t="inlineStr"/>
      <c r="M387" s="10" t="inlineStr"/>
      <c r="N387" s="10" t="inlineStr"/>
    </row>
    <row r="388">
      <c r="A388" s="13" t="n">
        <v>385</v>
      </c>
      <c r="B388" s="13" t="inlineStr">
        <is>
          <t>D-중복</t>
        </is>
      </c>
      <c r="C388" s="8" t="inlineStr">
        <is>
          <t>공구·휠</t>
        </is>
      </c>
      <c r="D388" s="8" t="inlineStr">
        <is>
          <t>tools/wheels/휠-20도-Ø125-1-1.md</t>
        </is>
      </c>
      <c r="E388" s="8" t="n">
        <v>49</v>
      </c>
      <c r="F388" s="8" t="inlineStr">
        <is>
          <t>미확인</t>
        </is>
      </c>
      <c r="G388" s="8" t="n"/>
      <c r="H388" s="8" t="n"/>
      <c r="I388" s="8" t="inlineStr">
        <is>
          <t>중복</t>
        </is>
      </c>
      <c r="J388" s="9" t="inlineStr">
        <is>
          <t>집중도 | C125 (5.5ct/cc, 높은 집중도) — 환산값은 통용 기준 C100 = 4.4 ct/cm³ 비례 계산 [추정값 — 1차 출처 미확인]</t>
        </is>
      </c>
      <c r="K388" s="10" t="inlineStr"/>
      <c r="L388" s="10" t="inlineStr"/>
      <c r="M388" s="10" t="inlineStr"/>
      <c r="N388" s="10" t="inlineStr"/>
    </row>
    <row r="389">
      <c r="A389" s="13" t="n">
        <v>386</v>
      </c>
      <c r="B389" s="13" t="inlineStr">
        <is>
          <t>D-중복</t>
        </is>
      </c>
      <c r="C389" s="11" t="inlineStr">
        <is>
          <t>공구·휠</t>
        </is>
      </c>
      <c r="D389" s="11" t="inlineStr">
        <is>
          <t>tools/wheels/휠-45도-Ø125-1-2.md</t>
        </is>
      </c>
      <c r="E389" s="11" t="n">
        <v>48</v>
      </c>
      <c r="F389" s="11" t="inlineStr">
        <is>
          <t>미확인</t>
        </is>
      </c>
      <c r="G389" s="11" t="n"/>
      <c r="H389" s="11" t="n"/>
      <c r="I389" s="11" t="inlineStr">
        <is>
          <t>중복</t>
        </is>
      </c>
      <c r="J389" s="12" t="inlineStr">
        <is>
          <t>집중도 | C125 (5.5ct/cc, 높은 집중도) — 환산값은 통용 기준 C100 = 4.4 ct/cm³ 비례 계산 [추정값 — 1차 출처 미확인]</t>
        </is>
      </c>
      <c r="K389" s="10" t="inlineStr"/>
      <c r="L389" s="10" t="inlineStr"/>
      <c r="M389" s="10" t="inlineStr"/>
      <c r="N389" s="10" t="inlineStr"/>
    </row>
    <row r="390">
      <c r="A390" s="13" t="n">
        <v>387</v>
      </c>
      <c r="B390" s="13" t="inlineStr">
        <is>
          <t>D-중복</t>
        </is>
      </c>
      <c r="C390" s="8" t="inlineStr">
        <is>
          <t>공구·휠</t>
        </is>
      </c>
      <c r="D390" s="8" t="inlineStr">
        <is>
          <t>tools/wheels/휠-45도-Ø125-1-2.md</t>
        </is>
      </c>
      <c r="E390" s="8" t="n">
        <v>54</v>
      </c>
      <c r="F390" s="8" t="inlineStr">
        <is>
          <t>미확인</t>
        </is>
      </c>
      <c r="G390" s="8" t="n"/>
      <c r="H390" s="8" t="n"/>
      <c r="I390" s="8" t="inlineStr">
        <is>
          <t>중복</t>
        </is>
      </c>
      <c r="J390" s="9" t="inlineStr">
        <is>
          <t>다이아몬드로 추정 — 서면 미확인. 다만 다이아몬드든 CBN 이든 모두 초지립이므로 아래 결론은 동일하다).</t>
        </is>
      </c>
      <c r="K390" s="10" t="inlineStr"/>
      <c r="L390" s="10" t="inlineStr"/>
      <c r="M390" s="10" t="inlineStr"/>
      <c r="N390" s="10" t="inlineStr"/>
    </row>
    <row r="391">
      <c r="A391" s="13" t="n">
        <v>388</v>
      </c>
      <c r="B391" s="13" t="inlineStr">
        <is>
          <t>D-중복</t>
        </is>
      </c>
      <c r="C391" s="11" t="inlineStr">
        <is>
          <t>공구·휠</t>
        </is>
      </c>
      <c r="D391" s="11" t="inlineStr">
        <is>
          <t>tools/wheels/휠-45도-Ø125-1-2.md</t>
        </is>
      </c>
      <c r="E391" s="11" t="n">
        <v>60</v>
      </c>
      <c r="F391" s="11" t="inlineStr">
        <is>
          <t>확인 필요</t>
        </is>
      </c>
      <c r="G391" s="11" t="n"/>
      <c r="H391" s="11" t="n"/>
      <c r="I391" s="11" t="inlineStr">
        <is>
          <t>중복</t>
        </is>
      </c>
      <c r="J391" s="12" t="inlineStr">
        <is>
          <t>⚠️ ISO 12413 이라는 번호 자체도 확인 필요 — sources.md 의 iso.org 링크가 404 이고 실재가 확인되는 것은</t>
        </is>
      </c>
      <c r="K391" s="10" t="inlineStr"/>
      <c r="L391" s="10" t="inlineStr"/>
      <c r="M391" s="10" t="inlineStr"/>
      <c r="N391" s="10" t="inlineStr"/>
    </row>
    <row r="392">
      <c r="A392" s="13" t="n">
        <v>389</v>
      </c>
      <c r="B392" s="13" t="inlineStr">
        <is>
          <t>D-중복</t>
        </is>
      </c>
      <c r="C392" s="8" t="inlineStr">
        <is>
          <t>공구·휠</t>
        </is>
      </c>
      <c r="D392" s="8" t="inlineStr">
        <is>
          <t>tools/wheels/휠-5도-Ø125-1-2.md</t>
        </is>
      </c>
      <c r="E392" s="8" t="n">
        <v>48</v>
      </c>
      <c r="F392" s="8" t="inlineStr">
        <is>
          <t>미확인</t>
        </is>
      </c>
      <c r="G392" s="8" t="n"/>
      <c r="H392" s="8" t="n"/>
      <c r="I392" s="8" t="inlineStr">
        <is>
          <t>중복</t>
        </is>
      </c>
      <c r="J392" s="9" t="inlineStr">
        <is>
          <t>집중도 | C125 (5.5ct/cc, 높은 집중도) — 환산값은 통용 기준 C100 = 4.4 ct/cm³ 비례 계산 [추정값 — 1차 출처 미확인]</t>
        </is>
      </c>
      <c r="K392" s="10" t="inlineStr"/>
      <c r="L392" s="10" t="inlineStr"/>
      <c r="M392" s="10" t="inlineStr"/>
      <c r="N392" s="10" t="inlineStr"/>
    </row>
    <row r="393">
      <c r="A393" s="13" t="n">
        <v>390</v>
      </c>
      <c r="B393" s="13" t="inlineStr">
        <is>
          <t>D-중복</t>
        </is>
      </c>
      <c r="C393" s="11" t="inlineStr">
        <is>
          <t>공구·휠</t>
        </is>
      </c>
      <c r="D393" s="11" t="inlineStr">
        <is>
          <t>tools/wheels/휠-5도-Ø125-1-2.md</t>
        </is>
      </c>
      <c r="E393" s="11" t="n">
        <v>54</v>
      </c>
      <c r="F393" s="11" t="inlineStr">
        <is>
          <t>미확인</t>
        </is>
      </c>
      <c r="G393" s="11" t="n"/>
      <c r="H393" s="11" t="n"/>
      <c r="I393" s="11" t="inlineStr">
        <is>
          <t>중복</t>
        </is>
      </c>
      <c r="J393" s="12" t="inlineStr">
        <is>
          <t>다이아몬드로 추정 — 서면 미확인. 다만 다이아몬드든 CBN 이든 모두 초지립이므로 아래 결론은 동일하다).</t>
        </is>
      </c>
      <c r="K393" s="10" t="inlineStr"/>
      <c r="L393" s="10" t="inlineStr"/>
      <c r="M393" s="10" t="inlineStr"/>
      <c r="N393" s="10" t="inlineStr"/>
    </row>
    <row r="394">
      <c r="A394" s="13" t="n">
        <v>391</v>
      </c>
      <c r="B394" s="13" t="inlineStr">
        <is>
          <t>D-중복</t>
        </is>
      </c>
      <c r="C394" s="8" t="inlineStr">
        <is>
          <t>공구·휠</t>
        </is>
      </c>
      <c r="D394" s="8" t="inlineStr">
        <is>
          <t>tools/wheels/휠-5도-Ø125-1-2.md</t>
        </is>
      </c>
      <c r="E394" s="8" t="n">
        <v>60</v>
      </c>
      <c r="F394" s="8" t="inlineStr">
        <is>
          <t>확인 필요</t>
        </is>
      </c>
      <c r="G394" s="8" t="n"/>
      <c r="H394" s="8" t="n"/>
      <c r="I394" s="8" t="inlineStr">
        <is>
          <t>중복</t>
        </is>
      </c>
      <c r="J394" s="9" t="inlineStr">
        <is>
          <t>⚠️ ISO 12413 이라는 번호 자체도 확인 필요 — sources.md 의 iso.org 링크가 404 이고 실재가 확인되는 것은</t>
        </is>
      </c>
      <c r="K394" s="10" t="inlineStr"/>
      <c r="L394" s="10" t="inlineStr"/>
      <c r="M394" s="10" t="inlineStr"/>
      <c r="N394" s="10" t="inlineStr"/>
    </row>
    <row r="395">
      <c r="A395" s="13" t="n">
        <v>392</v>
      </c>
      <c r="B395" s="13" t="inlineStr">
        <is>
          <t>D-중복</t>
        </is>
      </c>
      <c r="C395" s="11" t="inlineStr">
        <is>
          <t>공구·휠</t>
        </is>
      </c>
      <c r="D395" s="11" t="inlineStr">
        <is>
          <t>tools/wheels/휠-컵-Ø100-1-1.md</t>
        </is>
      </c>
      <c r="E395" s="11" t="n">
        <v>50</v>
      </c>
      <c r="F395" s="11" t="inlineStr">
        <is>
          <t>미확인</t>
        </is>
      </c>
      <c r="G395" s="11" t="n"/>
      <c r="H395" s="11" t="n"/>
      <c r="I395" s="11" t="inlineStr">
        <is>
          <t>중복</t>
        </is>
      </c>
      <c r="J395" s="12" t="inlineStr">
        <is>
          <t>집중도 | C125 (5.5ct/cc, 높은 집중도) — 환산값은 통용 기준 C100 = 4.4 ct/cm³ 비례 계산 [추정값 — 1차 출처 미확인]</t>
        </is>
      </c>
      <c r="K395" s="10" t="inlineStr"/>
      <c r="L395" s="10" t="inlineStr"/>
      <c r="M395" s="10" t="inlineStr"/>
      <c r="N395" s="10" t="inlineStr"/>
    </row>
    <row r="396">
      <c r="A396" s="13" t="n">
        <v>393</v>
      </c>
      <c r="B396" s="13" t="inlineStr">
        <is>
          <t>D-중복</t>
        </is>
      </c>
      <c r="C396" s="8" t="inlineStr">
        <is>
          <t>공구·휠</t>
        </is>
      </c>
      <c r="D396" s="8" t="inlineStr">
        <is>
          <t>tools/wheels/휠-컵-Ø100-1-1.md</t>
        </is>
      </c>
      <c r="E396" s="8" t="n">
        <v>56</v>
      </c>
      <c r="F396" s="8" t="inlineStr">
        <is>
          <t>미확인</t>
        </is>
      </c>
      <c r="G396" s="8" t="n"/>
      <c r="H396" s="8" t="n"/>
      <c r="I396" s="8" t="inlineStr">
        <is>
          <t>중복</t>
        </is>
      </c>
      <c r="J396" s="9" t="inlineStr">
        <is>
          <t>다이아몬드로 추정 — 서면 미확인. 다만 다이아몬드든 CBN 이든 모두 초지립이므로 아래 결론은 동일하다).</t>
        </is>
      </c>
      <c r="K396" s="10" t="inlineStr"/>
      <c r="L396" s="10" t="inlineStr"/>
      <c r="M396" s="10" t="inlineStr"/>
      <c r="N396" s="10" t="inlineStr"/>
    </row>
    <row r="397">
      <c r="A397" s="13" t="n">
        <v>394</v>
      </c>
      <c r="B397" s="13" t="inlineStr">
        <is>
          <t>D-중복</t>
        </is>
      </c>
      <c r="C397" s="11" t="inlineStr">
        <is>
          <t>공구·휠</t>
        </is>
      </c>
      <c r="D397" s="11" t="inlineStr">
        <is>
          <t>tools/wheels/휠-컵-Ø100-1-1.md</t>
        </is>
      </c>
      <c r="E397" s="11" t="n">
        <v>62</v>
      </c>
      <c r="F397" s="11" t="inlineStr">
        <is>
          <t>확인 필요</t>
        </is>
      </c>
      <c r="G397" s="11" t="n"/>
      <c r="H397" s="11" t="n"/>
      <c r="I397" s="11" t="inlineStr">
        <is>
          <t>중복</t>
        </is>
      </c>
      <c r="J397" s="12" t="inlineStr">
        <is>
          <t>⚠️ ISO 12413 이라는 번호 자체도 확인 필요 — sources.md 의 iso.org 링크가 404 이고 실재가 확인되는 것은</t>
        </is>
      </c>
      <c r="K397" s="10" t="inlineStr"/>
      <c r="L397" s="10" t="inlineStr"/>
      <c r="M397" s="10" t="inlineStr"/>
      <c r="N397" s="10" t="inlineStr"/>
    </row>
    <row r="398">
      <c r="A398" s="13" t="n">
        <v>395</v>
      </c>
      <c r="B398" s="13" t="inlineStr">
        <is>
          <t>D-중복</t>
        </is>
      </c>
      <c r="C398" s="8" t="inlineStr">
        <is>
          <t>공구·휠</t>
        </is>
      </c>
      <c r="D398" s="8" t="inlineStr">
        <is>
          <t>tools/wheels/휠-컵-Ø100-1-2.md</t>
        </is>
      </c>
      <c r="E398" s="8" t="n">
        <v>48</v>
      </c>
      <c r="F398" s="8" t="inlineStr">
        <is>
          <t>미확인</t>
        </is>
      </c>
      <c r="G398" s="8" t="n"/>
      <c r="H398" s="8" t="n"/>
      <c r="I398" s="8" t="inlineStr">
        <is>
          <t>중복</t>
        </is>
      </c>
      <c r="J398" s="9" t="inlineStr">
        <is>
          <t>집중도 | C125 (5.5ct/cc, 높은 집중도) — 환산값은 통용 기준 C100 = 4.4 ct/cm³ 비례 계산 [추정값 — 1차 출처 미확인]</t>
        </is>
      </c>
      <c r="K398" s="10" t="inlineStr"/>
      <c r="L398" s="10" t="inlineStr"/>
      <c r="M398" s="10" t="inlineStr"/>
      <c r="N398" s="10" t="inlineStr"/>
    </row>
    <row r="399">
      <c r="A399" s="13" t="n">
        <v>396</v>
      </c>
      <c r="B399" s="13" t="inlineStr">
        <is>
          <t>D-중복</t>
        </is>
      </c>
      <c r="C399" s="11" t="inlineStr">
        <is>
          <t>공구·휠</t>
        </is>
      </c>
      <c r="D399" s="11" t="inlineStr">
        <is>
          <t>tools/wheels/휠-컵-Ø100-1-2.md</t>
        </is>
      </c>
      <c r="E399" s="11" t="n">
        <v>54</v>
      </c>
      <c r="F399" s="11" t="inlineStr">
        <is>
          <t>미확인</t>
        </is>
      </c>
      <c r="G399" s="11" t="n"/>
      <c r="H399" s="11" t="n"/>
      <c r="I399" s="11" t="inlineStr">
        <is>
          <t>중복</t>
        </is>
      </c>
      <c r="J399" s="12" t="inlineStr">
        <is>
          <t>다이아몬드로 추정 — 서면 미확인. 다만 다이아몬드든 CBN 이든 모두 초지립이므로 아래 결론은 동일하다).</t>
        </is>
      </c>
      <c r="K399" s="10" t="inlineStr"/>
      <c r="L399" s="10" t="inlineStr"/>
      <c r="M399" s="10" t="inlineStr"/>
      <c r="N399" s="10" t="inlineStr"/>
    </row>
    <row r="400">
      <c r="A400" s="13" t="n">
        <v>397</v>
      </c>
      <c r="B400" s="13" t="inlineStr">
        <is>
          <t>D-중복</t>
        </is>
      </c>
      <c r="C400" s="8" t="inlineStr">
        <is>
          <t>공구·휠</t>
        </is>
      </c>
      <c r="D400" s="8" t="inlineStr">
        <is>
          <t>tools/wheels/휠-컵-Ø100-1-2.md</t>
        </is>
      </c>
      <c r="E400" s="8" t="n">
        <v>60</v>
      </c>
      <c r="F400" s="8" t="inlineStr">
        <is>
          <t>확인 필요</t>
        </is>
      </c>
      <c r="G400" s="8" t="n"/>
      <c r="H400" s="8" t="n"/>
      <c r="I400" s="8" t="inlineStr">
        <is>
          <t>중복</t>
        </is>
      </c>
      <c r="J400" s="9" t="inlineStr">
        <is>
          <t>⚠️ ISO 12413 이라는 번호 자체도 확인 필요 — sources.md 의 iso.org 링크가 404 이고 실재가 확인되는 것은</t>
        </is>
      </c>
      <c r="K400" s="10" t="inlineStr"/>
      <c r="L400" s="10" t="inlineStr"/>
      <c r="M400" s="10" t="inlineStr"/>
      <c r="N400" s="10" t="inlineStr"/>
    </row>
  </sheetData>
  <autoFilter ref="A3:N400"/>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8"/>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3" t="inlineStr">
        <is>
          <t>설비·정비</t>
        </is>
      </c>
      <c r="B4" s="13" t="inlineStr">
        <is>
          <t>repairs/gx7-에어필터-자체조달-2026-08-14.md</t>
        </is>
      </c>
      <c r="C4" s="8" t="n">
        <v>31</v>
      </c>
      <c r="D4" s="8" t="n">
        <v>0</v>
      </c>
      <c r="E4" s="8" t="n">
        <v>0</v>
      </c>
      <c r="F4" s="8" t="n">
        <v>425</v>
      </c>
    </row>
    <row r="5">
      <c r="A5" s="14" t="inlineStr">
        <is>
          <t>설비·정비</t>
        </is>
      </c>
      <c r="B5" s="14" t="inlineStr">
        <is>
          <t>repairs/fastgrind-로더-유압실린더-파손-2026-08-11.md</t>
        </is>
      </c>
      <c r="C5" s="11" t="n">
        <v>28</v>
      </c>
      <c r="D5" s="11" t="n">
        <v>0</v>
      </c>
      <c r="E5" s="11" t="n">
        <v>0</v>
      </c>
      <c r="F5" s="11" t="n">
        <v>60</v>
      </c>
    </row>
    <row r="6">
      <c r="A6" s="13" t="inlineStr">
        <is>
          <t>프로젝트</t>
        </is>
      </c>
      <c r="B6" s="13" t="inlineStr">
        <is>
          <t>projects/AL엔드밀-홈가공-테스트-2.md</t>
        </is>
      </c>
      <c r="C6" s="8" t="n">
        <v>22</v>
      </c>
      <c r="D6" s="8" t="n">
        <v>0</v>
      </c>
      <c r="E6" s="8" t="n">
        <v>0</v>
      </c>
      <c r="F6" s="8" t="n">
        <v>80</v>
      </c>
    </row>
    <row r="7">
      <c r="A7" s="14" t="inlineStr">
        <is>
          <t>프로젝트</t>
        </is>
      </c>
      <c r="B7" s="14" t="inlineStr">
        <is>
          <t>projects/ANCA-장비-투자-생산력강화-검토.md</t>
        </is>
      </c>
      <c r="C7" s="11" t="n">
        <v>17</v>
      </c>
      <c r="D7" s="11" t="n">
        <v>0</v>
      </c>
      <c r="E7" s="11" t="n">
        <v>0</v>
      </c>
      <c r="F7" s="11" t="n">
        <v>104</v>
      </c>
    </row>
    <row r="8">
      <c r="A8" s="13" t="inlineStr">
        <is>
          <t>설비·정비</t>
        </is>
      </c>
      <c r="B8" s="13" t="inlineStr">
        <is>
          <t>repairs/과거-수리이력-백필-2021-2025.md</t>
        </is>
      </c>
      <c r="C8" s="8" t="n">
        <v>16</v>
      </c>
      <c r="D8" s="8" t="n">
        <v>0</v>
      </c>
      <c r="E8" s="8" t="n">
        <v>0</v>
      </c>
      <c r="F8" s="8" t="n">
        <v>1432</v>
      </c>
    </row>
    <row r="9">
      <c r="A9" s="14" t="inlineStr">
        <is>
          <t>공구·휠</t>
        </is>
      </c>
      <c r="B9" s="14" t="inlineStr">
        <is>
          <t>tools/wheels/원통연마-휠-12도-스펙.md</t>
        </is>
      </c>
      <c r="C9" s="11" t="n">
        <v>14</v>
      </c>
      <c r="D9" s="11" t="n">
        <v>0</v>
      </c>
      <c r="E9" s="11" t="n">
        <v>0</v>
      </c>
      <c r="F9" s="11" t="n">
        <v>102</v>
      </c>
    </row>
    <row r="10">
      <c r="A10" s="13" t="inlineStr">
        <is>
          <t>설비</t>
        </is>
      </c>
      <c r="B10" s="13" t="inlineStr">
        <is>
          <t>machines/anca-cnc-tool-grinder.md</t>
        </is>
      </c>
      <c r="C10" s="8" t="n">
        <v>14</v>
      </c>
      <c r="D10" s="8" t="n">
        <v>1</v>
      </c>
      <c r="E10" s="8" t="n">
        <v>0</v>
      </c>
      <c r="F10" s="8" t="n">
        <v>52</v>
      </c>
    </row>
    <row r="11">
      <c r="A11" s="14" t="inlineStr">
        <is>
          <t>설비·정비</t>
        </is>
      </c>
      <c r="B11" s="14" t="inlineStr">
        <is>
          <t>repairs/fastgrind-솔레노이드밸브-공기누설-2026-08-13.md</t>
        </is>
      </c>
      <c r="C11" s="11" t="n">
        <v>12</v>
      </c>
      <c r="D11" s="11" t="n">
        <v>0</v>
      </c>
      <c r="E11" s="11" t="n">
        <v>0</v>
      </c>
      <c r="F11" s="11" t="n">
        <v>61</v>
      </c>
    </row>
    <row r="12">
      <c r="A12" s="13" t="inlineStr">
        <is>
          <t>비교분석</t>
        </is>
      </c>
      <c r="B12" s="13" t="inlineStr">
        <is>
          <t>comparisons/AL코팅엔드밀-비교.md</t>
        </is>
      </c>
      <c r="C12" s="8" t="n">
        <v>12</v>
      </c>
      <c r="D12" s="8" t="n">
        <v>0</v>
      </c>
      <c r="E12" s="8" t="n">
        <v>0</v>
      </c>
      <c r="F12" s="8" t="n">
        <v>18</v>
      </c>
    </row>
    <row r="13">
      <c r="A13" s="14" t="inlineStr">
        <is>
          <t>프로젝트</t>
        </is>
      </c>
      <c r="B13" s="14" t="inlineStr">
        <is>
          <t>projects/ANCA-현장방문-KG1-방문기록.md</t>
        </is>
      </c>
      <c r="C13" s="11" t="n">
        <v>12</v>
      </c>
      <c r="D13" s="11" t="n">
        <v>0</v>
      </c>
      <c r="E13" s="11" t="n">
        <v>0</v>
      </c>
      <c r="F13" s="11" t="n">
        <v>89</v>
      </c>
    </row>
    <row r="14">
      <c r="A14" s="13" t="inlineStr">
        <is>
          <t>공구·휠</t>
        </is>
      </c>
      <c r="B14" s="13" t="inlineStr">
        <is>
          <t>tools/공구-수명-관리.md</t>
        </is>
      </c>
      <c r="C14" s="8" t="n">
        <v>9</v>
      </c>
      <c r="D14" s="8" t="n">
        <v>0</v>
      </c>
      <c r="E14" s="8" t="n">
        <v>0</v>
      </c>
      <c r="F14" s="8" t="n">
        <v>10</v>
      </c>
    </row>
    <row r="15">
      <c r="A15" s="14" t="inlineStr">
        <is>
          <t>설비·정비</t>
        </is>
      </c>
      <c r="B15" s="14" t="inlineStr">
        <is>
          <t>repairs/gx7-로더-사용금지-2026-08-13.md</t>
        </is>
      </c>
      <c r="C15" s="11" t="n">
        <v>8</v>
      </c>
      <c r="D15" s="11" t="n">
        <v>0</v>
      </c>
      <c r="E15" s="11" t="n">
        <v>0</v>
      </c>
      <c r="F15" s="11" t="n">
        <v>61</v>
      </c>
    </row>
    <row r="16">
      <c r="A16" s="13" t="inlineStr">
        <is>
          <t>공구·휠</t>
        </is>
      </c>
      <c r="B16" s="13" t="inlineStr">
        <is>
          <t>tools/wheels/홍익다이아-발주체크리스트-원통연마.md</t>
        </is>
      </c>
      <c r="C16" s="8" t="n">
        <v>7</v>
      </c>
      <c r="D16" s="8" t="n">
        <v>0</v>
      </c>
      <c r="E16" s="8" t="n">
        <v>0</v>
      </c>
      <c r="F16" s="8" t="n">
        <v>48</v>
      </c>
    </row>
    <row r="17">
      <c r="A17" s="14" t="inlineStr">
        <is>
          <t>비교분석</t>
        </is>
      </c>
      <c r="B17" s="14" t="inlineStr">
        <is>
          <t>comparisons/출하현황-거래처별-8월-급감-분석-2026.md</t>
        </is>
      </c>
      <c r="C17" s="11" t="n">
        <v>7</v>
      </c>
      <c r="D17" s="11" t="n">
        <v>1</v>
      </c>
      <c r="E17" s="11" t="n">
        <v>0</v>
      </c>
      <c r="F17" s="11" t="n"/>
    </row>
    <row r="18">
      <c r="A18" s="13" t="inlineStr">
        <is>
          <t>공구·휠</t>
        </is>
      </c>
      <c r="B18" s="13" t="inlineStr">
        <is>
          <t>tools/wheels/catalog/이화다이아-카탈로그.md</t>
        </is>
      </c>
      <c r="C18" s="8" t="n">
        <v>7</v>
      </c>
      <c r="D18" s="8" t="n">
        <v>0</v>
      </c>
      <c r="E18" s="8" t="n">
        <v>0</v>
      </c>
      <c r="F18" s="8" t="n">
        <v>51</v>
      </c>
    </row>
    <row r="19">
      <c r="A19" s="14" t="inlineStr">
        <is>
          <t>보고</t>
        </is>
      </c>
      <c r="B19" s="14" t="inlineStr">
        <is>
          <t>reports/05_검증·노트/ISO_표준_참조집.md</t>
        </is>
      </c>
      <c r="C19" s="11" t="n">
        <v>6</v>
      </c>
      <c r="D19" s="11" t="n">
        <v>0</v>
      </c>
      <c r="E19" s="11" t="n">
        <v>0</v>
      </c>
      <c r="F19" s="11" t="n">
        <v>32</v>
      </c>
    </row>
    <row r="20">
      <c r="A20" s="13" t="inlineStr">
        <is>
          <t>설비</t>
        </is>
      </c>
      <c r="B20" s="13" t="inlineStr">
        <is>
          <t>machines/ewag-tool-grinder.md</t>
        </is>
      </c>
      <c r="C20" s="8" t="n">
        <v>6</v>
      </c>
      <c r="D20" s="8" t="n">
        <v>0</v>
      </c>
      <c r="E20" s="8" t="n">
        <v>0</v>
      </c>
      <c r="F20" s="8" t="n">
        <v>89</v>
      </c>
    </row>
    <row r="21">
      <c r="A21" s="14" t="inlineStr">
        <is>
          <t>비교분석</t>
        </is>
      </c>
      <c r="B21" s="14" t="inlineStr">
        <is>
          <t>comparisons/드릴-6종-비교-D5.md</t>
        </is>
      </c>
      <c r="C21" s="11" t="n">
        <v>6</v>
      </c>
      <c r="D21" s="11" t="n">
        <v>0</v>
      </c>
      <c r="E21" s="11" t="n">
        <v>0</v>
      </c>
      <c r="F21" s="11" t="n">
        <v>94</v>
      </c>
    </row>
    <row r="22">
      <c r="A22" s="13" t="inlineStr">
        <is>
          <t>비교분석</t>
        </is>
      </c>
      <c r="B22" s="13" t="inlineStr">
        <is>
          <t>comparisons/AL엔드밀-호닝-비교.md</t>
        </is>
      </c>
      <c r="C22" s="8" t="n">
        <v>5</v>
      </c>
      <c r="D22" s="8" t="n">
        <v>0</v>
      </c>
      <c r="E22" s="8" t="n">
        <v>0</v>
      </c>
      <c r="F22" s="8" t="n">
        <v>82</v>
      </c>
    </row>
    <row r="23">
      <c r="A23" s="14" t="inlineStr">
        <is>
          <t>소재</t>
        </is>
      </c>
      <c r="B23" s="14" t="inlineStr">
        <is>
          <t>materials/공구-코팅.md</t>
        </is>
      </c>
      <c r="C23" s="11" t="n">
        <v>5</v>
      </c>
      <c r="D23" s="11" t="n">
        <v>0</v>
      </c>
      <c r="E23" s="11" t="n">
        <v>0</v>
      </c>
      <c r="F23" s="11" t="n">
        <v>128</v>
      </c>
    </row>
    <row r="24">
      <c r="A24" s="13" t="inlineStr">
        <is>
          <t>소재</t>
        </is>
      </c>
      <c r="B24" s="13" t="inlineStr">
        <is>
          <t>materials/초경.md</t>
        </is>
      </c>
      <c r="C24" s="8" t="n">
        <v>5</v>
      </c>
      <c r="D24" s="8" t="n">
        <v>0</v>
      </c>
      <c r="E24" s="8" t="n">
        <v>0</v>
      </c>
      <c r="F24" s="8" t="n">
        <v>132</v>
      </c>
    </row>
    <row r="25">
      <c r="A25" s="14" t="inlineStr">
        <is>
          <t>비교분석</t>
        </is>
      </c>
      <c r="B25" s="14" t="inlineStr">
        <is>
          <t>comparisons/AL엔드밀-3종-비교.md</t>
        </is>
      </c>
      <c r="C25" s="11" t="n">
        <v>5</v>
      </c>
      <c r="D25" s="11" t="n">
        <v>0</v>
      </c>
      <c r="E25" s="11" t="n">
        <v>0</v>
      </c>
      <c r="F25" s="11" t="n">
        <v>121</v>
      </c>
    </row>
    <row r="26">
      <c r="A26" s="13" t="inlineStr">
        <is>
          <t>공구·휠</t>
        </is>
      </c>
      <c r="B26" s="13" t="inlineStr">
        <is>
          <t>tools/wheels/휠-컵-Ø100-1-2.md</t>
        </is>
      </c>
      <c r="C26" s="8" t="n">
        <v>5</v>
      </c>
      <c r="D26" s="8" t="n">
        <v>0</v>
      </c>
      <c r="E26" s="8" t="n">
        <v>0</v>
      </c>
      <c r="F26" s="8" t="n"/>
    </row>
    <row r="27">
      <c r="A27" s="14" t="inlineStr">
        <is>
          <t>CAD/CAM</t>
        </is>
      </c>
      <c r="B27" s="14" t="inlineStr">
        <is>
          <t>cadcam/재연마-프로그램-워크플로우.md</t>
        </is>
      </c>
      <c r="C27" s="11" t="n">
        <v>5</v>
      </c>
      <c r="D27" s="11" t="n">
        <v>0</v>
      </c>
      <c r="E27" s="11" t="n">
        <v>0</v>
      </c>
      <c r="F27" s="11" t="n">
        <v>132</v>
      </c>
    </row>
    <row r="28">
      <c r="A28" s="13" t="inlineStr">
        <is>
          <t>설비</t>
        </is>
      </c>
      <c r="B28" s="13" t="inlineStr">
        <is>
          <t>machines/anca-중고-리퍼비시-매물-조사.md</t>
        </is>
      </c>
      <c r="C28" s="8" t="n">
        <v>5</v>
      </c>
      <c r="D28" s="8" t="n">
        <v>0</v>
      </c>
      <c r="E28" s="8" t="n">
        <v>0</v>
      </c>
      <c r="F28" s="8" t="n">
        <v>104</v>
      </c>
    </row>
    <row r="29">
      <c r="A29" s="14" t="inlineStr">
        <is>
          <t>공구·휠</t>
        </is>
      </c>
      <c r="B29" s="14" t="inlineStr">
        <is>
          <t>tools/wheels/index.md</t>
        </is>
      </c>
      <c r="C29" s="11" t="n">
        <v>5</v>
      </c>
      <c r="D29" s="11" t="n">
        <v>0</v>
      </c>
      <c r="E29" s="11" t="n">
        <v>0</v>
      </c>
      <c r="F29" s="11" t="n">
        <v>135</v>
      </c>
    </row>
    <row r="30">
      <c r="A30" s="13" t="inlineStr">
        <is>
          <t>설비·정비</t>
        </is>
      </c>
      <c r="B30" s="13" t="inlineStr">
        <is>
          <t>repairs/README.md</t>
        </is>
      </c>
      <c r="C30" s="8" t="n">
        <v>5</v>
      </c>
      <c r="D30" s="8" t="n">
        <v>0</v>
      </c>
      <c r="E30" s="8" t="n">
        <v>0</v>
      </c>
      <c r="F30" s="8" t="n">
        <v>500</v>
      </c>
    </row>
    <row r="31">
      <c r="A31" s="14" t="inlineStr">
        <is>
          <t>법규</t>
        </is>
      </c>
      <c r="B31" s="14" t="inlineStr">
        <is>
          <t>compliance/작업환경측정.md</t>
        </is>
      </c>
      <c r="C31" s="11" t="n">
        <v>5</v>
      </c>
      <c r="D31" s="11" t="n">
        <v>1</v>
      </c>
      <c r="E31" s="11" t="n">
        <v>0</v>
      </c>
      <c r="F31" s="11" t="n">
        <v>51</v>
      </c>
    </row>
    <row r="32">
      <c r="A32" s="13" t="inlineStr">
        <is>
          <t>공구·휠</t>
        </is>
      </c>
      <c r="B32" s="13" t="inlineStr">
        <is>
          <t>tools/연삭-조건-D8-4날-코너R-GASH.md</t>
        </is>
      </c>
      <c r="C32" s="8" t="n">
        <v>4</v>
      </c>
      <c r="D32" s="8" t="n">
        <v>0</v>
      </c>
      <c r="E32" s="8" t="n">
        <v>0</v>
      </c>
      <c r="F32" s="8" t="n">
        <v>173</v>
      </c>
    </row>
    <row r="33">
      <c r="A33" s="14" t="inlineStr">
        <is>
          <t>비교분석</t>
        </is>
      </c>
      <c r="B33" s="14" t="inlineStr">
        <is>
          <t>comparisons/NC드릴-4종-비교-D4.md</t>
        </is>
      </c>
      <c r="C33" s="11" t="n">
        <v>4</v>
      </c>
      <c r="D33" s="11" t="n">
        <v>0</v>
      </c>
      <c r="E33" s="11" t="n">
        <v>0</v>
      </c>
      <c r="F33" s="11" t="n">
        <v>94</v>
      </c>
    </row>
    <row r="34">
      <c r="A34" s="13" t="inlineStr">
        <is>
          <t>비교분석</t>
        </is>
      </c>
      <c r="B34" s="13" t="inlineStr">
        <is>
          <t>comparisons/재연마-벤치마크-takeda-industries.md</t>
        </is>
      </c>
      <c r="C34" s="8" t="n">
        <v>4</v>
      </c>
      <c r="D34" s="8" t="n">
        <v>0</v>
      </c>
      <c r="E34" s="8" t="n">
        <v>0</v>
      </c>
      <c r="F34" s="8" t="n">
        <v>131</v>
      </c>
    </row>
    <row r="35">
      <c r="A35" s="14" t="inlineStr">
        <is>
          <t>공구·휠</t>
        </is>
      </c>
      <c r="B35" s="14" t="inlineStr">
        <is>
          <t>tools/wheels/스택-1-2.md</t>
        </is>
      </c>
      <c r="C35" s="11" t="n">
        <v>4</v>
      </c>
      <c r="D35" s="11" t="n">
        <v>2</v>
      </c>
      <c r="E35" s="11" t="n">
        <v>0</v>
      </c>
      <c r="F35" s="11" t="n">
        <v>51</v>
      </c>
    </row>
    <row r="36">
      <c r="A36" s="13" t="inlineStr">
        <is>
          <t>비교분석</t>
        </is>
      </c>
      <c r="B36" s="13" t="inlineStr">
        <is>
          <t>comparisons/홍익다이아-vs-이화다이아.md</t>
        </is>
      </c>
      <c r="C36" s="8" t="n">
        <v>4</v>
      </c>
      <c r="D36" s="8" t="n">
        <v>0</v>
      </c>
      <c r="E36" s="8" t="n">
        <v>0</v>
      </c>
      <c r="F36" s="8" t="n">
        <v>51</v>
      </c>
    </row>
    <row r="37">
      <c r="A37" s="14" t="inlineStr">
        <is>
          <t>비교분석</t>
        </is>
      </c>
      <c r="B37" s="14" t="inlineStr">
        <is>
          <t>comparisons/아큐센터-비교.md</t>
        </is>
      </c>
      <c r="C37" s="11" t="n">
        <v>4</v>
      </c>
      <c r="D37" s="11" t="n">
        <v>0</v>
      </c>
      <c r="E37" s="11" t="n">
        <v>0</v>
      </c>
      <c r="F37" s="11" t="n">
        <v>94</v>
      </c>
    </row>
    <row r="38">
      <c r="A38" s="13" t="inlineStr">
        <is>
          <t>비교분석</t>
        </is>
      </c>
      <c r="B38" s="13" t="inlineStr">
        <is>
          <t>comparisons/출하현황-KPI-트렌드-2022-2026.md</t>
        </is>
      </c>
      <c r="C38" s="8" t="n">
        <v>3</v>
      </c>
      <c r="D38" s="8" t="n">
        <v>0</v>
      </c>
      <c r="E38" s="8" t="n">
        <v>0</v>
      </c>
      <c r="F38" s="8" t="n">
        <v>10</v>
      </c>
    </row>
    <row r="39">
      <c r="A39" s="14" t="inlineStr">
        <is>
          <t>비교분석</t>
        </is>
      </c>
      <c r="B39" s="14" t="inlineStr">
        <is>
          <t>comparisons/출하현황-2022-2024-비교.md</t>
        </is>
      </c>
      <c r="C39" s="11" t="n">
        <v>3</v>
      </c>
      <c r="D39" s="11" t="n">
        <v>0</v>
      </c>
      <c r="E39" s="11" t="n">
        <v>0</v>
      </c>
      <c r="F39" s="11" t="n">
        <v>166</v>
      </c>
    </row>
    <row r="40">
      <c r="A40" s="13" t="inlineStr">
        <is>
          <t>비교분석</t>
        </is>
      </c>
      <c r="B40" s="13" t="inlineStr">
        <is>
          <t>comparisons/T드릴-인덱서블-7종-비교-D20.md</t>
        </is>
      </c>
      <c r="C40" s="8" t="n">
        <v>3</v>
      </c>
      <c r="D40" s="8" t="n">
        <v>0</v>
      </c>
      <c r="E40" s="8" t="n">
        <v>0</v>
      </c>
      <c r="F40" s="8" t="n">
        <v>94</v>
      </c>
    </row>
    <row r="41">
      <c r="A41" s="14" t="inlineStr">
        <is>
          <t>설비</t>
        </is>
      </c>
      <c r="B41" s="14" t="inlineStr">
        <is>
          <t>machines/fx5-linear.md</t>
        </is>
      </c>
      <c r="C41" s="11" t="n">
        <v>3</v>
      </c>
      <c r="D41" s="11" t="n">
        <v>0</v>
      </c>
      <c r="E41" s="11" t="n">
        <v>0</v>
      </c>
      <c r="F41" s="11" t="n">
        <v>131</v>
      </c>
    </row>
    <row r="42">
      <c r="A42" s="13" t="inlineStr">
        <is>
          <t>보고</t>
        </is>
      </c>
      <c r="B42" s="13" t="inlineStr">
        <is>
          <t>reports/05_검증·노트/휠RPM-정책-검증-노트.md</t>
        </is>
      </c>
      <c r="C42" s="8" t="n">
        <v>3</v>
      </c>
      <c r="D42" s="8" t="n">
        <v>0</v>
      </c>
      <c r="E42" s="8" t="n">
        <v>0</v>
      </c>
      <c r="F42" s="8" t="n">
        <v>32</v>
      </c>
    </row>
    <row r="43">
      <c r="A43" s="14" t="inlineStr">
        <is>
          <t>G코드</t>
        </is>
      </c>
      <c r="B43" s="14" t="inlineStr">
        <is>
          <t>gcode/g73-고속펙드릴.md</t>
        </is>
      </c>
      <c r="C43" s="11" t="n">
        <v>3</v>
      </c>
      <c r="D43" s="11" t="n">
        <v>0</v>
      </c>
      <c r="E43" s="11" t="n">
        <v>0</v>
      </c>
      <c r="F43" s="11" t="n">
        <v>138</v>
      </c>
    </row>
    <row r="44">
      <c r="A44" s="13" t="inlineStr">
        <is>
          <t>CAD/CAM</t>
        </is>
      </c>
      <c r="B44" s="13" t="inlineStr">
        <is>
          <t>cadcam/원통연삭-방식-기초.md</t>
        </is>
      </c>
      <c r="C44" s="8" t="n">
        <v>3</v>
      </c>
      <c r="D44" s="8" t="n">
        <v>0</v>
      </c>
      <c r="E44" s="8" t="n">
        <v>0</v>
      </c>
      <c r="F44" s="8" t="n">
        <v>102</v>
      </c>
    </row>
    <row r="45">
      <c r="A45" s="14" t="inlineStr">
        <is>
          <t>공구·휠</t>
        </is>
      </c>
      <c r="B45" s="14" t="inlineStr">
        <is>
          <t>tools/wheels/휠-컵-Ø100-1-1.md</t>
        </is>
      </c>
      <c r="C45" s="11" t="n">
        <v>3</v>
      </c>
      <c r="D45" s="11" t="n">
        <v>0</v>
      </c>
      <c r="E45" s="11" t="n">
        <v>0</v>
      </c>
      <c r="F45" s="11" t="n"/>
    </row>
    <row r="46">
      <c r="A46" s="13" t="inlineStr">
        <is>
          <t>공구·휠</t>
        </is>
      </c>
      <c r="B46" s="13" t="inlineStr">
        <is>
          <t>tools/wheels/휠-5도-Ø125-1-2.md</t>
        </is>
      </c>
      <c r="C46" s="8" t="n">
        <v>3</v>
      </c>
      <c r="D46" s="8" t="n">
        <v>0</v>
      </c>
      <c r="E46" s="8" t="n">
        <v>0</v>
      </c>
      <c r="F46" s="8" t="n"/>
    </row>
    <row r="47">
      <c r="A47" s="14" t="inlineStr">
        <is>
          <t>공구·휠</t>
        </is>
      </c>
      <c r="B47" s="14" t="inlineStr">
        <is>
          <t>tools/wheels/휠-45도-Ø125-1-2.md</t>
        </is>
      </c>
      <c r="C47" s="11" t="n">
        <v>3</v>
      </c>
      <c r="D47" s="11" t="n">
        <v>0</v>
      </c>
      <c r="E47" s="11" t="n">
        <v>0</v>
      </c>
      <c r="F47" s="11" t="n"/>
    </row>
    <row r="48">
      <c r="A48" s="13" t="inlineStr">
        <is>
          <t>공구·휠</t>
        </is>
      </c>
      <c r="B48" s="13" t="inlineStr">
        <is>
          <t>tools/wheels/휠-20도-Ø125-1-1.md</t>
        </is>
      </c>
      <c r="C48" s="8" t="n">
        <v>3</v>
      </c>
      <c r="D48" s="8" t="n">
        <v>0</v>
      </c>
      <c r="E48" s="8" t="n">
        <v>0</v>
      </c>
      <c r="F48" s="8" t="n"/>
    </row>
    <row r="49">
      <c r="A49" s="14" t="inlineStr">
        <is>
          <t>소재</t>
        </is>
      </c>
      <c r="B49" s="14" t="inlineStr">
        <is>
          <t>materials/알루미늄.md</t>
        </is>
      </c>
      <c r="C49" s="11" t="n">
        <v>3</v>
      </c>
      <c r="D49" s="11" t="n">
        <v>0</v>
      </c>
      <c r="E49" s="11" t="n">
        <v>0</v>
      </c>
      <c r="F49" s="11" t="n"/>
    </row>
    <row r="50">
      <c r="A50" s="13" t="inlineStr">
        <is>
          <t>설비</t>
        </is>
      </c>
      <c r="B50" s="13" t="inlineStr">
        <is>
          <t>machines/fast-wrist.md</t>
        </is>
      </c>
      <c r="C50" s="8" t="n">
        <v>2</v>
      </c>
      <c r="D50" s="8" t="n">
        <v>0</v>
      </c>
      <c r="E50" s="8" t="n">
        <v>0</v>
      </c>
      <c r="F50" s="8" t="n">
        <v>121</v>
      </c>
    </row>
    <row r="51">
      <c r="A51" s="14" t="inlineStr">
        <is>
          <t>설비</t>
        </is>
      </c>
      <c r="B51" s="14" t="inlineStr">
        <is>
          <t>machines/에어-컴프레셔.md</t>
        </is>
      </c>
      <c r="C51" s="11" t="n">
        <v>2</v>
      </c>
      <c r="D51" s="11" t="n">
        <v>0</v>
      </c>
      <c r="E51" s="11" t="n">
        <v>0</v>
      </c>
      <c r="F51" s="11" t="n">
        <v>82</v>
      </c>
    </row>
    <row r="52">
      <c r="A52" s="13" t="inlineStr">
        <is>
          <t>트러블슈팅</t>
        </is>
      </c>
      <c r="B52" s="13" t="inlineStr">
        <is>
          <t>troubleshoot/측면가공-파손-ae과다.md</t>
        </is>
      </c>
      <c r="C52" s="8" t="n">
        <v>2</v>
      </c>
      <c r="D52" s="8" t="n">
        <v>0</v>
      </c>
      <c r="E52" s="8" t="n">
        <v>0</v>
      </c>
      <c r="F52" s="8" t="n">
        <v>94</v>
      </c>
    </row>
    <row r="53">
      <c r="A53" s="14" t="inlineStr">
        <is>
          <t>트러블슈팅</t>
        </is>
      </c>
      <c r="B53" s="14" t="inlineStr">
        <is>
          <t>troubleshoot/치수불량.md</t>
        </is>
      </c>
      <c r="C53" s="11" t="n">
        <v>2</v>
      </c>
      <c r="D53" s="11" t="n">
        <v>0</v>
      </c>
      <c r="E53" s="11" t="n">
        <v>0</v>
      </c>
      <c r="F53" s="11" t="n">
        <v>10</v>
      </c>
    </row>
    <row r="54">
      <c r="A54" s="13" t="inlineStr">
        <is>
          <t>CAD/CAM</t>
        </is>
      </c>
      <c r="B54" s="13" t="inlineStr">
        <is>
          <t>cadcam/anca-feedrate-gx7-fastgrind.md</t>
        </is>
      </c>
      <c r="C54" s="8" t="n">
        <v>2</v>
      </c>
      <c r="D54" s="8" t="n">
        <v>0</v>
      </c>
      <c r="E54" s="8" t="n">
        <v>0</v>
      </c>
      <c r="F54" s="8" t="n">
        <v>136</v>
      </c>
    </row>
    <row r="55">
      <c r="A55" s="14" t="inlineStr">
        <is>
          <t>공구·휠</t>
        </is>
      </c>
      <c r="B55" s="14" t="inlineStr">
        <is>
          <t>tools/wheels/스택-1-1.md</t>
        </is>
      </c>
      <c r="C55" s="11" t="n">
        <v>2</v>
      </c>
      <c r="D55" s="11" t="n">
        <v>0</v>
      </c>
      <c r="E55" s="11" t="n">
        <v>0</v>
      </c>
      <c r="F55" s="11" t="n">
        <v>30</v>
      </c>
    </row>
    <row r="56">
      <c r="A56" s="13" t="inlineStr">
        <is>
          <t>보고</t>
        </is>
      </c>
      <c r="B56" s="13" t="inlineStr">
        <is>
          <t>reports/05_검증·노트/Brinksmeier_2006_검증_백업.md</t>
        </is>
      </c>
      <c r="C56" s="8" t="n">
        <v>2</v>
      </c>
      <c r="D56" s="8" t="n">
        <v>0</v>
      </c>
      <c r="E56" s="8" t="n">
        <v>0</v>
      </c>
      <c r="F56" s="8" t="n">
        <v>150</v>
      </c>
    </row>
    <row r="57">
      <c r="A57" s="14" t="inlineStr">
        <is>
          <t>공구·휠</t>
        </is>
      </c>
      <c r="B57" s="14" t="inlineStr">
        <is>
          <t>tools/cogo-카탈로그.md</t>
        </is>
      </c>
      <c r="C57" s="11" t="n">
        <v>2</v>
      </c>
      <c r="D57" s="11" t="n">
        <v>0</v>
      </c>
      <c r="E57" s="11" t="n">
        <v>0</v>
      </c>
      <c r="F57" s="11" t="n">
        <v>93</v>
      </c>
    </row>
    <row r="58">
      <c r="A58" s="13" t="inlineStr">
        <is>
          <t>G코드</t>
        </is>
      </c>
      <c r="B58" s="13" t="inlineStr">
        <is>
          <t>gcode/g83-드릴사이클.md</t>
        </is>
      </c>
      <c r="C58" s="8" t="n">
        <v>2</v>
      </c>
      <c r="D58" s="8" t="n">
        <v>0</v>
      </c>
      <c r="E58" s="8" t="n">
        <v>0</v>
      </c>
      <c r="F58" s="8" t="n">
        <v>128</v>
      </c>
    </row>
    <row r="59">
      <c r="A59" s="14" t="inlineStr">
        <is>
          <t>CAD/CAM</t>
        </is>
      </c>
      <c r="B59" s="14" t="inlineStr">
        <is>
          <t>cadcam/연삭-테스트-방법.md</t>
        </is>
      </c>
      <c r="C59" s="11" t="n">
        <v>2</v>
      </c>
      <c r="D59" s="11" t="n">
        <v>0</v>
      </c>
      <c r="E59" s="11" t="n">
        <v>0</v>
      </c>
      <c r="F59" s="11" t="n">
        <v>32</v>
      </c>
    </row>
    <row r="60">
      <c r="A60" s="13" t="inlineStr">
        <is>
          <t>공구·휠</t>
        </is>
      </c>
      <c r="B60" s="13" t="inlineStr">
        <is>
          <t>tools/연삭-이론-근거.md</t>
        </is>
      </c>
      <c r="C60" s="8" t="n">
        <v>2</v>
      </c>
      <c r="D60" s="8" t="n">
        <v>0</v>
      </c>
      <c r="E60" s="8" t="n">
        <v>0</v>
      </c>
      <c r="F60" s="8" t="n">
        <v>170</v>
      </c>
    </row>
    <row r="61">
      <c r="A61" s="14" t="inlineStr">
        <is>
          <t>기타</t>
        </is>
      </c>
      <c r="B61" s="14" t="inlineStr">
        <is>
          <t>index.md</t>
        </is>
      </c>
      <c r="C61" s="11" t="n">
        <v>2</v>
      </c>
      <c r="D61" s="11" t="n">
        <v>0</v>
      </c>
      <c r="E61" s="11" t="n">
        <v>0</v>
      </c>
      <c r="F61" s="11" t="n">
        <v>104</v>
      </c>
    </row>
    <row r="62">
      <c r="A62" s="13" t="inlineStr">
        <is>
          <t>공구·휠</t>
        </is>
      </c>
      <c r="B62" s="13" t="inlineStr">
        <is>
          <t>tools/재연마-형상-치수기준.md</t>
        </is>
      </c>
      <c r="C62" s="8" t="n">
        <v>2</v>
      </c>
      <c r="D62" s="8" t="n">
        <v>0</v>
      </c>
      <c r="E62" s="8" t="n">
        <v>0</v>
      </c>
      <c r="F62" s="8" t="n">
        <v>75</v>
      </c>
    </row>
    <row r="63">
      <c r="A63" s="14" t="inlineStr">
        <is>
          <t>비교분석</t>
        </is>
      </c>
      <c r="B63" s="14" t="inlineStr">
        <is>
          <t>comparisons/AL엔드밀-JJ제품-종합비교.md</t>
        </is>
      </c>
      <c r="C63" s="11" t="n">
        <v>2</v>
      </c>
      <c r="D63" s="11" t="n">
        <v>0</v>
      </c>
      <c r="E63" s="11" t="n">
        <v>0</v>
      </c>
      <c r="F63" s="11" t="n">
        <v>90</v>
      </c>
    </row>
    <row r="64">
      <c r="A64" s="13" t="inlineStr">
        <is>
          <t>비교분석</t>
        </is>
      </c>
      <c r="B64" s="13" t="inlineStr">
        <is>
          <t>comparisons/CNC-공구연삭-3사-비교.md</t>
        </is>
      </c>
      <c r="C64" s="8" t="n">
        <v>2</v>
      </c>
      <c r="D64" s="8" t="n">
        <v>0</v>
      </c>
      <c r="E64" s="8" t="n">
        <v>0</v>
      </c>
      <c r="F64" s="8" t="n"/>
    </row>
    <row r="65">
      <c r="A65" s="14" t="inlineStr">
        <is>
          <t>프로젝트</t>
        </is>
      </c>
      <c r="B65" s="14" t="inlineStr">
        <is>
          <t>projects/ANCA-현장방문-질문리스트.md</t>
        </is>
      </c>
      <c r="C65" s="11" t="n">
        <v>1</v>
      </c>
      <c r="D65" s="11" t="n">
        <v>0</v>
      </c>
      <c r="E65" s="11" t="n">
        <v>0</v>
      </c>
      <c r="F65" s="11" t="n">
        <v>90</v>
      </c>
    </row>
    <row r="66">
      <c r="A66" s="13" t="inlineStr">
        <is>
          <t>프로젝트</t>
        </is>
      </c>
      <c r="B66" s="13" t="inlineStr">
        <is>
          <t>projects/공구사양-실험-이력.md</t>
        </is>
      </c>
      <c r="C66" s="8" t="n">
        <v>1</v>
      </c>
      <c r="D66" s="8" t="n">
        <v>0</v>
      </c>
      <c r="E66" s="8" t="n">
        <v>0</v>
      </c>
      <c r="F66" s="8" t="n">
        <v>9</v>
      </c>
    </row>
    <row r="67">
      <c r="A67" s="14" t="inlineStr">
        <is>
          <t>스크립트</t>
        </is>
      </c>
      <c r="B67" s="14" t="inlineStr">
        <is>
          <t>scripts/거래처조회-AppsScript-배포-가이드.md</t>
        </is>
      </c>
      <c r="C67" s="11" t="n">
        <v>1</v>
      </c>
      <c r="D67" s="11" t="n">
        <v>0</v>
      </c>
      <c r="E67" s="11" t="n">
        <v>0</v>
      </c>
      <c r="F67" s="11" t="n">
        <v>3</v>
      </c>
    </row>
    <row r="68">
      <c r="A68" s="13" t="inlineStr">
        <is>
          <t>프로젝트</t>
        </is>
      </c>
      <c r="B68" s="13" t="inlineStr">
        <is>
          <t>projects/워크숍-업무자동화-B2B사이트-2026-10.md</t>
        </is>
      </c>
      <c r="C68" s="8" t="n">
        <v>1</v>
      </c>
      <c r="D68" s="8" t="n">
        <v>0</v>
      </c>
      <c r="E68" s="8" t="n">
        <v>0</v>
      </c>
      <c r="F68" s="8" t="n">
        <v>3</v>
      </c>
    </row>
    <row r="69">
      <c r="A69" s="14" t="inlineStr">
        <is>
          <t>CAD/CAM</t>
        </is>
      </c>
      <c r="B69" s="14" t="inlineStr">
        <is>
          <t>cadcam/휠-밸런싱-iBalance.md</t>
        </is>
      </c>
      <c r="C69" s="11" t="n">
        <v>1</v>
      </c>
      <c r="D69" s="11" t="n">
        <v>0</v>
      </c>
      <c r="E69" s="11" t="n">
        <v>0</v>
      </c>
      <c r="F69" s="11" t="n">
        <v>32</v>
      </c>
    </row>
    <row r="70">
      <c r="A70" s="13" t="inlineStr">
        <is>
          <t>ERP</t>
        </is>
      </c>
      <c r="B70" s="13" t="inlineStr">
        <is>
          <t>erp/생산팀-업무분장-KPI체계.md</t>
        </is>
      </c>
      <c r="C70" s="8" t="n">
        <v>1</v>
      </c>
      <c r="D70" s="8" t="n">
        <v>0</v>
      </c>
      <c r="E70" s="8" t="n">
        <v>0</v>
      </c>
      <c r="F70" s="8" t="n">
        <v>9</v>
      </c>
    </row>
    <row r="71">
      <c r="A71" s="14" t="inlineStr">
        <is>
          <t>표준</t>
        </is>
      </c>
      <c r="B71" s="14" t="inlineStr">
        <is>
          <t>standards/재연마-정가표-읽는법.md</t>
        </is>
      </c>
      <c r="C71" s="11" t="n">
        <v>1</v>
      </c>
      <c r="D71" s="11" t="n">
        <v>0</v>
      </c>
      <c r="E71" s="11" t="n">
        <v>0</v>
      </c>
      <c r="F71" s="11" t="n">
        <v>39</v>
      </c>
    </row>
    <row r="72">
      <c r="A72" s="13" t="inlineStr">
        <is>
          <t>G코드</t>
        </is>
      </c>
      <c r="B72" s="13" t="inlineStr">
        <is>
          <t>gcode/fanuc-매크로-변수.md</t>
        </is>
      </c>
      <c r="C72" s="8" t="n">
        <v>1</v>
      </c>
      <c r="D72" s="8" t="n">
        <v>0</v>
      </c>
      <c r="E72" s="8" t="n">
        <v>0</v>
      </c>
      <c r="F72" s="8" t="n">
        <v>138</v>
      </c>
    </row>
    <row r="73">
      <c r="A73" s="14" t="inlineStr">
        <is>
          <t>프로젝트</t>
        </is>
      </c>
      <c r="B73" s="14" t="inlineStr">
        <is>
          <t>projects/자동화-효과-지표-2026.md</t>
        </is>
      </c>
      <c r="C73" s="11" t="n">
        <v>1</v>
      </c>
      <c r="D73" s="11" t="n">
        <v>0</v>
      </c>
      <c r="E73" s="11" t="n">
        <v>0</v>
      </c>
      <c r="F73" s="11" t="n">
        <v>4</v>
      </c>
    </row>
    <row r="74">
      <c r="A74" s="13" t="inlineStr">
        <is>
          <t>트러블슈팅</t>
        </is>
      </c>
      <c r="B74" s="13" t="inlineStr">
        <is>
          <t>troubleshoot/사내-공유폴더-SMB-자격증명.md</t>
        </is>
      </c>
      <c r="C74" s="8" t="n">
        <v>1</v>
      </c>
      <c r="D74" s="8" t="n">
        <v>1</v>
      </c>
      <c r="E74" s="8" t="n">
        <v>0</v>
      </c>
      <c r="F74" s="8" t="n">
        <v>20</v>
      </c>
    </row>
    <row r="75">
      <c r="A75" s="14" t="inlineStr">
        <is>
          <t>비교분석</t>
        </is>
      </c>
      <c r="B75" s="14" t="inlineStr">
        <is>
          <t>comparisons/통계-2026-04.md</t>
        </is>
      </c>
      <c r="C75" s="11" t="n">
        <v>1</v>
      </c>
      <c r="D75" s="11" t="n">
        <v>0</v>
      </c>
      <c r="E75" s="11" t="n">
        <v>0</v>
      </c>
      <c r="F75" s="11" t="n">
        <v>172</v>
      </c>
    </row>
    <row r="76">
      <c r="A76" s="13" t="inlineStr">
        <is>
          <t>스크립트</t>
        </is>
      </c>
      <c r="B76" s="13" t="inlineStr">
        <is>
          <t>scripts/github-token-발급-체크리스트.md</t>
        </is>
      </c>
      <c r="C76" s="8" t="n">
        <v>1</v>
      </c>
      <c r="D76" s="8" t="n">
        <v>0</v>
      </c>
      <c r="E76" s="8" t="n">
        <v>0</v>
      </c>
      <c r="F76" s="8" t="n">
        <v>44</v>
      </c>
    </row>
    <row r="77">
      <c r="A77" s="14" t="inlineStr">
        <is>
          <t>공구·휠</t>
        </is>
      </c>
      <c r="B77" s="14" t="inlineStr">
        <is>
          <t>tools/wheels/catalog/홍익다이아-형상-분류.md</t>
        </is>
      </c>
      <c r="C77" s="11" t="n">
        <v>1</v>
      </c>
      <c r="D77" s="11" t="n">
        <v>0</v>
      </c>
      <c r="E77" s="11" t="n">
        <v>0</v>
      </c>
      <c r="F77" s="11" t="n">
        <v>149</v>
      </c>
    </row>
    <row r="78">
      <c r="A78" s="13" t="inlineStr">
        <is>
          <t>CAD/CAM</t>
        </is>
      </c>
      <c r="B78" s="13" t="inlineStr">
        <is>
          <t>cadcam/anca-rfid-workflow.md</t>
        </is>
      </c>
      <c r="C78" s="8" t="n">
        <v>1</v>
      </c>
      <c r="D78" s="8" t="n">
        <v>0</v>
      </c>
      <c r="E78" s="8" t="n">
        <v>0</v>
      </c>
      <c r="F78" s="8" t="n">
        <v>117</v>
      </c>
    </row>
    <row r="79">
      <c r="A79" s="14" t="inlineStr">
        <is>
          <t>소재</t>
        </is>
      </c>
      <c r="B79" s="14" t="inlineStr">
        <is>
          <t>materials/sus304.md</t>
        </is>
      </c>
      <c r="C79" s="11" t="n">
        <v>1</v>
      </c>
      <c r="D79" s="11" t="n">
        <v>0</v>
      </c>
      <c r="E79" s="11" t="n">
        <v>0</v>
      </c>
      <c r="F79" s="11" t="n"/>
    </row>
    <row r="80">
      <c r="A80" s="13" t="inlineStr">
        <is>
          <t>소재</t>
        </is>
      </c>
      <c r="B80" s="13" t="inlineStr">
        <is>
          <t>materials/s45c.md</t>
        </is>
      </c>
      <c r="C80" s="8" t="n">
        <v>1</v>
      </c>
      <c r="D80" s="8" t="n">
        <v>0</v>
      </c>
      <c r="E80" s="8" t="n">
        <v>0</v>
      </c>
      <c r="F80" s="8" t="n"/>
    </row>
    <row r="81">
      <c r="A81" s="14" t="inlineStr">
        <is>
          <t>공구·휠</t>
        </is>
      </c>
      <c r="B81" s="14" t="inlineStr">
        <is>
          <t>tools/공구-직경별-연삭조건.md</t>
        </is>
      </c>
      <c r="C81" s="11" t="n">
        <v>1</v>
      </c>
      <c r="D81" s="11" t="n">
        <v>0</v>
      </c>
      <c r="E81" s="11" t="n">
        <v>0</v>
      </c>
      <c r="F81" s="11" t="n">
        <v>27</v>
      </c>
    </row>
    <row r="82">
      <c r="A82" s="13" t="inlineStr">
        <is>
          <t>공구·휠</t>
        </is>
      </c>
      <c r="B82" s="13" t="inlineStr">
        <is>
          <t>tools/공구-코어-직경.md</t>
        </is>
      </c>
      <c r="C82" s="8" t="n">
        <v>1</v>
      </c>
      <c r="D82" s="8" t="n">
        <v>0</v>
      </c>
      <c r="E82" s="8" t="n">
        <v>0</v>
      </c>
      <c r="F82" s="8" t="n">
        <v>150</v>
      </c>
    </row>
    <row r="83">
      <c r="A83" s="14" t="inlineStr">
        <is>
          <t>보고</t>
        </is>
      </c>
      <c r="B83" s="14" t="inlineStr">
        <is>
          <t>reports/05_검증·노트/ANCA-사내적용-체크리스트-2026-05.md</t>
        </is>
      </c>
      <c r="C83" s="11" t="n">
        <v>1</v>
      </c>
      <c r="D83" s="11" t="n">
        <v>0</v>
      </c>
      <c r="E83" s="11" t="n">
        <v>0</v>
      </c>
      <c r="F83" s="11" t="n">
        <v>32</v>
      </c>
    </row>
    <row r="84">
      <c r="A84" s="13" t="inlineStr">
        <is>
          <t>설비</t>
        </is>
      </c>
      <c r="B84" s="13" t="inlineStr">
        <is>
          <t>machines/vollmer-tool-grinder.md</t>
        </is>
      </c>
      <c r="C84" s="8" t="n">
        <v>1</v>
      </c>
      <c r="D84" s="8" t="n">
        <v>0</v>
      </c>
      <c r="E84" s="8" t="n">
        <v>0</v>
      </c>
      <c r="F84" s="8" t="n"/>
    </row>
    <row r="85">
      <c r="A85" s="14" t="inlineStr">
        <is>
          <t>보고</t>
        </is>
      </c>
      <c r="B85" s="14" t="inlineStr">
        <is>
          <t>reports/2026-06-10_독립실행도구_완성도보고서.md</t>
        </is>
      </c>
      <c r="C85" s="11" t="n">
        <v>1</v>
      </c>
      <c r="D85" s="11" t="n">
        <v>0</v>
      </c>
      <c r="E85" s="11" t="n">
        <v>0</v>
      </c>
      <c r="F85" s="11" t="n">
        <v>123</v>
      </c>
    </row>
    <row r="86">
      <c r="A86" s="13" t="inlineStr">
        <is>
          <t>설비</t>
        </is>
      </c>
      <c r="B86" s="13" t="inlineStr">
        <is>
          <t>machines/chevalier-qp2040l.md</t>
        </is>
      </c>
      <c r="C86" s="8" t="n">
        <v>1</v>
      </c>
      <c r="D86" s="8" t="n">
        <v>0</v>
      </c>
      <c r="E86" s="8" t="n">
        <v>0</v>
      </c>
      <c r="F86" s="8" t="n">
        <v>76</v>
      </c>
    </row>
    <row r="87">
      <c r="A87" s="14" t="inlineStr">
        <is>
          <t>프로젝트</t>
        </is>
      </c>
      <c r="B87" s="14" t="inlineStr">
        <is>
          <t>projects/출하현황-2026-4월.md</t>
        </is>
      </c>
      <c r="C87" s="11" t="n">
        <v>1</v>
      </c>
      <c r="D87" s="11" t="n">
        <v>0</v>
      </c>
      <c r="E87" s="11" t="n">
        <v>0</v>
      </c>
      <c r="F87" s="11" t="n">
        <v>166</v>
      </c>
    </row>
    <row r="88">
      <c r="A88" s="15" t="inlineStr">
        <is>
          <t>합계</t>
        </is>
      </c>
      <c r="B88" s="16" t="n"/>
      <c r="C88" s="15">
        <f>SUM(C4:C87)</f>
        <v/>
      </c>
      <c r="D88" s="16" t="n"/>
      <c r="E88" s="16" t="n"/>
      <c r="F88" s="16"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A-대기</t>
        </is>
      </c>
      <c r="C3" s="6" t="inlineStr">
        <is>
          <t>B-경과90일+</t>
        </is>
      </c>
      <c r="D3" s="6" t="inlineStr">
        <is>
          <t>B-장기미해결</t>
        </is>
      </c>
      <c r="E3" s="6" t="inlineStr">
        <is>
          <t>C-일반</t>
        </is>
      </c>
      <c r="F3" s="6" t="inlineStr">
        <is>
          <t>D-중복</t>
        </is>
      </c>
      <c r="G3" s="6" t="inlineStr">
        <is>
          <t>합계</t>
        </is>
      </c>
    </row>
    <row r="4">
      <c r="A4" s="13" t="inlineStr">
        <is>
          <t>CAD/CAM</t>
        </is>
      </c>
      <c r="B4" s="13" t="n">
        <v>0</v>
      </c>
      <c r="C4" s="8" t="n">
        <v>11</v>
      </c>
      <c r="D4" s="8" t="n">
        <v>0</v>
      </c>
      <c r="E4" s="8" t="n">
        <v>2</v>
      </c>
      <c r="F4" s="8" t="n">
        <v>1</v>
      </c>
      <c r="G4" s="8" t="n">
        <v>14</v>
      </c>
    </row>
    <row r="5">
      <c r="A5" s="14" t="inlineStr">
        <is>
          <t>ERP</t>
        </is>
      </c>
      <c r="B5" s="14" t="n">
        <v>0</v>
      </c>
      <c r="C5" s="11" t="n">
        <v>0</v>
      </c>
      <c r="D5" s="11" t="n">
        <v>0</v>
      </c>
      <c r="E5" s="11" t="n">
        <v>1</v>
      </c>
      <c r="F5" s="11" t="n">
        <v>0</v>
      </c>
      <c r="G5" s="11" t="n">
        <v>1</v>
      </c>
    </row>
    <row r="6">
      <c r="A6" s="13" t="inlineStr">
        <is>
          <t>G코드</t>
        </is>
      </c>
      <c r="B6" s="13" t="n">
        <v>0</v>
      </c>
      <c r="C6" s="8" t="n">
        <v>6</v>
      </c>
      <c r="D6" s="8" t="n">
        <v>0</v>
      </c>
      <c r="E6" s="8" t="n">
        <v>0</v>
      </c>
      <c r="F6" s="8" t="n">
        <v>0</v>
      </c>
      <c r="G6" s="8" t="n">
        <v>6</v>
      </c>
    </row>
    <row r="7">
      <c r="A7" s="14" t="inlineStr">
        <is>
          <t>공구·휠</t>
        </is>
      </c>
      <c r="B7" s="14" t="n">
        <v>2</v>
      </c>
      <c r="C7" s="11" t="n">
        <v>22</v>
      </c>
      <c r="D7" s="11" t="n">
        <v>0</v>
      </c>
      <c r="E7" s="11" t="n">
        <v>40</v>
      </c>
      <c r="F7" s="11" t="n">
        <v>14</v>
      </c>
      <c r="G7" s="11" t="n">
        <v>78</v>
      </c>
    </row>
    <row r="8">
      <c r="A8" s="13" t="inlineStr">
        <is>
          <t>기타</t>
        </is>
      </c>
      <c r="B8" s="13" t="n">
        <v>0</v>
      </c>
      <c r="C8" s="8" t="n">
        <v>1</v>
      </c>
      <c r="D8" s="8" t="n">
        <v>0</v>
      </c>
      <c r="E8" s="8" t="n">
        <v>1</v>
      </c>
      <c r="F8" s="8" t="n">
        <v>0</v>
      </c>
      <c r="G8" s="8" t="n">
        <v>2</v>
      </c>
    </row>
    <row r="9">
      <c r="A9" s="14" t="inlineStr">
        <is>
          <t>법규</t>
        </is>
      </c>
      <c r="B9" s="14" t="n">
        <v>1</v>
      </c>
      <c r="C9" s="11" t="n">
        <v>0</v>
      </c>
      <c r="D9" s="11" t="n">
        <v>0</v>
      </c>
      <c r="E9" s="11" t="n">
        <v>4</v>
      </c>
      <c r="F9" s="11" t="n">
        <v>0</v>
      </c>
      <c r="G9" s="11" t="n">
        <v>5</v>
      </c>
    </row>
    <row r="10">
      <c r="A10" s="13" t="inlineStr">
        <is>
          <t>보고</t>
        </is>
      </c>
      <c r="B10" s="13" t="n">
        <v>0</v>
      </c>
      <c r="C10" s="8" t="n">
        <v>3</v>
      </c>
      <c r="D10" s="8" t="n">
        <v>0</v>
      </c>
      <c r="E10" s="8" t="n">
        <v>10</v>
      </c>
      <c r="F10" s="8" t="n">
        <v>0</v>
      </c>
      <c r="G10" s="8" t="n">
        <v>13</v>
      </c>
    </row>
    <row r="11">
      <c r="A11" s="14" t="inlineStr">
        <is>
          <t>비교분석</t>
        </is>
      </c>
      <c r="B11" s="14" t="n">
        <v>1</v>
      </c>
      <c r="C11" s="11" t="n">
        <v>28</v>
      </c>
      <c r="D11" s="11" t="n">
        <v>0</v>
      </c>
      <c r="E11" s="11" t="n">
        <v>34</v>
      </c>
      <c r="F11" s="11" t="n">
        <v>2</v>
      </c>
      <c r="G11" s="11" t="n">
        <v>65</v>
      </c>
    </row>
    <row r="12">
      <c r="A12" s="13" t="inlineStr">
        <is>
          <t>설비</t>
        </is>
      </c>
      <c r="B12" s="13" t="n">
        <v>1</v>
      </c>
      <c r="C12" s="8" t="n">
        <v>10</v>
      </c>
      <c r="D12" s="8" t="n">
        <v>0</v>
      </c>
      <c r="E12" s="8" t="n">
        <v>23</v>
      </c>
      <c r="F12" s="8" t="n">
        <v>0</v>
      </c>
      <c r="G12" s="8" t="n">
        <v>34</v>
      </c>
    </row>
    <row r="13">
      <c r="A13" s="14" t="inlineStr">
        <is>
          <t>설비·정비</t>
        </is>
      </c>
      <c r="B13" s="14" t="n">
        <v>0</v>
      </c>
      <c r="C13" s="11" t="n">
        <v>2</v>
      </c>
      <c r="D13" s="11" t="n">
        <v>9</v>
      </c>
      <c r="E13" s="11" t="n">
        <v>88</v>
      </c>
      <c r="F13" s="11" t="n">
        <v>1</v>
      </c>
      <c r="G13" s="11" t="n">
        <v>100</v>
      </c>
    </row>
    <row r="14">
      <c r="A14" s="13" t="inlineStr">
        <is>
          <t>소재</t>
        </is>
      </c>
      <c r="B14" s="13" t="n">
        <v>0</v>
      </c>
      <c r="C14" s="8" t="n">
        <v>5</v>
      </c>
      <c r="D14" s="8" t="n">
        <v>0</v>
      </c>
      <c r="E14" s="8" t="n">
        <v>10</v>
      </c>
      <c r="F14" s="8" t="n">
        <v>0</v>
      </c>
      <c r="G14" s="8" t="n">
        <v>15</v>
      </c>
    </row>
    <row r="15">
      <c r="A15" s="14" t="inlineStr">
        <is>
          <t>스크립트</t>
        </is>
      </c>
      <c r="B15" s="14" t="n">
        <v>0</v>
      </c>
      <c r="C15" s="11" t="n">
        <v>0</v>
      </c>
      <c r="D15" s="11" t="n">
        <v>0</v>
      </c>
      <c r="E15" s="11" t="n">
        <v>2</v>
      </c>
      <c r="F15" s="11" t="n">
        <v>0</v>
      </c>
      <c r="G15" s="11" t="n">
        <v>2</v>
      </c>
    </row>
    <row r="16">
      <c r="A16" s="13" t="inlineStr">
        <is>
          <t>트러블슈팅</t>
        </is>
      </c>
      <c r="B16" s="13" t="n">
        <v>1</v>
      </c>
      <c r="C16" s="8" t="n">
        <v>1</v>
      </c>
      <c r="D16" s="8" t="n">
        <v>0</v>
      </c>
      <c r="E16" s="8" t="n">
        <v>2</v>
      </c>
      <c r="F16" s="8" t="n">
        <v>1</v>
      </c>
      <c r="G16" s="8" t="n">
        <v>5</v>
      </c>
    </row>
    <row r="17">
      <c r="A17" s="14" t="inlineStr">
        <is>
          <t>표준</t>
        </is>
      </c>
      <c r="B17" s="14" t="n">
        <v>0</v>
      </c>
      <c r="C17" s="11" t="n">
        <v>0</v>
      </c>
      <c r="D17" s="11" t="n">
        <v>0</v>
      </c>
      <c r="E17" s="11" t="n">
        <v>1</v>
      </c>
      <c r="F17" s="11" t="n">
        <v>0</v>
      </c>
      <c r="G17" s="11" t="n">
        <v>1</v>
      </c>
    </row>
    <row r="18">
      <c r="A18" s="13" t="inlineStr">
        <is>
          <t>프로젝트</t>
        </is>
      </c>
      <c r="B18" s="13" t="n">
        <v>0</v>
      </c>
      <c r="C18" s="8" t="n">
        <v>2</v>
      </c>
      <c r="D18" s="8" t="n">
        <v>0</v>
      </c>
      <c r="E18" s="8" t="n">
        <v>54</v>
      </c>
      <c r="F18" s="8" t="n">
        <v>0</v>
      </c>
      <c r="G18" s="8" t="n">
        <v>56</v>
      </c>
    </row>
    <row r="19">
      <c r="A19" s="14" t="inlineStr">
        <is>
          <t>합계</t>
        </is>
      </c>
      <c r="B19" s="14" t="n">
        <v>6</v>
      </c>
      <c r="C19" s="11" t="n">
        <v>91</v>
      </c>
      <c r="D19" s="11" t="n">
        <v>9</v>
      </c>
      <c r="E19" s="11" t="n">
        <v>272</v>
      </c>
      <c r="F19" s="11" t="n">
        <v>19</v>
      </c>
      <c r="G19" s="11" t="n">
        <v>397</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2026-10-11T23:18:17Z</dcterms:created>
  <dcterms:modified xmlns:dcterms="http://purl.org/dc/terms/" xmlns:xsi="http://www.w3.org/2001/XMLSchema-instance" xsi:type="dcterms:W3CDTF">2026-10-11T23:18:18Z</dcterms:modified>
</cp:coreProperties>
</file>