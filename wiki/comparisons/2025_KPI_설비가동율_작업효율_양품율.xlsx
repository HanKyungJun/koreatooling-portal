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대시보드" sheetId="1" state="visible" r:id="rId1"/>
    <sheet name="설비가동율" sheetId="2" state="visible" r:id="rId2"/>
    <sheet name="작업효율" sheetId="3" state="visible" r:id="rId3"/>
    <sheet name="양품율" sheetId="4" state="visible" r:id="rId4"/>
    <sheet name="원본 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000000"/>
      <sz val="9"/>
    </font>
    <font>
      <name val="맑은 고딕"/>
      <color rgb="00000000"/>
      <sz val="10"/>
    </font>
    <font>
      <name val="맑은 고딕"/>
      <b val="1"/>
      <color rgb="000000FF"/>
      <sz val="10"/>
    </font>
    <font>
      <name val="맑은 고딕"/>
      <i val="1"/>
      <color rgb="00666666"/>
      <sz val="8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i val="1"/>
      <color rgb="00444444"/>
      <sz val="9"/>
    </font>
    <font>
      <name val="맑은 고딕"/>
      <b val="1"/>
      <color rgb="00000000"/>
      <sz val="10"/>
    </font>
    <font>
      <name val="맑은 고딕"/>
      <color rgb="00000000"/>
      <sz val="9"/>
    </font>
    <font>
      <name val="맑은 고딕"/>
      <i val="1"/>
      <color rgb="00CC0000"/>
      <sz val="9"/>
    </font>
  </fonts>
  <fills count="9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D6E4F7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4" fontId="3" fillId="8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4" fontId="7" fillId="6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8" customWidth="1" min="10" max="10"/>
    <col width="22" customWidth="1" min="11" max="11"/>
  </cols>
  <sheetData>
    <row r="1" ht="22" customHeight="1">
      <c r="A1" s="1" t="inlineStr">
        <is>
          <t>2025년 KPI 종합 대시보드  —  설비가동율 · 작업효율 · 양품율</t>
        </is>
      </c>
    </row>
    <row r="2" ht="18" customHeight="1">
      <c r="A2" s="2" t="inlineStr">
        <is>
          <t>【가정】 FG 표준생산량</t>
        </is>
      </c>
      <c r="B2" s="3" t="n"/>
      <c r="C2" s="3" t="n"/>
      <c r="D2" s="4" t="n">
        <v>927.25</v>
      </c>
      <c r="E2" s="2" t="inlineStr">
        <is>
          <t>GX7 표준생산량</t>
        </is>
      </c>
      <c r="F2" s="3" t="n"/>
      <c r="G2" s="3" t="n"/>
      <c r="H2" s="4" t="n">
        <v>533.9166666666666</v>
      </c>
      <c r="I2" s="5" t="inlineStr">
        <is>
          <t>※ 표준생산량 = 25년+26년1~3월 15개월 월평균 (출처: 25년 월별 생산 실적.xlsx)</t>
        </is>
      </c>
    </row>
    <row r="3" ht="24" customHeight="1">
      <c r="A3" s="6" t="inlineStr">
        <is>
          <t>월</t>
        </is>
      </c>
      <c r="B3" s="6" t="inlineStr">
        <is>
          <t>근무일(일)</t>
        </is>
      </c>
      <c r="C3" s="6" t="inlineStr">
        <is>
          <t>설비가동율
FAST</t>
        </is>
      </c>
      <c r="D3" s="6" t="inlineStr">
        <is>
          <t>설비가동율
GX7</t>
        </is>
      </c>
      <c r="E3" s="6" t="inlineStr">
        <is>
          <t>설비가동율
합계</t>
        </is>
      </c>
      <c r="F3" s="6" t="inlineStr">
        <is>
          <t>작업효율
FAST</t>
        </is>
      </c>
      <c r="G3" s="6" t="inlineStr">
        <is>
          <t>작업효율
GX7</t>
        </is>
      </c>
      <c r="H3" s="6" t="inlineStr">
        <is>
          <t>양품율</t>
        </is>
      </c>
      <c r="I3" s="6" t="inlineStr">
        <is>
          <t>출하량
(개)</t>
        </is>
      </c>
      <c r="J3" s="6" t="inlineStr">
        <is>
          <t>불량
(개)</t>
        </is>
      </c>
      <c r="K3" s="6" t="inlineStr">
        <is>
          <t>비고</t>
        </is>
      </c>
    </row>
    <row r="4" ht="18" customHeight="1">
      <c r="A4" s="7" t="n">
        <v>1</v>
      </c>
      <c r="B4" s="8" t="n">
        <v>17</v>
      </c>
      <c r="C4" s="9" t="n">
        <v>0.3893259803921569</v>
      </c>
      <c r="D4" s="9" t="n">
        <v>0.3360028594771242</v>
      </c>
      <c r="E4" s="9" t="n">
        <v>0.725328839869281</v>
      </c>
      <c r="F4" s="10" t="n">
        <v>0.7797249932596387</v>
      </c>
      <c r="G4" s="10" t="n">
        <v>0.8971437490245046</v>
      </c>
      <c r="H4" s="9" t="n">
        <v>0.9908256880733946</v>
      </c>
      <c r="I4" s="8" t="n">
        <v>1526</v>
      </c>
      <c r="J4" s="8" t="n">
        <v>14</v>
      </c>
      <c r="K4" s="11" t="inlineStr"/>
    </row>
    <row r="5" ht="18" customHeight="1">
      <c r="A5" s="7" t="n">
        <v>2</v>
      </c>
      <c r="B5" s="8" t="n">
        <v>17</v>
      </c>
      <c r="C5" s="12" t="n">
        <v>0.2366789215686274</v>
      </c>
      <c r="D5" s="12" t="n">
        <v>0.2262867647058824</v>
      </c>
      <c r="E5" s="12" t="n">
        <v>0.4629656862745098</v>
      </c>
      <c r="F5" s="12" t="n">
        <v>0.5737395524400107</v>
      </c>
      <c r="G5" s="12" t="n">
        <v>0.6442953020134229</v>
      </c>
      <c r="H5" s="9" t="n">
        <v>0.9934823091247672</v>
      </c>
      <c r="I5" s="8" t="n">
        <v>1074</v>
      </c>
      <c r="J5" s="8" t="n">
        <v>7</v>
      </c>
      <c r="K5" s="11" t="inlineStr"/>
    </row>
    <row r="6" ht="18" customHeight="1">
      <c r="A6" s="7" t="n">
        <v>3</v>
      </c>
      <c r="B6" s="8" t="n">
        <v>18</v>
      </c>
      <c r="C6" s="10" t="n">
        <v>0.2691126543209876</v>
      </c>
      <c r="D6" s="10" t="n">
        <v>0.2799575617283951</v>
      </c>
      <c r="E6" s="10" t="n">
        <v>0.5490702160493828</v>
      </c>
      <c r="F6" s="10" t="n">
        <v>0.736586681046104</v>
      </c>
      <c r="G6" s="10" t="n">
        <v>0.764164195411269</v>
      </c>
      <c r="H6" s="9" t="n">
        <v>0.9971969166082691</v>
      </c>
      <c r="I6" s="8" t="n">
        <v>1427</v>
      </c>
      <c r="J6" s="8" t="n">
        <v>4</v>
      </c>
      <c r="K6" s="11" t="inlineStr"/>
    </row>
    <row r="7" ht="18" customHeight="1">
      <c r="A7" s="7" t="n">
        <v>4</v>
      </c>
      <c r="B7" s="8" t="n">
        <v>22</v>
      </c>
      <c r="C7" s="10" t="n">
        <v>0.3346291035353535</v>
      </c>
      <c r="D7" s="10" t="n">
        <v>0.301322601010101</v>
      </c>
      <c r="E7" s="10" t="n">
        <v>0.6359517045454546</v>
      </c>
      <c r="F7" s="9" t="n">
        <v>1.022377999460771</v>
      </c>
      <c r="G7" s="9" t="n">
        <v>0.9795536132355237</v>
      </c>
      <c r="H7" s="9" t="n">
        <v>0.99375</v>
      </c>
      <c r="I7" s="8" t="n">
        <v>1920</v>
      </c>
      <c r="J7" s="8" t="n">
        <v>12</v>
      </c>
      <c r="K7" s="11" t="inlineStr"/>
    </row>
    <row r="8" ht="18" customHeight="1">
      <c r="A8" s="7" t="n">
        <v>5</v>
      </c>
      <c r="B8" s="8" t="n">
        <v>18</v>
      </c>
      <c r="C8" s="12" t="n">
        <v>0.2906983024691358</v>
      </c>
      <c r="D8" s="12" t="n">
        <v>0.2061554783950617</v>
      </c>
      <c r="E8" s="12" t="n">
        <v>0.4968537808641975</v>
      </c>
      <c r="F8" s="12" t="n">
        <v>0.6999191156645996</v>
      </c>
      <c r="G8" s="12" t="n">
        <v>0.5319182144529422</v>
      </c>
      <c r="H8" s="9" t="n">
        <v>0.9949141767323586</v>
      </c>
      <c r="I8" s="8" t="n">
        <v>1573</v>
      </c>
      <c r="J8" s="8" t="n">
        <v>8</v>
      </c>
      <c r="K8" s="11" t="inlineStr"/>
    </row>
    <row r="9" ht="18" customHeight="1">
      <c r="A9" s="7" t="n">
        <v>6</v>
      </c>
      <c r="B9" s="8" t="n">
        <v>19</v>
      </c>
      <c r="C9" s="10" t="n">
        <v>0.4135508040935673</v>
      </c>
      <c r="D9" s="10" t="n">
        <v>0.1047843567251462</v>
      </c>
      <c r="E9" s="10" t="n">
        <v>0.5183351608187134</v>
      </c>
      <c r="F9" s="12" t="n">
        <v>0.8336478835265571</v>
      </c>
      <c r="G9" s="12" t="n">
        <v>0.3258935539253941</v>
      </c>
      <c r="H9" s="12" t="n">
        <v>0.9841509433962264</v>
      </c>
      <c r="I9" s="8" t="n">
        <v>1325</v>
      </c>
      <c r="J9" s="8" t="n">
        <v>21</v>
      </c>
      <c r="K9" s="11" t="inlineStr">
        <is>
          <t>* GX7 고장(3~22일)</t>
        </is>
      </c>
    </row>
    <row r="10" ht="18" customHeight="1">
      <c r="A10" s="7" t="n">
        <v>7</v>
      </c>
      <c r="B10" s="8" t="n">
        <v>21</v>
      </c>
      <c r="C10" s="9" t="n">
        <v>0.4430654761904762</v>
      </c>
      <c r="D10" s="9" t="n">
        <v>0.2840839947089947</v>
      </c>
      <c r="E10" s="9" t="n">
        <v>0.7271494708994709</v>
      </c>
      <c r="F10" s="9" t="n">
        <v>1.047182528983553</v>
      </c>
      <c r="G10" s="9" t="n">
        <v>0.824098642110192</v>
      </c>
      <c r="H10" s="9" t="n">
        <v>0.9979602243753187</v>
      </c>
      <c r="I10" s="8" t="n">
        <v>1961</v>
      </c>
      <c r="J10" s="8" t="n">
        <v>4</v>
      </c>
      <c r="K10" s="11" t="inlineStr"/>
    </row>
    <row r="11" ht="18" customHeight="1">
      <c r="A11" s="7" t="n">
        <v>8</v>
      </c>
      <c r="B11" s="8" t="n">
        <v>18</v>
      </c>
      <c r="C11" s="10" t="n">
        <v>0.3266898148148148</v>
      </c>
      <c r="D11" s="10" t="n">
        <v>0.2727353395061728</v>
      </c>
      <c r="E11" s="10" t="n">
        <v>0.5994251543209876</v>
      </c>
      <c r="F11" s="10" t="n">
        <v>0.7948234025343759</v>
      </c>
      <c r="G11" s="10" t="n">
        <v>0.7379428749804902</v>
      </c>
      <c r="H11" s="9" t="n">
        <v>0.9929947460595446</v>
      </c>
      <c r="I11" s="8" t="n">
        <v>1713</v>
      </c>
      <c r="J11" s="8" t="n">
        <v>12</v>
      </c>
      <c r="K11" s="11" t="inlineStr">
        <is>
          <t>* 생산량 누락</t>
        </is>
      </c>
    </row>
    <row r="12" ht="18" customHeight="1">
      <c r="A12" s="7" t="n">
        <v>9</v>
      </c>
      <c r="B12" s="8" t="n">
        <v>22</v>
      </c>
      <c r="C12" s="12" t="n">
        <v>0.2589457070707071</v>
      </c>
      <c r="D12" s="12" t="n">
        <v>0.2276231060606061</v>
      </c>
      <c r="E12" s="12" t="n">
        <v>0.4865688131313132</v>
      </c>
      <c r="F12" s="10" t="n">
        <v>0.798058775950391</v>
      </c>
      <c r="G12" s="10" t="n">
        <v>0.7379428749804902</v>
      </c>
      <c r="H12" s="9" t="n">
        <v>0.9912727272727273</v>
      </c>
      <c r="I12" s="8" t="n">
        <v>1375</v>
      </c>
      <c r="J12" s="8" t="n">
        <v>12</v>
      </c>
      <c r="K12" s="11" t="inlineStr"/>
    </row>
    <row r="13" ht="18" customHeight="1">
      <c r="A13" s="7" t="n">
        <v>10</v>
      </c>
      <c r="B13" s="8" t="n">
        <v>18</v>
      </c>
      <c r="C13" s="10" t="n">
        <v>0.3210532407407408</v>
      </c>
      <c r="D13" s="10" t="n">
        <v>0.3125713734567901</v>
      </c>
      <c r="E13" s="10" t="n">
        <v>0.6336246141975309</v>
      </c>
      <c r="F13" s="10" t="n">
        <v>0.7268805607980587</v>
      </c>
      <c r="G13" s="10" t="n">
        <v>0.7903855158420479</v>
      </c>
      <c r="H13" s="9" t="n">
        <v>0.9994236311239193</v>
      </c>
      <c r="I13" s="8" t="n">
        <v>1735</v>
      </c>
      <c r="J13" s="8" t="n">
        <v>1</v>
      </c>
      <c r="K13" s="11" t="inlineStr">
        <is>
          <t>* 추석(3~9일)</t>
        </is>
      </c>
    </row>
    <row r="14" ht="18" customHeight="1">
      <c r="A14" s="7" t="n">
        <v>11</v>
      </c>
      <c r="B14" s="8" t="n">
        <v>20</v>
      </c>
      <c r="C14" s="10" t="n">
        <v>0.3152152777777778</v>
      </c>
      <c r="D14" s="10" t="n">
        <v>0.3043836805555555</v>
      </c>
      <c r="E14" s="10" t="n">
        <v>0.6195989583333333</v>
      </c>
      <c r="F14" s="10" t="n">
        <v>0.7743327042329469</v>
      </c>
      <c r="G14" s="10" t="n">
        <v>0.9308568752926487</v>
      </c>
      <c r="H14" s="9" t="n">
        <v>0.9896288209606987</v>
      </c>
      <c r="I14" s="8" t="n">
        <v>1832</v>
      </c>
      <c r="J14" s="8" t="n">
        <v>19</v>
      </c>
      <c r="K14" s="11" t="inlineStr"/>
    </row>
    <row r="15" ht="18" customHeight="1">
      <c r="A15" s="7" t="n">
        <v>12</v>
      </c>
      <c r="B15" s="8" t="n">
        <v>18</v>
      </c>
      <c r="C15" s="10" t="n">
        <v>0.28390625</v>
      </c>
      <c r="D15" s="10" t="n">
        <v>0.3330111882716049</v>
      </c>
      <c r="E15" s="10" t="n">
        <v>0.6169174382716049</v>
      </c>
      <c r="F15" s="10" t="n">
        <v>0.7258021029927204</v>
      </c>
      <c r="G15" s="10" t="n">
        <v>0.9832995161542064</v>
      </c>
      <c r="H15" s="9" t="n">
        <v>0.993127147766323</v>
      </c>
      <c r="I15" s="8" t="n">
        <v>2037</v>
      </c>
      <c r="J15" s="8" t="n">
        <v>14</v>
      </c>
      <c r="K15" s="11" t="inlineStr"/>
    </row>
    <row r="16">
      <c r="A16" s="13" t="inlineStr">
        <is>
          <t>연간 평균</t>
        </is>
      </c>
      <c r="B16" s="13" t="n"/>
      <c r="C16" s="14">
        <f>AVERAGE(C4:C15)</f>
        <v/>
      </c>
      <c r="D16" s="14">
        <f>AVERAGE(D4:D15)</f>
        <v/>
      </c>
      <c r="E16" s="14">
        <f>AVERAGE(E4:E15)</f>
        <v/>
      </c>
      <c r="F16" s="14">
        <f>AVERAGE(F4:F15)</f>
        <v/>
      </c>
      <c r="G16" s="14">
        <f>AVERAGE(G4:G15)</f>
        <v/>
      </c>
      <c r="H16" s="14">
        <f>AVERAGE(H4:H15)</f>
        <v/>
      </c>
      <c r="I16" s="15">
        <f>SUM(I4:I15)</f>
        <v/>
      </c>
      <c r="J16" s="15">
        <f>SUM(J4:J15)</f>
        <v/>
      </c>
      <c r="K16" s="13" t="inlineStr"/>
    </row>
  </sheetData>
  <mergeCells count="5">
    <mergeCell ref="E2:G2"/>
    <mergeCell ref="A16:B16"/>
    <mergeCell ref="I2:K2"/>
    <mergeCell ref="A1:K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3" customWidth="1" min="3" max="3"/>
    <col width="11" customWidth="1" min="4" max="4"/>
    <col width="13" customWidth="1" min="5" max="5"/>
    <col width="11" customWidth="1" min="6" max="6"/>
    <col width="11" customWidth="1" min="7" max="7"/>
    <col width="13" customWidth="1" min="8" max="8"/>
    <col width="11" customWidth="1" min="9" max="9"/>
    <col width="12" customWidth="1" min="10" max="10"/>
  </cols>
  <sheetData>
    <row r="1" ht="22" customHeight="1">
      <c r="A1" s="1" t="inlineStr">
        <is>
          <t>설비가동율 상세  —  총 가공시간(초) ÷ 근무시간(초)</t>
        </is>
      </c>
    </row>
    <row r="2" ht="16" customHeight="1">
      <c r="A2" s="16" t="inlineStr">
        <is>
          <t>▶ 설비가동율 = 기계 실제 가공시간 ÷ 근무가능시간  |  합계 = FAST + GX7 가동율 합산</t>
        </is>
      </c>
    </row>
    <row r="3">
      <c r="A3" s="6" t="inlineStr">
        <is>
          <t>월</t>
        </is>
      </c>
      <c r="B3" s="6" t="inlineStr">
        <is>
          <t>근무일(일)</t>
        </is>
      </c>
      <c r="C3" s="6" t="inlineStr">
        <is>
          <t>근무시간(초)</t>
        </is>
      </c>
      <c r="D3" s="17" t="inlineStr">
        <is>
          <t>생산수량(개)</t>
        </is>
      </c>
      <c r="E3" s="17" t="inlineStr">
        <is>
          <t>가공시간(초)</t>
        </is>
      </c>
      <c r="F3" s="17" t="inlineStr">
        <is>
          <t>가동율(%)</t>
        </is>
      </c>
      <c r="G3" s="17" t="inlineStr">
        <is>
          <t>생산수량(개)</t>
        </is>
      </c>
      <c r="H3" s="17" t="inlineStr">
        <is>
          <t>가공시간(초)</t>
        </is>
      </c>
      <c r="I3" s="17" t="inlineStr">
        <is>
          <t>가동율(%)</t>
        </is>
      </c>
      <c r="J3" s="6" t="inlineStr">
        <is>
          <t>가동율 합계(%)</t>
        </is>
      </c>
    </row>
    <row r="4" ht="18" customHeight="1">
      <c r="A4" s="18" t="n">
        <v>1</v>
      </c>
      <c r="B4" s="8" t="n">
        <v>17</v>
      </c>
      <c r="C4" s="8" t="n">
        <v>489600</v>
      </c>
      <c r="D4" s="19" t="n">
        <v>723</v>
      </c>
      <c r="E4" s="19" t="n">
        <v>190614</v>
      </c>
      <c r="F4" s="20" t="n">
        <v>0.3893259803921569</v>
      </c>
      <c r="G4" s="21" t="n">
        <v>479</v>
      </c>
      <c r="H4" s="21" t="n">
        <v>164507</v>
      </c>
      <c r="I4" s="9" t="n">
        <v>0.3360028594771242</v>
      </c>
      <c r="J4" s="9" t="n">
        <v>0.725328839869281</v>
      </c>
    </row>
    <row r="5" ht="18" customHeight="1">
      <c r="A5" s="18" t="n">
        <v>2</v>
      </c>
      <c r="B5" s="8" t="n">
        <v>17</v>
      </c>
      <c r="C5" s="8" t="n">
        <v>489600</v>
      </c>
      <c r="D5" s="19" t="n">
        <v>532</v>
      </c>
      <c r="E5" s="19" t="n">
        <v>115878</v>
      </c>
      <c r="F5" s="20" t="n">
        <v>0.2366789215686274</v>
      </c>
      <c r="G5" s="21" t="n">
        <v>344</v>
      </c>
      <c r="H5" s="21" t="n">
        <v>110790</v>
      </c>
      <c r="I5" s="9" t="n">
        <v>0.2262867647058824</v>
      </c>
      <c r="J5" s="12" t="n">
        <v>0.4629656862745098</v>
      </c>
    </row>
    <row r="6" ht="18" customHeight="1">
      <c r="A6" s="18" t="n">
        <v>3</v>
      </c>
      <c r="B6" s="8" t="n">
        <v>18</v>
      </c>
      <c r="C6" s="8" t="n">
        <v>518400</v>
      </c>
      <c r="D6" s="19" t="n">
        <v>683</v>
      </c>
      <c r="E6" s="19" t="n">
        <v>139508</v>
      </c>
      <c r="F6" s="20" t="n">
        <v>0.2691126543209876</v>
      </c>
      <c r="G6" s="21" t="n">
        <v>408</v>
      </c>
      <c r="H6" s="21" t="n">
        <v>145130</v>
      </c>
      <c r="I6" s="9" t="n">
        <v>0.2799575617283951</v>
      </c>
      <c r="J6" s="10" t="n">
        <v>0.5490702160493828</v>
      </c>
    </row>
    <row r="7" ht="18" customHeight="1">
      <c r="A7" s="18" t="n">
        <v>4</v>
      </c>
      <c r="B7" s="8" t="n">
        <v>22</v>
      </c>
      <c r="C7" s="8" t="n">
        <v>633600</v>
      </c>
      <c r="D7" s="19" t="n">
        <v>948</v>
      </c>
      <c r="E7" s="19" t="n">
        <v>212021</v>
      </c>
      <c r="F7" s="20" t="n">
        <v>0.3346291035353535</v>
      </c>
      <c r="G7" s="21" t="n">
        <v>523</v>
      </c>
      <c r="H7" s="21" t="n">
        <v>190918</v>
      </c>
      <c r="I7" s="9" t="n">
        <v>0.301322601010101</v>
      </c>
      <c r="J7" s="10" t="n">
        <v>0.6359517045454546</v>
      </c>
    </row>
    <row r="8" ht="18" customHeight="1">
      <c r="A8" s="18" t="n">
        <v>5</v>
      </c>
      <c r="B8" s="8" t="n">
        <v>18</v>
      </c>
      <c r="C8" s="8" t="n">
        <v>518400</v>
      </c>
      <c r="D8" s="19" t="n">
        <v>649</v>
      </c>
      <c r="E8" s="19" t="n">
        <v>150698</v>
      </c>
      <c r="F8" s="20" t="n">
        <v>0.2906983024691358</v>
      </c>
      <c r="G8" s="21" t="n">
        <v>284</v>
      </c>
      <c r="H8" s="21" t="n">
        <v>106871</v>
      </c>
      <c r="I8" s="9" t="n">
        <v>0.2061554783950617</v>
      </c>
      <c r="J8" s="12" t="n">
        <v>0.4968537808641975</v>
      </c>
    </row>
    <row r="9" ht="18" customHeight="1">
      <c r="A9" s="18" t="n">
        <v>6</v>
      </c>
      <c r="B9" s="8" t="n">
        <v>19</v>
      </c>
      <c r="C9" s="8" t="n">
        <v>547200</v>
      </c>
      <c r="D9" s="19" t="n">
        <v>773</v>
      </c>
      <c r="E9" s="19" t="n">
        <v>226295</v>
      </c>
      <c r="F9" s="20" t="n">
        <v>0.4135508040935673</v>
      </c>
      <c r="G9" s="21" t="n">
        <v>174</v>
      </c>
      <c r="H9" s="21" t="n">
        <v>57338</v>
      </c>
      <c r="I9" s="9" t="n">
        <v>0.1047843567251462</v>
      </c>
      <c r="J9" s="10" t="n">
        <v>0.5183351608187134</v>
      </c>
    </row>
    <row r="10" ht="18" customHeight="1">
      <c r="A10" s="18" t="n">
        <v>7</v>
      </c>
      <c r="B10" s="8" t="n">
        <v>21</v>
      </c>
      <c r="C10" s="8" t="n">
        <v>604800</v>
      </c>
      <c r="D10" s="19" t="n">
        <v>971</v>
      </c>
      <c r="E10" s="19" t="n">
        <v>267966</v>
      </c>
      <c r="F10" s="20" t="n">
        <v>0.4430654761904762</v>
      </c>
      <c r="G10" s="21" t="n">
        <v>440</v>
      </c>
      <c r="H10" s="21" t="n">
        <v>171814</v>
      </c>
      <c r="I10" s="9" t="n">
        <v>0.2840839947089947</v>
      </c>
      <c r="J10" s="9" t="n">
        <v>0.7271494708994709</v>
      </c>
    </row>
    <row r="11" ht="18" customHeight="1">
      <c r="A11" s="18" t="n">
        <v>8</v>
      </c>
      <c r="B11" s="8" t="n">
        <v>18</v>
      </c>
      <c r="C11" s="8" t="n">
        <v>518400</v>
      </c>
      <c r="D11" s="19" t="n">
        <v>737</v>
      </c>
      <c r="E11" s="19" t="n">
        <v>169356</v>
      </c>
      <c r="F11" s="20" t="n">
        <v>0.3266898148148148</v>
      </c>
      <c r="G11" s="21" t="n">
        <v>394</v>
      </c>
      <c r="H11" s="21" t="n">
        <v>141386</v>
      </c>
      <c r="I11" s="9" t="n">
        <v>0.2727353395061728</v>
      </c>
      <c r="J11" s="10" t="n">
        <v>0.5994251543209876</v>
      </c>
    </row>
    <row r="12" ht="18" customHeight="1">
      <c r="A12" s="18" t="n">
        <v>9</v>
      </c>
      <c r="B12" s="8" t="n">
        <v>22</v>
      </c>
      <c r="C12" s="8" t="n">
        <v>633600</v>
      </c>
      <c r="D12" s="19" t="n">
        <v>740</v>
      </c>
      <c r="E12" s="19" t="n">
        <v>164068</v>
      </c>
      <c r="F12" s="20" t="n">
        <v>0.2589457070707071</v>
      </c>
      <c r="G12" s="21" t="n">
        <v>394</v>
      </c>
      <c r="H12" s="21" t="n">
        <v>144222</v>
      </c>
      <c r="I12" s="9" t="n">
        <v>0.2276231060606061</v>
      </c>
      <c r="J12" s="12" t="n">
        <v>0.4865688131313132</v>
      </c>
    </row>
    <row r="13" ht="18" customHeight="1">
      <c r="A13" s="18" t="n">
        <v>10</v>
      </c>
      <c r="B13" s="8" t="n">
        <v>18</v>
      </c>
      <c r="C13" s="8" t="n">
        <v>518400</v>
      </c>
      <c r="D13" s="19" t="n">
        <v>674</v>
      </c>
      <c r="E13" s="19" t="n">
        <v>166434</v>
      </c>
      <c r="F13" s="20" t="n">
        <v>0.3210532407407408</v>
      </c>
      <c r="G13" s="21" t="n">
        <v>422</v>
      </c>
      <c r="H13" s="21" t="n">
        <v>162037</v>
      </c>
      <c r="I13" s="9" t="n">
        <v>0.3125713734567901</v>
      </c>
      <c r="J13" s="10" t="n">
        <v>0.6336246141975309</v>
      </c>
    </row>
    <row r="14" ht="18" customHeight="1">
      <c r="A14" s="18" t="n">
        <v>11</v>
      </c>
      <c r="B14" s="8" t="n">
        <v>20</v>
      </c>
      <c r="C14" s="8" t="n">
        <v>576000</v>
      </c>
      <c r="D14" s="19" t="n">
        <v>718</v>
      </c>
      <c r="E14" s="19" t="n">
        <v>181564</v>
      </c>
      <c r="F14" s="20" t="n">
        <v>0.3152152777777778</v>
      </c>
      <c r="G14" s="21" t="n">
        <v>497</v>
      </c>
      <c r="H14" s="21" t="n">
        <v>175325</v>
      </c>
      <c r="I14" s="9" t="n">
        <v>0.3043836805555555</v>
      </c>
      <c r="J14" s="10" t="n">
        <v>0.6195989583333333</v>
      </c>
    </row>
    <row r="15" ht="18" customHeight="1">
      <c r="A15" s="18" t="n">
        <v>12</v>
      </c>
      <c r="B15" s="8" t="n">
        <v>18</v>
      </c>
      <c r="C15" s="8" t="n">
        <v>518400</v>
      </c>
      <c r="D15" s="19" t="n">
        <v>673</v>
      </c>
      <c r="E15" s="19" t="n">
        <v>147177</v>
      </c>
      <c r="F15" s="20" t="n">
        <v>0.28390625</v>
      </c>
      <c r="G15" s="21" t="n">
        <v>525</v>
      </c>
      <c r="H15" s="21" t="n">
        <v>172633</v>
      </c>
      <c r="I15" s="9" t="n">
        <v>0.3330111882716049</v>
      </c>
      <c r="J15" s="10" t="n">
        <v>0.6169174382716049</v>
      </c>
    </row>
    <row r="16">
      <c r="A16" s="13" t="inlineStr">
        <is>
          <t>연간 평균</t>
        </is>
      </c>
      <c r="B16" s="13" t="n"/>
      <c r="C16" s="15">
        <f>SUM(C4:C15)</f>
        <v/>
      </c>
      <c r="D16" s="15">
        <f>SUM(D4:D15)</f>
        <v/>
      </c>
      <c r="E16" s="15">
        <f>AVERAGE(E4:E15)</f>
        <v/>
      </c>
      <c r="F16" s="14">
        <f>AVERAGE(F4:F15)</f>
        <v/>
      </c>
      <c r="G16" s="15">
        <f>SUM(G4:G15)</f>
        <v/>
      </c>
      <c r="H16" s="15">
        <f>AVERAGE(H4:H15)</f>
        <v/>
      </c>
      <c r="I16" s="14">
        <f>AVERAGE(I4:I15)</f>
        <v/>
      </c>
      <c r="J16" s="14">
        <f>AVERAGE(J4:J15)</f>
        <v/>
      </c>
    </row>
  </sheetData>
  <mergeCells count="3">
    <mergeCell ref="A1:J1"/>
    <mergeCell ref="A16:B16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3" customWidth="1" min="4" max="4"/>
    <col width="13" customWidth="1" min="5" max="5"/>
    <col width="14" customWidth="1" min="6" max="6"/>
    <col width="13" customWidth="1" min="7" max="7"/>
    <col width="13" customWidth="1" min="8" max="8"/>
    <col width="22" customWidth="1" min="9" max="9"/>
  </cols>
  <sheetData>
    <row r="1" ht="22" customHeight="1">
      <c r="A1" s="1" t="inlineStr">
        <is>
          <t>작업효율 상세  —  실생산량 ÷ 표준생산량</t>
        </is>
      </c>
    </row>
    <row r="2" ht="16" customHeight="1">
      <c r="A2" s="16" t="inlineStr">
        <is>
          <t>▶ 작업효율 = 월 실제 생산수량 ÷ 표준생산량(15개월 월평균)  |  100% 초과 = 표준 대비 초과 생산</t>
        </is>
      </c>
    </row>
    <row r="3" ht="18" customHeight="1">
      <c r="A3" s="22" t="inlineStr">
        <is>
          <t>FG 표준생산량</t>
        </is>
      </c>
      <c r="B3" s="4" t="n">
        <v>927.25</v>
      </c>
      <c r="C3" s="23" t="inlineStr">
        <is>
          <t>개/월</t>
        </is>
      </c>
      <c r="D3" s="22" t="inlineStr">
        <is>
          <t>GX7 표준생산량</t>
        </is>
      </c>
      <c r="E3" s="4" t="n">
        <v>533.9166666666666</v>
      </c>
      <c r="F3" s="23" t="inlineStr">
        <is>
          <t>개/월</t>
        </is>
      </c>
      <c r="G3" s="5" t="inlineStr">
        <is>
          <t>출처: 25년 월별 생산 실적.xlsx 15개월 평균</t>
        </is>
      </c>
    </row>
    <row r="4">
      <c r="A4" s="6" t="inlineStr">
        <is>
          <t>월</t>
        </is>
      </c>
      <c r="B4" s="6" t="inlineStr">
        <is>
          <t>근무일(일)</t>
        </is>
      </c>
      <c r="C4" s="17" t="inlineStr">
        <is>
          <t>FG 생산수량(개)</t>
        </is>
      </c>
      <c r="D4" s="17" t="inlineStr">
        <is>
          <t>FG 표준수량(개)</t>
        </is>
      </c>
      <c r="E4" s="17" t="inlineStr">
        <is>
          <t>FG 작업효율(%)</t>
        </is>
      </c>
      <c r="F4" s="17" t="inlineStr">
        <is>
          <t>GX7 생산수량(개)</t>
        </is>
      </c>
      <c r="G4" s="17" t="inlineStr">
        <is>
          <t>GX7 표준수량(개)</t>
        </is>
      </c>
      <c r="H4" s="17" t="inlineStr">
        <is>
          <t>GX7 작업효율(%)</t>
        </is>
      </c>
      <c r="I4" s="6" t="inlineStr">
        <is>
          <t>비고</t>
        </is>
      </c>
    </row>
    <row r="5" ht="18" customHeight="1">
      <c r="A5" s="24" t="n">
        <v>1</v>
      </c>
      <c r="B5" s="8" t="n">
        <v>17</v>
      </c>
      <c r="C5" s="19" t="n">
        <v>723</v>
      </c>
      <c r="D5" s="25" t="n">
        <v>927.25</v>
      </c>
      <c r="E5" s="10" t="n">
        <v>0.7797249932596387</v>
      </c>
      <c r="F5" s="21" t="n">
        <v>479</v>
      </c>
      <c r="G5" s="26" t="n">
        <v>533.9166666666666</v>
      </c>
      <c r="H5" s="10" t="n">
        <v>0.8971437490245046</v>
      </c>
      <c r="I5" s="11" t="inlineStr"/>
    </row>
    <row r="6" ht="18" customHeight="1">
      <c r="A6" s="24" t="n">
        <v>2</v>
      </c>
      <c r="B6" s="8" t="n">
        <v>17</v>
      </c>
      <c r="C6" s="19" t="n">
        <v>532</v>
      </c>
      <c r="D6" s="25" t="n">
        <v>927.25</v>
      </c>
      <c r="E6" s="12" t="n">
        <v>0.5737395524400107</v>
      </c>
      <c r="F6" s="21" t="n">
        <v>344</v>
      </c>
      <c r="G6" s="26" t="n">
        <v>533.9166666666666</v>
      </c>
      <c r="H6" s="12" t="n">
        <v>0.6442953020134229</v>
      </c>
      <c r="I6" s="11" t="inlineStr"/>
    </row>
    <row r="7" ht="18" customHeight="1">
      <c r="A7" s="24" t="n">
        <v>3</v>
      </c>
      <c r="B7" s="8" t="n">
        <v>18</v>
      </c>
      <c r="C7" s="19" t="n">
        <v>683</v>
      </c>
      <c r="D7" s="25" t="n">
        <v>927.25</v>
      </c>
      <c r="E7" s="10" t="n">
        <v>0.736586681046104</v>
      </c>
      <c r="F7" s="21" t="n">
        <v>408</v>
      </c>
      <c r="G7" s="26" t="n">
        <v>533.9166666666666</v>
      </c>
      <c r="H7" s="10" t="n">
        <v>0.764164195411269</v>
      </c>
      <c r="I7" s="11" t="inlineStr"/>
    </row>
    <row r="8" ht="18" customHeight="1">
      <c r="A8" s="24" t="n">
        <v>4</v>
      </c>
      <c r="B8" s="8" t="n">
        <v>22</v>
      </c>
      <c r="C8" s="19" t="n">
        <v>948</v>
      </c>
      <c r="D8" s="25" t="n">
        <v>927.25</v>
      </c>
      <c r="E8" s="9" t="n">
        <v>1.022377999460771</v>
      </c>
      <c r="F8" s="21" t="n">
        <v>523</v>
      </c>
      <c r="G8" s="26" t="n">
        <v>533.9166666666666</v>
      </c>
      <c r="H8" s="9" t="n">
        <v>0.9795536132355237</v>
      </c>
      <c r="I8" s="11" t="inlineStr"/>
    </row>
    <row r="9" ht="18" customHeight="1">
      <c r="A9" s="24" t="n">
        <v>5</v>
      </c>
      <c r="B9" s="8" t="n">
        <v>18</v>
      </c>
      <c r="C9" s="19" t="n">
        <v>649</v>
      </c>
      <c r="D9" s="25" t="n">
        <v>927.25</v>
      </c>
      <c r="E9" s="12" t="n">
        <v>0.6999191156645996</v>
      </c>
      <c r="F9" s="21" t="n">
        <v>284</v>
      </c>
      <c r="G9" s="26" t="n">
        <v>533.9166666666666</v>
      </c>
      <c r="H9" s="12" t="n">
        <v>0.5319182144529422</v>
      </c>
      <c r="I9" s="11" t="inlineStr"/>
    </row>
    <row r="10" ht="18" customHeight="1">
      <c r="A10" s="24" t="n">
        <v>6</v>
      </c>
      <c r="B10" s="8" t="n">
        <v>19</v>
      </c>
      <c r="C10" s="19" t="n">
        <v>773</v>
      </c>
      <c r="D10" s="25" t="n">
        <v>927.25</v>
      </c>
      <c r="E10" s="10" t="n">
        <v>0.8336478835265571</v>
      </c>
      <c r="F10" s="21" t="n">
        <v>174</v>
      </c>
      <c r="G10" s="26" t="n">
        <v>533.9166666666666</v>
      </c>
      <c r="H10" s="12" t="n">
        <v>0.3258935539253941</v>
      </c>
      <c r="I10" s="11" t="inlineStr">
        <is>
          <t>* GX7 고장(3~22일)</t>
        </is>
      </c>
    </row>
    <row r="11" ht="18" customHeight="1">
      <c r="A11" s="24" t="n">
        <v>7</v>
      </c>
      <c r="B11" s="8" t="n">
        <v>21</v>
      </c>
      <c r="C11" s="19" t="n">
        <v>971</v>
      </c>
      <c r="D11" s="25" t="n">
        <v>927.25</v>
      </c>
      <c r="E11" s="9" t="n">
        <v>1.047182528983553</v>
      </c>
      <c r="F11" s="21" t="n">
        <v>440</v>
      </c>
      <c r="G11" s="26" t="n">
        <v>533.9166666666666</v>
      </c>
      <c r="H11" s="10" t="n">
        <v>0.824098642110192</v>
      </c>
      <c r="I11" s="11" t="inlineStr"/>
    </row>
    <row r="12" ht="18" customHeight="1">
      <c r="A12" s="24" t="n">
        <v>8</v>
      </c>
      <c r="B12" s="8" t="n">
        <v>18</v>
      </c>
      <c r="C12" s="19" t="n">
        <v>737</v>
      </c>
      <c r="D12" s="25" t="n">
        <v>927.25</v>
      </c>
      <c r="E12" s="10" t="n">
        <v>0.7948234025343759</v>
      </c>
      <c r="F12" s="21" t="n">
        <v>394</v>
      </c>
      <c r="G12" s="26" t="n">
        <v>533.9166666666666</v>
      </c>
      <c r="H12" s="10" t="n">
        <v>0.7379428749804902</v>
      </c>
      <c r="I12" s="11" t="inlineStr">
        <is>
          <t>* 생산량 누락</t>
        </is>
      </c>
    </row>
    <row r="13" ht="18" customHeight="1">
      <c r="A13" s="24" t="n">
        <v>9</v>
      </c>
      <c r="B13" s="8" t="n">
        <v>22</v>
      </c>
      <c r="C13" s="19" t="n">
        <v>740</v>
      </c>
      <c r="D13" s="25" t="n">
        <v>927.25</v>
      </c>
      <c r="E13" s="10" t="n">
        <v>0.798058775950391</v>
      </c>
      <c r="F13" s="21" t="n">
        <v>394</v>
      </c>
      <c r="G13" s="26" t="n">
        <v>533.9166666666666</v>
      </c>
      <c r="H13" s="10" t="n">
        <v>0.7379428749804902</v>
      </c>
      <c r="I13" s="11" t="inlineStr"/>
    </row>
    <row r="14" ht="18" customHeight="1">
      <c r="A14" s="24" t="n">
        <v>10</v>
      </c>
      <c r="B14" s="8" t="n">
        <v>18</v>
      </c>
      <c r="C14" s="19" t="n">
        <v>674</v>
      </c>
      <c r="D14" s="25" t="n">
        <v>927.25</v>
      </c>
      <c r="E14" s="10" t="n">
        <v>0.7268805607980587</v>
      </c>
      <c r="F14" s="21" t="n">
        <v>422</v>
      </c>
      <c r="G14" s="26" t="n">
        <v>533.9166666666666</v>
      </c>
      <c r="H14" s="10" t="n">
        <v>0.7903855158420479</v>
      </c>
      <c r="I14" s="11" t="inlineStr">
        <is>
          <t>* 추석(3~9일)</t>
        </is>
      </c>
    </row>
    <row r="15" ht="18" customHeight="1">
      <c r="A15" s="24" t="n">
        <v>11</v>
      </c>
      <c r="B15" s="8" t="n">
        <v>20</v>
      </c>
      <c r="C15" s="19" t="n">
        <v>718</v>
      </c>
      <c r="D15" s="25" t="n">
        <v>927.25</v>
      </c>
      <c r="E15" s="10" t="n">
        <v>0.7743327042329469</v>
      </c>
      <c r="F15" s="21" t="n">
        <v>497</v>
      </c>
      <c r="G15" s="26" t="n">
        <v>533.9166666666666</v>
      </c>
      <c r="H15" s="9" t="n">
        <v>0.9308568752926487</v>
      </c>
      <c r="I15" s="11" t="inlineStr"/>
    </row>
    <row r="16" ht="18" customHeight="1">
      <c r="A16" s="24" t="n">
        <v>12</v>
      </c>
      <c r="B16" s="8" t="n">
        <v>18</v>
      </c>
      <c r="C16" s="19" t="n">
        <v>673</v>
      </c>
      <c r="D16" s="25" t="n">
        <v>927.25</v>
      </c>
      <c r="E16" s="10" t="n">
        <v>0.7258021029927204</v>
      </c>
      <c r="F16" s="21" t="n">
        <v>525</v>
      </c>
      <c r="G16" s="26" t="n">
        <v>533.9166666666666</v>
      </c>
      <c r="H16" s="9" t="n">
        <v>0.9832995161542064</v>
      </c>
      <c r="I16" s="11" t="inlineStr"/>
    </row>
    <row r="17">
      <c r="A17" s="13" t="inlineStr">
        <is>
          <t>연간 평균</t>
        </is>
      </c>
      <c r="B17" s="13" t="n"/>
      <c r="C17" s="15">
        <f>AVERAGE(C5:C16)</f>
        <v/>
      </c>
      <c r="D17" s="27" t="n">
        <v>927.25</v>
      </c>
      <c r="E17" s="14">
        <f>AVERAGE(E5:E16)</f>
        <v/>
      </c>
      <c r="F17" s="15">
        <f>AVERAGE(F5:F16)</f>
        <v/>
      </c>
      <c r="G17" s="27" t="n">
        <v>533.9166666666666</v>
      </c>
      <c r="H17" s="14">
        <f>AVERAGE(H5:H16)</f>
        <v/>
      </c>
      <c r="I17" s="13" t="inlineStr"/>
    </row>
  </sheetData>
  <mergeCells count="4">
    <mergeCell ref="A1:I1"/>
    <mergeCell ref="G3:I3"/>
    <mergeCell ref="A2:I2"/>
    <mergeCell ref="A17: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0" customWidth="1" min="4" max="4"/>
    <col width="12" customWidth="1" min="5" max="5"/>
    <col width="11" customWidth="1" min="6" max="6"/>
    <col width="10" customWidth="1" min="7" max="7"/>
    <col width="22" customWidth="1" min="8" max="8"/>
  </cols>
  <sheetData>
    <row r="1" ht="22" customHeight="1">
      <c r="A1" s="1" t="inlineStr">
        <is>
          <t>양품율 상세  —  (출하수량 - 불량수) ÷ 출하수량</t>
        </is>
      </c>
    </row>
    <row r="2" ht="16" customHeight="1">
      <c r="A2" s="16" t="inlineStr">
        <is>
          <t>▶ 양품율 = (출하수량 - 불량수) ÷ 출하수량  |  99% 이상 = 정상, 98.5% 미만 = 주의</t>
        </is>
      </c>
    </row>
    <row r="3">
      <c r="A3" s="6" t="inlineStr">
        <is>
          <t>월</t>
        </is>
      </c>
      <c r="B3" s="6" t="inlineStr">
        <is>
          <t>근무일(일)</t>
        </is>
      </c>
      <c r="C3" s="6" t="inlineStr">
        <is>
          <t>출하수량(개)</t>
        </is>
      </c>
      <c r="D3" s="6" t="inlineStr">
        <is>
          <t>불량수(개)</t>
        </is>
      </c>
      <c r="E3" s="6" t="inlineStr">
        <is>
          <t>양품수량(개)</t>
        </is>
      </c>
      <c r="F3" s="6" t="inlineStr">
        <is>
          <t>양품율(%)</t>
        </is>
      </c>
      <c r="G3" s="6" t="inlineStr">
        <is>
          <t>불량율(%)</t>
        </is>
      </c>
      <c r="H3" s="6" t="inlineStr">
        <is>
          <t>비고</t>
        </is>
      </c>
    </row>
    <row r="4" ht="18" customHeight="1">
      <c r="A4" s="24" t="n">
        <v>1</v>
      </c>
      <c r="B4" s="8" t="n">
        <v>17</v>
      </c>
      <c r="C4" s="8" t="n">
        <v>1526</v>
      </c>
      <c r="D4" s="8" t="n">
        <v>14</v>
      </c>
      <c r="E4" s="8" t="n">
        <v>1512</v>
      </c>
      <c r="F4" s="9" t="n">
        <v>0.9908256880733946</v>
      </c>
      <c r="G4" s="10" t="n">
        <v>0.00917431192660545</v>
      </c>
      <c r="H4" s="11" t="inlineStr"/>
    </row>
    <row r="5" ht="18" customHeight="1">
      <c r="A5" s="24" t="n">
        <v>2</v>
      </c>
      <c r="B5" s="8" t="n">
        <v>17</v>
      </c>
      <c r="C5" s="8" t="n">
        <v>1074</v>
      </c>
      <c r="D5" s="8" t="n">
        <v>7</v>
      </c>
      <c r="E5" s="8" t="n">
        <v>1067</v>
      </c>
      <c r="F5" s="9" t="n">
        <v>0.9934823091247672</v>
      </c>
      <c r="G5" s="10" t="n">
        <v>0.006517690875232796</v>
      </c>
      <c r="H5" s="11" t="inlineStr"/>
    </row>
    <row r="6" ht="18" customHeight="1">
      <c r="A6" s="24" t="n">
        <v>3</v>
      </c>
      <c r="B6" s="8" t="n">
        <v>18</v>
      </c>
      <c r="C6" s="8" t="n">
        <v>1427</v>
      </c>
      <c r="D6" s="8" t="n">
        <v>4</v>
      </c>
      <c r="E6" s="8" t="n">
        <v>1423</v>
      </c>
      <c r="F6" s="9" t="n">
        <v>0.9971969166082691</v>
      </c>
      <c r="G6" s="10" t="n">
        <v>0.002803083391730854</v>
      </c>
      <c r="H6" s="11" t="inlineStr"/>
    </row>
    <row r="7" ht="18" customHeight="1">
      <c r="A7" s="24" t="n">
        <v>4</v>
      </c>
      <c r="B7" s="8" t="n">
        <v>22</v>
      </c>
      <c r="C7" s="8" t="n">
        <v>1920</v>
      </c>
      <c r="D7" s="8" t="n">
        <v>12</v>
      </c>
      <c r="E7" s="8" t="n">
        <v>1908</v>
      </c>
      <c r="F7" s="9" t="n">
        <v>0.99375</v>
      </c>
      <c r="G7" s="10" t="n">
        <v>0.006249999999999978</v>
      </c>
      <c r="H7" s="11" t="inlineStr"/>
    </row>
    <row r="8" ht="18" customHeight="1">
      <c r="A8" s="24" t="n">
        <v>5</v>
      </c>
      <c r="B8" s="8" t="n">
        <v>18</v>
      </c>
      <c r="C8" s="8" t="n">
        <v>1573</v>
      </c>
      <c r="D8" s="8" t="n">
        <v>8</v>
      </c>
      <c r="E8" s="8" t="n">
        <v>1565</v>
      </c>
      <c r="F8" s="9" t="n">
        <v>0.9949141767323586</v>
      </c>
      <c r="G8" s="10" t="n">
        <v>0.005085823267641398</v>
      </c>
      <c r="H8" s="11" t="inlineStr"/>
    </row>
    <row r="9" ht="18" customHeight="1">
      <c r="A9" s="24" t="n">
        <v>6</v>
      </c>
      <c r="B9" s="8" t="n">
        <v>19</v>
      </c>
      <c r="C9" s="8" t="n">
        <v>1325</v>
      </c>
      <c r="D9" s="28" t="n">
        <v>21</v>
      </c>
      <c r="E9" s="8" t="n">
        <v>1304</v>
      </c>
      <c r="F9" s="12" t="n">
        <v>0.9841509433962264</v>
      </c>
      <c r="G9" s="12" t="n">
        <v>0.01584905660377356</v>
      </c>
      <c r="H9" s="11" t="inlineStr">
        <is>
          <t>* GX7 고장(3~22일)</t>
        </is>
      </c>
    </row>
    <row r="10" ht="18" customHeight="1">
      <c r="A10" s="24" t="n">
        <v>7</v>
      </c>
      <c r="B10" s="8" t="n">
        <v>21</v>
      </c>
      <c r="C10" s="8" t="n">
        <v>1961</v>
      </c>
      <c r="D10" s="8" t="n">
        <v>4</v>
      </c>
      <c r="E10" s="8" t="n">
        <v>1957</v>
      </c>
      <c r="F10" s="9" t="n">
        <v>0.9979602243753187</v>
      </c>
      <c r="G10" s="10" t="n">
        <v>0.002039775624681273</v>
      </c>
      <c r="H10" s="11" t="inlineStr"/>
    </row>
    <row r="11" ht="18" customHeight="1">
      <c r="A11" s="24" t="n">
        <v>8</v>
      </c>
      <c r="B11" s="8" t="n">
        <v>18</v>
      </c>
      <c r="C11" s="8" t="n">
        <v>1713</v>
      </c>
      <c r="D11" s="8" t="n">
        <v>12</v>
      </c>
      <c r="E11" s="8" t="n">
        <v>1701</v>
      </c>
      <c r="F11" s="9" t="n">
        <v>0.9929947460595446</v>
      </c>
      <c r="G11" s="10" t="n">
        <v>0.007005253940455369</v>
      </c>
      <c r="H11" s="11" t="inlineStr">
        <is>
          <t>* 생산량 누락</t>
        </is>
      </c>
    </row>
    <row r="12" ht="18" customHeight="1">
      <c r="A12" s="24" t="n">
        <v>9</v>
      </c>
      <c r="B12" s="8" t="n">
        <v>22</v>
      </c>
      <c r="C12" s="8" t="n">
        <v>1375</v>
      </c>
      <c r="D12" s="8" t="n">
        <v>12</v>
      </c>
      <c r="E12" s="8" t="n">
        <v>1363</v>
      </c>
      <c r="F12" s="9" t="n">
        <v>0.9912727272727273</v>
      </c>
      <c r="G12" s="10" t="n">
        <v>0.008727272727272695</v>
      </c>
      <c r="H12" s="11" t="inlineStr"/>
    </row>
    <row r="13" ht="18" customHeight="1">
      <c r="A13" s="24" t="n">
        <v>10</v>
      </c>
      <c r="B13" s="8" t="n">
        <v>18</v>
      </c>
      <c r="C13" s="8" t="n">
        <v>1735</v>
      </c>
      <c r="D13" s="8" t="n">
        <v>1</v>
      </c>
      <c r="E13" s="8" t="n">
        <v>1734</v>
      </c>
      <c r="F13" s="9" t="n">
        <v>0.9994236311239193</v>
      </c>
      <c r="G13" s="10" t="n">
        <v>0.0005763688760807018</v>
      </c>
      <c r="H13" s="11" t="inlineStr">
        <is>
          <t>* 추석(3~9일)</t>
        </is>
      </c>
    </row>
    <row r="14" ht="18" customHeight="1">
      <c r="A14" s="24" t="n">
        <v>11</v>
      </c>
      <c r="B14" s="8" t="n">
        <v>20</v>
      </c>
      <c r="C14" s="8" t="n">
        <v>1832</v>
      </c>
      <c r="D14" s="28" t="n">
        <v>19</v>
      </c>
      <c r="E14" s="8" t="n">
        <v>1813</v>
      </c>
      <c r="F14" s="9" t="n">
        <v>0.9896288209606987</v>
      </c>
      <c r="G14" s="10" t="n">
        <v>0.01037117903930129</v>
      </c>
      <c r="H14" s="11" t="inlineStr"/>
    </row>
    <row r="15" ht="18" customHeight="1">
      <c r="A15" s="24" t="n">
        <v>12</v>
      </c>
      <c r="B15" s="8" t="n">
        <v>18</v>
      </c>
      <c r="C15" s="8" t="n">
        <v>2037</v>
      </c>
      <c r="D15" s="8" t="n">
        <v>14</v>
      </c>
      <c r="E15" s="8" t="n">
        <v>2023</v>
      </c>
      <c r="F15" s="9" t="n">
        <v>0.993127147766323</v>
      </c>
      <c r="G15" s="10" t="n">
        <v>0.006872852233676952</v>
      </c>
      <c r="H15" s="11" t="inlineStr"/>
    </row>
    <row r="16">
      <c r="A16" s="13" t="inlineStr">
        <is>
          <t>연간 합계/평균</t>
        </is>
      </c>
      <c r="B16" s="13" t="n"/>
      <c r="C16" s="15">
        <f>SUM(C4:C15)</f>
        <v/>
      </c>
      <c r="D16" s="15">
        <f>SUM(D4:D15)</f>
        <v/>
      </c>
      <c r="E16" s="15">
        <f>SUM(E4:E15)</f>
        <v/>
      </c>
      <c r="F16" s="14">
        <f>(C16-D16)/C16</f>
        <v/>
      </c>
      <c r="G16" s="14">
        <f>D16/C16</f>
        <v/>
      </c>
      <c r="H16" s="13" t="inlineStr"/>
    </row>
  </sheetData>
  <mergeCells count="3">
    <mergeCell ref="A16:B16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 ht="22" customHeight="1">
      <c r="A1" s="1" t="inlineStr">
        <is>
          <t>원본 데이터 (25년 월별 생산 실적.xlsx — '25' 시트)</t>
        </is>
      </c>
    </row>
    <row r="2">
      <c r="A2" s="29" t="inlineStr">
        <is>
          <t>※ 이 시트는 참조 전용입니다. 원본 파일(raw/)은 수정하지 않습니다.</t>
        </is>
      </c>
    </row>
    <row r="3">
      <c r="A3" s="6" t="inlineStr">
        <is>
          <t>월</t>
        </is>
      </c>
      <c r="B3" s="6" t="inlineStr">
        <is>
          <t>근무일(일)</t>
        </is>
      </c>
      <c r="C3" s="6" t="inlineStr">
        <is>
          <t>근무시간(초)</t>
        </is>
      </c>
      <c r="D3" s="6" t="inlineStr">
        <is>
          <t>FG 생산수량</t>
        </is>
      </c>
      <c r="E3" s="6" t="inlineStr">
        <is>
          <t>FG 가공시간(초)</t>
        </is>
      </c>
      <c r="F3" s="6" t="inlineStr">
        <is>
          <t>GX7 생산수량</t>
        </is>
      </c>
      <c r="G3" s="6" t="inlineStr">
        <is>
          <t>GX7 가공시간(초)</t>
        </is>
      </c>
      <c r="H3" s="6" t="inlineStr">
        <is>
          <t>합계 생산수량</t>
        </is>
      </c>
      <c r="I3" s="6" t="inlineStr">
        <is>
          <t>합계 가공시간(초)</t>
        </is>
      </c>
      <c r="J3" s="6" t="inlineStr">
        <is>
          <t>FG 장비표기</t>
        </is>
      </c>
      <c r="K3" s="6" t="inlineStr">
        <is>
          <t>GX7 장비표기</t>
        </is>
      </c>
      <c r="L3" s="6" t="inlineStr">
        <is>
          <t>출하수량</t>
        </is>
      </c>
      <c r="M3" s="6" t="inlineStr">
        <is>
          <t>불량수</t>
        </is>
      </c>
    </row>
    <row r="4">
      <c r="A4" s="18" t="n">
        <v>1</v>
      </c>
      <c r="B4" s="8" t="n">
        <v>17</v>
      </c>
      <c r="C4" s="8" t="n">
        <v>489600</v>
      </c>
      <c r="D4" s="8" t="n">
        <v>723</v>
      </c>
      <c r="E4" s="8" t="n">
        <v>190614</v>
      </c>
      <c r="F4" s="8" t="n">
        <v>479</v>
      </c>
      <c r="G4" s="8" t="n">
        <v>164507</v>
      </c>
      <c r="H4" s="8" t="n">
        <v>1202</v>
      </c>
      <c r="I4" s="8" t="n">
        <v>355121</v>
      </c>
      <c r="J4" s="8" t="n">
        <v>892</v>
      </c>
      <c r="K4" s="8" t="n">
        <v>683</v>
      </c>
      <c r="L4" s="8" t="n">
        <v>1526</v>
      </c>
      <c r="M4" s="8" t="n">
        <v>14</v>
      </c>
    </row>
    <row r="5">
      <c r="A5" s="18" t="n">
        <v>2</v>
      </c>
      <c r="B5" s="8" t="n">
        <v>17</v>
      </c>
      <c r="C5" s="8" t="n">
        <v>489600</v>
      </c>
      <c r="D5" s="8" t="n">
        <v>532</v>
      </c>
      <c r="E5" s="8" t="n">
        <v>115878</v>
      </c>
      <c r="F5" s="8" t="n">
        <v>344</v>
      </c>
      <c r="G5" s="8" t="n">
        <v>110790</v>
      </c>
      <c r="H5" s="8" t="n">
        <v>876</v>
      </c>
      <c r="I5" s="8" t="n">
        <v>226668</v>
      </c>
      <c r="J5" s="8" t="n">
        <v>772</v>
      </c>
      <c r="K5" s="8" t="n">
        <v>515</v>
      </c>
      <c r="L5" s="8" t="n">
        <v>1074</v>
      </c>
      <c r="M5" s="8" t="n">
        <v>7</v>
      </c>
    </row>
    <row r="6">
      <c r="A6" s="18" t="n">
        <v>3</v>
      </c>
      <c r="B6" s="8" t="n">
        <v>18</v>
      </c>
      <c r="C6" s="8" t="n">
        <v>518400</v>
      </c>
      <c r="D6" s="8" t="n">
        <v>683</v>
      </c>
      <c r="E6" s="8" t="n">
        <v>139508</v>
      </c>
      <c r="F6" s="8" t="n">
        <v>408</v>
      </c>
      <c r="G6" s="8" t="n">
        <v>145130</v>
      </c>
      <c r="H6" s="8" t="n">
        <v>1091</v>
      </c>
      <c r="I6" s="8" t="n">
        <v>284638</v>
      </c>
      <c r="J6" s="8" t="n">
        <v>864</v>
      </c>
      <c r="K6" s="8" t="n">
        <v>603</v>
      </c>
      <c r="L6" s="8" t="n">
        <v>1427</v>
      </c>
      <c r="M6" s="8" t="n">
        <v>4</v>
      </c>
    </row>
    <row r="7">
      <c r="A7" s="18" t="n">
        <v>4</v>
      </c>
      <c r="B7" s="8" t="n">
        <v>22</v>
      </c>
      <c r="C7" s="8" t="n">
        <v>633600</v>
      </c>
      <c r="D7" s="8" t="n">
        <v>948</v>
      </c>
      <c r="E7" s="8" t="n">
        <v>212021</v>
      </c>
      <c r="F7" s="8" t="n">
        <v>523</v>
      </c>
      <c r="G7" s="8" t="n">
        <v>190918</v>
      </c>
      <c r="H7" s="8" t="n">
        <v>1471</v>
      </c>
      <c r="I7" s="8" t="n">
        <v>402939</v>
      </c>
      <c r="J7" s="8" t="n">
        <v>1240</v>
      </c>
      <c r="K7" s="8" t="n">
        <v>757</v>
      </c>
      <c r="L7" s="8" t="n">
        <v>1920</v>
      </c>
      <c r="M7" s="8" t="n">
        <v>12</v>
      </c>
    </row>
    <row r="8">
      <c r="A8" s="18" t="n">
        <v>5</v>
      </c>
      <c r="B8" s="8" t="n">
        <v>18</v>
      </c>
      <c r="C8" s="8" t="n">
        <v>518400</v>
      </c>
      <c r="D8" s="8" t="n">
        <v>649</v>
      </c>
      <c r="E8" s="8" t="n">
        <v>150698</v>
      </c>
      <c r="F8" s="8" t="n">
        <v>284</v>
      </c>
      <c r="G8" s="8" t="n">
        <v>106871</v>
      </c>
      <c r="H8" s="8" t="n">
        <v>933</v>
      </c>
      <c r="I8" s="8" t="n">
        <v>257569</v>
      </c>
      <c r="J8" s="8" t="n">
        <v>883</v>
      </c>
      <c r="K8" s="8" t="n">
        <v>1009</v>
      </c>
      <c r="L8" s="8" t="n">
        <v>1573</v>
      </c>
      <c r="M8" s="8" t="n">
        <v>8</v>
      </c>
    </row>
    <row r="9">
      <c r="A9" s="18" t="n">
        <v>6</v>
      </c>
      <c r="B9" s="8" t="n">
        <v>19</v>
      </c>
      <c r="C9" s="8" t="n">
        <v>547200</v>
      </c>
      <c r="D9" s="8" t="n">
        <v>773</v>
      </c>
      <c r="E9" s="8" t="n">
        <v>226295</v>
      </c>
      <c r="F9" s="8" t="n">
        <v>174</v>
      </c>
      <c r="G9" s="8" t="n">
        <v>57338</v>
      </c>
      <c r="H9" s="8" t="n">
        <v>947</v>
      </c>
      <c r="I9" s="8" t="n">
        <v>283633</v>
      </c>
      <c r="J9" s="8" t="n">
        <v>1101</v>
      </c>
      <c r="K9" s="8" t="n">
        <v>268</v>
      </c>
      <c r="L9" s="8" t="n">
        <v>1325</v>
      </c>
      <c r="M9" s="8" t="n">
        <v>21</v>
      </c>
    </row>
    <row r="10">
      <c r="A10" s="18" t="n">
        <v>7</v>
      </c>
      <c r="B10" s="8" t="n">
        <v>21</v>
      </c>
      <c r="C10" s="8" t="n">
        <v>604800</v>
      </c>
      <c r="D10" s="8" t="n">
        <v>971</v>
      </c>
      <c r="E10" s="8" t="n">
        <v>267966</v>
      </c>
      <c r="F10" s="8" t="n">
        <v>440</v>
      </c>
      <c r="G10" s="8" t="n">
        <v>171814</v>
      </c>
      <c r="H10" s="8" t="n">
        <v>1411</v>
      </c>
      <c r="I10" s="8" t="n">
        <v>439780</v>
      </c>
      <c r="J10" s="8" t="n">
        <v>1165</v>
      </c>
      <c r="K10" s="8" t="n">
        <v>528</v>
      </c>
      <c r="L10" s="8" t="n">
        <v>1961</v>
      </c>
      <c r="M10" s="8" t="n">
        <v>4</v>
      </c>
    </row>
    <row r="11">
      <c r="A11" s="18" t="n">
        <v>8</v>
      </c>
      <c r="B11" s="8" t="n">
        <v>18</v>
      </c>
      <c r="C11" s="8" t="n">
        <v>518400</v>
      </c>
      <c r="D11" s="8" t="n">
        <v>737</v>
      </c>
      <c r="E11" s="8" t="n">
        <v>169356</v>
      </c>
      <c r="F11" s="8" t="n">
        <v>394</v>
      </c>
      <c r="G11" s="8" t="n">
        <v>141386</v>
      </c>
      <c r="H11" s="8" t="n">
        <v>1131</v>
      </c>
      <c r="I11" s="8" t="n">
        <v>310742</v>
      </c>
      <c r="J11" s="8" t="n">
        <v>992</v>
      </c>
      <c r="K11" s="8" t="n">
        <v>1389</v>
      </c>
      <c r="L11" s="8" t="n">
        <v>1713</v>
      </c>
      <c r="M11" s="8" t="n">
        <v>12</v>
      </c>
    </row>
    <row r="12">
      <c r="A12" s="18" t="n">
        <v>9</v>
      </c>
      <c r="B12" s="8" t="n">
        <v>22</v>
      </c>
      <c r="C12" s="8" t="n">
        <v>633600</v>
      </c>
      <c r="D12" s="8" t="n">
        <v>740</v>
      </c>
      <c r="E12" s="8" t="n">
        <v>164068</v>
      </c>
      <c r="F12" s="8" t="n">
        <v>394</v>
      </c>
      <c r="G12" s="8" t="n">
        <v>144222</v>
      </c>
      <c r="H12" s="8" t="n">
        <v>1134</v>
      </c>
      <c r="I12" s="8" t="n">
        <v>308290</v>
      </c>
      <c r="J12" s="8" t="n">
        <v>1084</v>
      </c>
      <c r="K12" s="8" t="n">
        <v>580</v>
      </c>
      <c r="L12" s="8" t="n">
        <v>1375</v>
      </c>
      <c r="M12" s="8" t="n">
        <v>12</v>
      </c>
    </row>
    <row r="13">
      <c r="A13" s="18" t="n">
        <v>10</v>
      </c>
      <c r="B13" s="8" t="n">
        <v>18</v>
      </c>
      <c r="C13" s="8" t="n">
        <v>518400</v>
      </c>
      <c r="D13" s="8" t="n">
        <v>674</v>
      </c>
      <c r="E13" s="8" t="n">
        <v>166434</v>
      </c>
      <c r="F13" s="8" t="n">
        <v>422</v>
      </c>
      <c r="G13" s="8" t="n">
        <v>162037</v>
      </c>
      <c r="H13" s="8" t="n">
        <v>1096</v>
      </c>
      <c r="I13" s="8" t="n">
        <v>328471</v>
      </c>
      <c r="J13" s="8" t="n">
        <v>839</v>
      </c>
      <c r="K13" s="8" t="n">
        <v>639</v>
      </c>
      <c r="L13" s="8" t="n">
        <v>1735</v>
      </c>
      <c r="M13" s="8" t="n">
        <v>1</v>
      </c>
    </row>
    <row r="14">
      <c r="A14" s="18" t="n">
        <v>11</v>
      </c>
      <c r="B14" s="8" t="n">
        <v>20</v>
      </c>
      <c r="C14" s="8" t="n">
        <v>576000</v>
      </c>
      <c r="D14" s="8" t="n">
        <v>718</v>
      </c>
      <c r="E14" s="8" t="n">
        <v>181564</v>
      </c>
      <c r="F14" s="8" t="n">
        <v>497</v>
      </c>
      <c r="G14" s="8" t="n">
        <v>175325</v>
      </c>
      <c r="H14" s="8" t="n">
        <v>1215</v>
      </c>
      <c r="I14" s="8" t="n">
        <v>356889</v>
      </c>
      <c r="J14" s="8" t="n">
        <v>995</v>
      </c>
      <c r="K14" s="8" t="n">
        <v>742</v>
      </c>
      <c r="L14" s="8" t="n">
        <v>1832</v>
      </c>
      <c r="M14" s="8" t="n">
        <v>19</v>
      </c>
    </row>
    <row r="15">
      <c r="A15" s="18" t="n">
        <v>12</v>
      </c>
      <c r="B15" s="8" t="n">
        <v>18</v>
      </c>
      <c r="C15" s="8" t="n">
        <v>518400</v>
      </c>
      <c r="D15" s="8" t="n">
        <v>673</v>
      </c>
      <c r="E15" s="8" t="n">
        <v>147177</v>
      </c>
      <c r="F15" s="8" t="n">
        <v>525</v>
      </c>
      <c r="G15" s="8" t="n">
        <v>172633</v>
      </c>
      <c r="H15" s="8" t="n">
        <v>1198</v>
      </c>
      <c r="I15" s="8" t="n">
        <v>319810</v>
      </c>
      <c r="J15" s="8" t="n">
        <v>975</v>
      </c>
      <c r="K15" s="8" t="n">
        <v>724</v>
      </c>
      <c r="L15" s="8" t="n">
        <v>2037</v>
      </c>
      <c r="M15" s="8" t="n">
        <v>14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2026-04-17T01:48:25Z</dcterms:created>
  <dcterms:modified xsi:type="dcterms:W3CDTF">2026-04-17T01:48:25Z</dcterms:modified>
</cp:coreProperties>
</file>