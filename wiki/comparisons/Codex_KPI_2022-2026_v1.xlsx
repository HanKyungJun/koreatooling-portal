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40" windowWidth="27735" windowHeight="11925" activeTab="5"/>
  </bookViews>
  <sheets>
    <sheet name="연도별 종합 비교" sheetId="1" r:id="rId1"/>
    <sheet name="2022년" sheetId="2" r:id="rId2"/>
    <sheet name="2023년" sheetId="3" r:id="rId3"/>
    <sheet name="2024년" sheetId="4" r:id="rId4"/>
    <sheet name="2025년" sheetId="5" r:id="rId5"/>
    <sheet name="2026Y_Codex" sheetId="6" r:id="rId6"/>
    <sheet name="연간 트렌드" sheetId="7" r:id="rId7"/>
    <sheet name="Codex_Source" sheetId="8" r:id="rId8"/>
    <sheet name="Leadtime_Summary" sheetId="9" r:id="rId9"/>
    <sheet name="Leadtime_By_Customer" sheetId="10" r:id="rId10"/>
  </sheets>
  <calcPr calcId="144525"/>
</workbook>
</file>

<file path=xl/calcChain.xml><?xml version="1.0" encoding="utf-8"?>
<calcChain xmlns="http://schemas.openxmlformats.org/spreadsheetml/2006/main">
  <c r="M17" i="5" l="1"/>
  <c r="L17" i="5"/>
  <c r="K17" i="5"/>
  <c r="J17" i="5"/>
  <c r="I17" i="5"/>
  <c r="H17" i="5"/>
  <c r="G17" i="5"/>
  <c r="F17" i="5"/>
  <c r="E17" i="5"/>
  <c r="D17" i="5"/>
  <c r="C17" i="5"/>
  <c r="B17" i="5"/>
  <c r="L17" i="4"/>
  <c r="K17" i="4"/>
  <c r="J17" i="4"/>
  <c r="I17" i="4"/>
  <c r="H17" i="4"/>
  <c r="G17" i="4"/>
  <c r="F17" i="4"/>
  <c r="E17" i="4"/>
  <c r="D17" i="4"/>
  <c r="C17" i="4"/>
  <c r="B17" i="4"/>
  <c r="L17" i="3"/>
  <c r="K17" i="3"/>
  <c r="J17" i="3"/>
  <c r="I17" i="3"/>
  <c r="H17" i="3"/>
  <c r="G17" i="3"/>
  <c r="F17" i="3"/>
  <c r="E17" i="3"/>
  <c r="D17" i="3"/>
  <c r="C17" i="3"/>
  <c r="B17" i="3"/>
  <c r="L17" i="2"/>
  <c r="K17" i="2"/>
  <c r="J17" i="2"/>
  <c r="I17" i="2"/>
  <c r="H17" i="2"/>
  <c r="G17" i="2"/>
  <c r="F17" i="2"/>
  <c r="E17" i="2"/>
  <c r="D17" i="2"/>
  <c r="C17" i="2"/>
  <c r="B17" i="2"/>
</calcChain>
</file>

<file path=xl/sharedStrings.xml><?xml version="1.0" encoding="utf-8"?>
<sst xmlns="http://schemas.openxmlformats.org/spreadsheetml/2006/main" count="298" uniqueCount="140">
  <si>
    <t>2022-2026 Regrind KPI Summary (Codex)</t>
  </si>
  <si>
    <t>▶ 설비가동율 = 가공시간 ÷ 근무시간  |  작업효율 = 실생산량 ÷ 표준생산량(FG:927.25, GX7:533.92)  |  양품율 = (출하량-불량) ÷ 출하량</t>
  </si>
  <si>
    <t>2026 reflects Jan-Mar YTD only.</t>
  </si>
  <si>
    <t>연도</t>
  </si>
  <si>
    <t>월</t>
  </si>
  <si>
    <t>근무일(일)</t>
  </si>
  <si>
    <t>FG가동율</t>
  </si>
  <si>
    <t>GX7가동율</t>
  </si>
  <si>
    <t>합계가동율</t>
  </si>
  <si>
    <t>FG작업효율</t>
  </si>
  <si>
    <t>GX7작업효율</t>
  </si>
  <si>
    <t>양품율</t>
  </si>
  <si>
    <t>FG생산</t>
  </si>
  <si>
    <t>GX7생산</t>
  </si>
  <si>
    <t>합계생산</t>
  </si>
  <si>
    <t>FG시간(초)</t>
  </si>
  <si>
    <t>GX7시간(초)</t>
  </si>
  <si>
    <t>출하량</t>
  </si>
  <si>
    <t>불량</t>
  </si>
  <si>
    <t>비고</t>
  </si>
  <si>
    <t>N/A</t>
  </si>
  <si>
    <t>* GX7 고장(3~22일)</t>
  </si>
  <si>
    <t>* 생산량 누락</t>
  </si>
  <si>
    <t>* 추석(3~9일)</t>
  </si>
  <si>
    <t>no source data</t>
  </si>
  <si>
    <t>2022년 재연마 KPI 상세  —  설비가동율 · 작업효율 · 양품율</t>
  </si>
  <si>
    <t>FG 표준생산량</t>
  </si>
  <si>
    <t>개/월</t>
  </si>
  <si>
    <t>GX7 표준생산량</t>
  </si>
  <si>
    <t>출처: 25년 월별 생산 실적.xlsx (2025~2026년 15개월 평균)</t>
  </si>
  <si>
    <t>⚠️ 2022년 1~10월 가공시간 원본 기록 오류 → 설비가동율 N/A  |  출하현황 5~12월만 존재 → 1~4월 양품율 N/A</t>
  </si>
  <si>
    <t>근무일</t>
  </si>
  <si>
    <t>FG 생산수량</t>
  </si>
  <si>
    <t>FG 가공시간(초)</t>
  </si>
  <si>
    <t>FG 근무시간(초)</t>
  </si>
  <si>
    <t>FG 설비가동율</t>
  </si>
  <si>
    <t>FG 작업효율</t>
  </si>
  <si>
    <t>GX7 생산수량</t>
  </si>
  <si>
    <t>GX7 가공시간(초)</t>
  </si>
  <si>
    <t>GX7 가동율</t>
  </si>
  <si>
    <t>GX7 작업효율</t>
  </si>
  <si>
    <t>합계 생산수량</t>
  </si>
  <si>
    <t>연간 평균</t>
  </si>
  <si>
    <t>2023년 재연마 KPI 상세  —  설비가동율 · 작업효율 · 양품율</t>
  </si>
  <si>
    <t>⚠️ 근무일수: 작업일지 가동일수 기준 (2024년은 참조파일 사용)</t>
  </si>
  <si>
    <t>2024년 재연마 KPI 상세  —  설비가동율 · 작업효율 · 양품율</t>
  </si>
  <si>
    <t>2025년 재연마 KPI 상세  —  설비가동율 · 작업효율 · 양품율</t>
  </si>
  <si>
    <t>2026 KPI Detail (Codex)</t>
  </si>
  <si>
    <t>Source: 25년 월별 생산 실적.xlsx / sheet 26 / author: Codex</t>
  </si>
  <si>
    <t>YTD avg (Jan-Mar)</t>
  </si>
  <si>
    <t>2022-2026 KPI Trend (Codex)</t>
  </si>
  <si>
    <t>FG 연간생산</t>
  </si>
  <si>
    <t>GX7 연간생산</t>
  </si>
  <si>
    <t>합계 생산</t>
  </si>
  <si>
    <t>FG 설비가동율(유효월)</t>
  </si>
  <si>
    <t>GX7 설비가동율(유효월)</t>
  </si>
  <si>
    <t>가동율: 1~10월 기록오류 N/A / 11~12월만 유효 / 양품율: 5~12월</t>
  </si>
  <si>
    <t>가동율+양품율 모두 유효(전체 12개월)</t>
  </si>
  <si>
    <t>Jan-Mar YTD / source: 25년 월별 생산 실적.xlsx sheet 26</t>
  </si>
  <si>
    <t>Workbook</t>
  </si>
  <si>
    <t>Codex standalone output for comparison with Claude version</t>
  </si>
  <si>
    <t>Source file</t>
  </si>
  <si>
    <t>25년 월별 생산 실적.xlsx</t>
  </si>
  <si>
    <t>Source sheet</t>
  </si>
  <si>
    <t>26</t>
  </si>
  <si>
    <t>FG standard output</t>
  </si>
  <si>
    <t>GX7 standard output</t>
  </si>
  <si>
    <t>Utilization</t>
  </si>
  <si>
    <t>processing time / work time</t>
  </si>
  <si>
    <t>Efficiency</t>
  </si>
  <si>
    <t>actual output / standard output</t>
  </si>
  <si>
    <t>Yield</t>
  </si>
  <si>
    <t>(shipment - defect) / shipment</t>
  </si>
  <si>
    <t>Coverage</t>
  </si>
  <si>
    <t>2026 Jan-Mar only; Apr-Dec are left blank because source rows are empty</t>
  </si>
  <si>
    <t>2026 Lead Time Summary (Codex)</t>
  </si>
  <si>
    <t>Metric</t>
  </si>
  <si>
    <t>Value</t>
  </si>
  <si>
    <t>26년_출하현황.xlsx</t>
  </si>
  <si>
    <t>Rule</t>
  </si>
  <si>
    <t>Order date from first 6 digits of order number (YYMMDD); lead time = ship date - order date</t>
  </si>
  <si>
    <t>Total rows</t>
  </si>
  <si>
    <t>Average lead time (days)</t>
  </si>
  <si>
    <t>Weighted average lead time (days)</t>
  </si>
  <si>
    <t>Month</t>
  </si>
  <si>
    <t>Average days</t>
  </si>
  <si>
    <t>Rows</t>
  </si>
  <si>
    <t>Weighted avg days</t>
  </si>
  <si>
    <t>2026 Lead Time by Customer (Codex)</t>
  </si>
  <si>
    <t>Customer</t>
  </si>
  <si>
    <t>Total qty</t>
  </si>
  <si>
    <t>예일공구상사</t>
  </si>
  <si>
    <t>서림툴링</t>
  </si>
  <si>
    <t>왕삼아공구</t>
  </si>
  <si>
    <t>공구백화점(미산동)</t>
  </si>
  <si>
    <t>(주)툴테크신화</t>
  </si>
  <si>
    <t>광진테크</t>
  </si>
  <si>
    <t>(주)금천종합공구(독산)</t>
  </si>
  <si>
    <t>유성테크</t>
  </si>
  <si>
    <t>제이앤티</t>
  </si>
  <si>
    <t>영창툴링</t>
  </si>
  <si>
    <t>신우툴링(남동)</t>
  </si>
  <si>
    <t>대명종합공구-코고툴(재연마)</t>
  </si>
  <si>
    <t>(주)정원테크</t>
  </si>
  <si>
    <t>(주)공화공구</t>
  </si>
  <si>
    <t>아신상사</t>
  </si>
  <si>
    <t>대륙기계공구</t>
  </si>
  <si>
    <t>건영테크(광주)</t>
  </si>
  <si>
    <t>대우툴링</t>
  </si>
  <si>
    <t>강민툴링(비봉)</t>
  </si>
  <si>
    <t>초경툴(구,성민TOOL)-코고툴</t>
  </si>
  <si>
    <t>E-tech(이테크)</t>
  </si>
  <si>
    <t>핫몰드엔지니어링주식회사-코고툴(재연마)</t>
  </si>
  <si>
    <t>원영공구(구,원영상사)</t>
  </si>
  <si>
    <t>덕원종합상사</t>
  </si>
  <si>
    <t>(주)일등정밀공구(안산)</t>
  </si>
  <si>
    <t>금성툴테크</t>
  </si>
  <si>
    <t>스마트툴스</t>
  </si>
  <si>
    <t>(주)금형티에스</t>
  </si>
  <si>
    <t>유비툴</t>
  </si>
  <si>
    <t>뉴툴(New tool)</t>
  </si>
  <si>
    <t>(주)코리아테크닉스</t>
  </si>
  <si>
    <t>아이티공구</t>
  </si>
  <si>
    <t>다영툴링</t>
  </si>
  <si>
    <t>대한초경공구</t>
  </si>
  <si>
    <t>이엠티(EMT)</t>
  </si>
  <si>
    <t>연성기공(주)</t>
  </si>
  <si>
    <t>(주)성환공구</t>
  </si>
  <si>
    <t>유진상사(문래)</t>
  </si>
  <si>
    <t>(주)바로공구(정남)</t>
  </si>
  <si>
    <t>반석공구</t>
  </si>
  <si>
    <t>유성상공사</t>
  </si>
  <si>
    <t>맨날툴이야</t>
  </si>
  <si>
    <t>(주)두영</t>
  </si>
  <si>
    <t>알제이코리아</t>
  </si>
  <si>
    <t>영우툴링(창성툴)</t>
  </si>
  <si>
    <t>(주)대일정공-코고툴</t>
  </si>
  <si>
    <t>유성종합공구</t>
  </si>
  <si>
    <t>케이엠툴링</t>
  </si>
  <si>
    <t>리드타임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</si>
</sst>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%"/>
    <numFmt numFmtId="177" formatCode="#,##0.0"/>
  </numFmts>
  <fonts count="15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i/>
      <sz val="9"/>
      <color rgb="FF444444"/>
      <name val="맑은 고딕"/>
      <family val="3"/>
      <charset val="129"/>
    </font>
    <font>
      <i/>
      <sz val="9"/>
      <color rgb="FFCC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i/>
      <sz val="9"/>
      <color rgb="FFAAAAAA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9"/>
      <name val="맑은 고딕"/>
      <family val="3"/>
      <charset val="129"/>
    </font>
    <font>
      <i/>
      <sz val="8"/>
      <color rgb="FF888888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CC66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2E75B6"/>
      </patternFill>
    </fill>
    <fill>
      <patternFill patternType="solid">
        <fgColor rgb="FFFFF0F5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F0FFF0"/>
      </patternFill>
    </fill>
    <fill>
      <patternFill patternType="solid">
        <fgColor rgb="FFF0F8FF"/>
      </patternFill>
    </fill>
    <fill>
      <patternFill patternType="solid">
        <fgColor rgb="FFFFFFF0"/>
      </patternFill>
    </fill>
    <fill>
      <patternFill patternType="solid">
        <fgColor rgb="FFFFFACD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888888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3" fontId="6" fillId="8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76" fontId="6" fillId="9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3" fontId="6" fillId="8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3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176" fontId="6" fillId="1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3" fontId="6" fillId="10" borderId="2" xfId="0" applyNumberFormat="1" applyFont="1" applyFill="1" applyBorder="1" applyAlignment="1">
      <alignment horizontal="center" vertical="center"/>
    </xf>
    <xf numFmtId="176" fontId="6" fillId="10" borderId="2" xfId="0" applyNumberFormat="1" applyFont="1" applyFill="1" applyBorder="1" applyAlignment="1">
      <alignment horizontal="center" vertical="center"/>
    </xf>
    <xf numFmtId="176" fontId="6" fillId="9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3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176" fontId="6" fillId="11" borderId="1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3" fontId="6" fillId="11" borderId="2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3" fontId="6" fillId="1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176" fontId="6" fillId="1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4" fontId="9" fillId="13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5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177" fontId="12" fillId="14" borderId="1" xfId="0" applyNumberFormat="1" applyFont="1" applyFill="1" applyBorder="1" applyAlignment="1">
      <alignment horizontal="center" vertical="center"/>
    </xf>
    <xf numFmtId="3" fontId="12" fillId="14" borderId="1" xfId="0" applyNumberFormat="1" applyFont="1" applyFill="1" applyBorder="1" applyAlignment="1">
      <alignment horizontal="center" vertical="center"/>
    </xf>
    <xf numFmtId="176" fontId="12" fillId="14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2" fontId="6" fillId="6" borderId="1" xfId="0" applyNumberFormat="1" applyFont="1" applyFill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/>
    </xf>
    <xf numFmtId="2" fontId="12" fillId="1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1" fillId="0" borderId="0" xfId="0" applyFont="1"/>
    <xf numFmtId="0" fontId="1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workbookViewId="0">
      <pane xSplit="2" ySplit="3" topLeftCell="C4" activePane="bottomRight" state="frozen"/>
      <selection pane="topRight"/>
      <selection pane="bottomLeft"/>
      <selection pane="bottomRight" sqref="A1:Q1"/>
    </sheetView>
  </sheetViews>
  <sheetFormatPr defaultRowHeight="16.5" x14ac:dyDescent="0.3"/>
  <cols>
    <col min="1" max="1" width="6" customWidth="1"/>
    <col min="2" max="2" width="4" customWidth="1"/>
    <col min="3" max="3" width="8" customWidth="1"/>
    <col min="4" max="5" width="9" customWidth="1"/>
    <col min="6" max="8" width="10" customWidth="1"/>
    <col min="9" max="12" width="9" customWidth="1"/>
    <col min="13" max="14" width="11" customWidth="1"/>
    <col min="15" max="15" width="8" customWidth="1"/>
    <col min="16" max="16" width="6" customWidth="1"/>
    <col min="17" max="17" width="16" customWidth="1"/>
  </cols>
  <sheetData>
    <row r="1" spans="1:17" ht="21.95" customHeight="1" x14ac:dyDescent="0.3">
      <c r="A1" s="67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17" ht="15" customHeight="1" x14ac:dyDescent="0.3">
      <c r="A2" s="66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</row>
    <row r="3" spans="1:17" ht="15" customHeight="1" x14ac:dyDescent="0.3">
      <c r="A3" s="64" t="s">
        <v>2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</row>
    <row r="4" spans="1:17" ht="27.95" customHeight="1" x14ac:dyDescent="0.3">
      <c r="A4" s="1" t="s">
        <v>3</v>
      </c>
      <c r="B4" s="1" t="s">
        <v>4</v>
      </c>
      <c r="C4" s="1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</row>
    <row r="5" spans="1:17" ht="17.100000000000001" customHeight="1" x14ac:dyDescent="0.3">
      <c r="A5" s="3">
        <v>2022</v>
      </c>
      <c r="B5" s="3">
        <v>1</v>
      </c>
      <c r="C5" s="4">
        <v>20</v>
      </c>
      <c r="D5" s="5" t="s">
        <v>20</v>
      </c>
      <c r="E5" s="5" t="s">
        <v>20</v>
      </c>
      <c r="F5" s="5" t="s">
        <v>20</v>
      </c>
      <c r="G5" s="6">
        <v>2.3747640873550822</v>
      </c>
      <c r="H5" s="6">
        <v>2.4666770719525521</v>
      </c>
      <c r="I5" s="5" t="s">
        <v>20</v>
      </c>
      <c r="J5" s="7">
        <v>2202</v>
      </c>
      <c r="K5" s="8">
        <v>1317</v>
      </c>
      <c r="L5" s="9">
        <v>3519</v>
      </c>
      <c r="M5" s="10"/>
      <c r="N5" s="11"/>
      <c r="O5" s="12"/>
      <c r="P5" s="12"/>
      <c r="Q5" s="13"/>
    </row>
    <row r="6" spans="1:17" ht="17.100000000000001" customHeight="1" x14ac:dyDescent="0.3">
      <c r="A6" s="3">
        <v>2022</v>
      </c>
      <c r="B6" s="3">
        <v>2</v>
      </c>
      <c r="C6" s="4">
        <v>18</v>
      </c>
      <c r="D6" s="5" t="s">
        <v>20</v>
      </c>
      <c r="E6" s="5" t="s">
        <v>20</v>
      </c>
      <c r="F6" s="5" t="s">
        <v>20</v>
      </c>
      <c r="G6" s="6">
        <v>2.008088433540038</v>
      </c>
      <c r="H6" s="6">
        <v>2.6464804120493208</v>
      </c>
      <c r="I6" s="5" t="s">
        <v>20</v>
      </c>
      <c r="J6" s="7">
        <v>1862</v>
      </c>
      <c r="K6" s="8">
        <v>1413</v>
      </c>
      <c r="L6" s="9">
        <v>3275</v>
      </c>
      <c r="M6" s="10"/>
      <c r="N6" s="11"/>
      <c r="O6" s="12"/>
      <c r="P6" s="12"/>
      <c r="Q6" s="13"/>
    </row>
    <row r="7" spans="1:17" ht="17.100000000000001" customHeight="1" x14ac:dyDescent="0.3">
      <c r="A7" s="3">
        <v>2022</v>
      </c>
      <c r="B7" s="3">
        <v>3</v>
      </c>
      <c r="C7" s="4">
        <v>17</v>
      </c>
      <c r="D7" s="5" t="s">
        <v>20</v>
      </c>
      <c r="E7" s="5" t="s">
        <v>20</v>
      </c>
      <c r="F7" s="5" t="s">
        <v>20</v>
      </c>
      <c r="G7" s="6">
        <v>1.3459153410622811</v>
      </c>
      <c r="H7" s="6">
        <v>1.455283283908225</v>
      </c>
      <c r="I7" s="5" t="s">
        <v>20</v>
      </c>
      <c r="J7" s="7">
        <v>1248</v>
      </c>
      <c r="K7" s="8">
        <v>777</v>
      </c>
      <c r="L7" s="9">
        <v>2025</v>
      </c>
      <c r="M7" s="10"/>
      <c r="N7" s="11"/>
      <c r="O7" s="12"/>
      <c r="P7" s="12"/>
      <c r="Q7" s="13"/>
    </row>
    <row r="8" spans="1:17" ht="17.100000000000001" customHeight="1" x14ac:dyDescent="0.3">
      <c r="A8" s="3">
        <v>2022</v>
      </c>
      <c r="B8" s="3">
        <v>4</v>
      </c>
      <c r="C8" s="4">
        <v>22</v>
      </c>
      <c r="D8" s="5" t="s">
        <v>20</v>
      </c>
      <c r="E8" s="5" t="s">
        <v>20</v>
      </c>
      <c r="F8" s="5" t="s">
        <v>20</v>
      </c>
      <c r="G8" s="6">
        <v>1.810730655163117</v>
      </c>
      <c r="H8" s="6">
        <v>2.1183081005150619</v>
      </c>
      <c r="I8" s="5" t="s">
        <v>20</v>
      </c>
      <c r="J8" s="7">
        <v>1679</v>
      </c>
      <c r="K8" s="8">
        <v>1131</v>
      </c>
      <c r="L8" s="9">
        <v>2810</v>
      </c>
      <c r="M8" s="10"/>
      <c r="N8" s="11"/>
      <c r="O8" s="12"/>
      <c r="P8" s="12"/>
      <c r="Q8" s="13"/>
    </row>
    <row r="9" spans="1:17" ht="17.100000000000001" customHeight="1" x14ac:dyDescent="0.3">
      <c r="A9" s="3">
        <v>2022</v>
      </c>
      <c r="B9" s="3">
        <v>5</v>
      </c>
      <c r="C9" s="4">
        <v>22</v>
      </c>
      <c r="D9" s="5" t="s">
        <v>20</v>
      </c>
      <c r="E9" s="5" t="s">
        <v>20</v>
      </c>
      <c r="F9" s="5" t="s">
        <v>20</v>
      </c>
      <c r="G9" s="6">
        <v>2.1051496360204909</v>
      </c>
      <c r="H9" s="6">
        <v>2.1670048384579368</v>
      </c>
      <c r="I9" s="6">
        <v>0.99390243902439024</v>
      </c>
      <c r="J9" s="7">
        <v>1952</v>
      </c>
      <c r="K9" s="8">
        <v>1157</v>
      </c>
      <c r="L9" s="9">
        <v>3109</v>
      </c>
      <c r="M9" s="10"/>
      <c r="N9" s="11"/>
      <c r="O9" s="4">
        <v>164</v>
      </c>
      <c r="P9" s="4">
        <v>1</v>
      </c>
      <c r="Q9" s="13"/>
    </row>
    <row r="10" spans="1:17" ht="17.100000000000001" customHeight="1" x14ac:dyDescent="0.3">
      <c r="A10" s="3">
        <v>2022</v>
      </c>
      <c r="B10" s="3">
        <v>6</v>
      </c>
      <c r="C10" s="4">
        <v>20</v>
      </c>
      <c r="D10" s="5" t="s">
        <v>20</v>
      </c>
      <c r="E10" s="5" t="s">
        <v>20</v>
      </c>
      <c r="F10" s="5" t="s">
        <v>20</v>
      </c>
      <c r="G10" s="6">
        <v>1.337287678619574</v>
      </c>
      <c r="H10" s="6">
        <v>1.408459497424692</v>
      </c>
      <c r="I10" s="6">
        <v>0.98984565393988622</v>
      </c>
      <c r="J10" s="7">
        <v>1240</v>
      </c>
      <c r="K10" s="8">
        <v>752</v>
      </c>
      <c r="L10" s="9">
        <v>1992</v>
      </c>
      <c r="M10" s="10"/>
      <c r="N10" s="11"/>
      <c r="O10" s="4">
        <v>2462</v>
      </c>
      <c r="P10" s="4">
        <v>25</v>
      </c>
      <c r="Q10" s="13"/>
    </row>
    <row r="11" spans="1:17" ht="17.100000000000001" customHeight="1" x14ac:dyDescent="0.3">
      <c r="A11" s="3">
        <v>2022</v>
      </c>
      <c r="B11" s="3">
        <v>7</v>
      </c>
      <c r="C11" s="4">
        <v>21</v>
      </c>
      <c r="D11" s="5" t="s">
        <v>20</v>
      </c>
      <c r="E11" s="5" t="s">
        <v>20</v>
      </c>
      <c r="F11" s="5" t="s">
        <v>20</v>
      </c>
      <c r="G11" s="6">
        <v>1.418172014019951</v>
      </c>
      <c r="H11" s="6">
        <v>1.5564226627126581</v>
      </c>
      <c r="I11" s="14">
        <v>0.9741242038216561</v>
      </c>
      <c r="J11" s="7">
        <v>1315</v>
      </c>
      <c r="K11" s="8">
        <v>831</v>
      </c>
      <c r="L11" s="9">
        <v>2146</v>
      </c>
      <c r="M11" s="10"/>
      <c r="N11" s="11"/>
      <c r="O11" s="4">
        <v>2512</v>
      </c>
      <c r="P11" s="4">
        <v>65</v>
      </c>
      <c r="Q11" s="13"/>
    </row>
    <row r="12" spans="1:17" ht="17.100000000000001" customHeight="1" x14ac:dyDescent="0.3">
      <c r="A12" s="3">
        <v>2022</v>
      </c>
      <c r="B12" s="3">
        <v>8</v>
      </c>
      <c r="C12" s="4">
        <v>19</v>
      </c>
      <c r="D12" s="5" t="s">
        <v>20</v>
      </c>
      <c r="E12" s="5" t="s">
        <v>20</v>
      </c>
      <c r="F12" s="5" t="s">
        <v>20</v>
      </c>
      <c r="G12" s="6">
        <v>1.193852790509571</v>
      </c>
      <c r="H12" s="6">
        <v>1.2455127204619949</v>
      </c>
      <c r="I12" s="6">
        <v>0.99058622165169019</v>
      </c>
      <c r="J12" s="7">
        <v>1107</v>
      </c>
      <c r="K12" s="8">
        <v>665</v>
      </c>
      <c r="L12" s="9">
        <v>1772</v>
      </c>
      <c r="M12" s="10"/>
      <c r="N12" s="11"/>
      <c r="O12" s="4">
        <v>2337</v>
      </c>
      <c r="P12" s="4">
        <v>22</v>
      </c>
      <c r="Q12" s="13"/>
    </row>
    <row r="13" spans="1:17" ht="17.100000000000001" customHeight="1" x14ac:dyDescent="0.3">
      <c r="A13" s="3">
        <v>2022</v>
      </c>
      <c r="B13" s="3">
        <v>9</v>
      </c>
      <c r="C13" s="4">
        <v>19</v>
      </c>
      <c r="D13" s="5" t="s">
        <v>20</v>
      </c>
      <c r="E13" s="5" t="s">
        <v>20</v>
      </c>
      <c r="F13" s="5" t="s">
        <v>20</v>
      </c>
      <c r="G13" s="6">
        <v>0.95874898894580751</v>
      </c>
      <c r="H13" s="6">
        <v>1.0338692055564229</v>
      </c>
      <c r="I13" s="6">
        <v>0.99679487179487181</v>
      </c>
      <c r="J13" s="7">
        <v>889</v>
      </c>
      <c r="K13" s="8">
        <v>552</v>
      </c>
      <c r="L13" s="9">
        <v>1441</v>
      </c>
      <c r="M13" s="10"/>
      <c r="N13" s="11"/>
      <c r="O13" s="4">
        <v>1560</v>
      </c>
      <c r="P13" s="4">
        <v>5</v>
      </c>
      <c r="Q13" s="13"/>
    </row>
    <row r="14" spans="1:17" ht="17.100000000000001" customHeight="1" x14ac:dyDescent="0.3">
      <c r="A14" s="3">
        <v>2022</v>
      </c>
      <c r="B14" s="3">
        <v>10</v>
      </c>
      <c r="C14" s="4">
        <v>18</v>
      </c>
      <c r="D14" s="5" t="s">
        <v>20</v>
      </c>
      <c r="E14" s="5" t="s">
        <v>20</v>
      </c>
      <c r="F14" s="5" t="s">
        <v>20</v>
      </c>
      <c r="G14" s="6">
        <v>1.1949312483149099</v>
      </c>
      <c r="H14" s="6">
        <v>1.4627750897455909</v>
      </c>
      <c r="I14" s="6">
        <v>0.99050203527815472</v>
      </c>
      <c r="J14" s="7">
        <v>1108</v>
      </c>
      <c r="K14" s="8">
        <v>781</v>
      </c>
      <c r="L14" s="9">
        <v>1889</v>
      </c>
      <c r="M14" s="10"/>
      <c r="N14" s="11"/>
      <c r="O14" s="4">
        <v>2211</v>
      </c>
      <c r="P14" s="4">
        <v>21</v>
      </c>
      <c r="Q14" s="13"/>
    </row>
    <row r="15" spans="1:17" ht="17.100000000000001" customHeight="1" x14ac:dyDescent="0.3">
      <c r="A15" s="3">
        <v>2022</v>
      </c>
      <c r="B15" s="3">
        <v>11</v>
      </c>
      <c r="C15" s="4">
        <v>22</v>
      </c>
      <c r="D15" s="6">
        <v>0.47285353535353541</v>
      </c>
      <c r="E15" s="6">
        <v>0.355145202020202</v>
      </c>
      <c r="F15" s="6">
        <v>0.82799873737373741</v>
      </c>
      <c r="G15" s="6">
        <v>1.3200323537341601</v>
      </c>
      <c r="H15" s="6">
        <v>1.3560168565631341</v>
      </c>
      <c r="I15" s="14">
        <v>0.98134511536573388</v>
      </c>
      <c r="J15" s="7">
        <v>1224</v>
      </c>
      <c r="K15" s="8">
        <v>724</v>
      </c>
      <c r="L15" s="9">
        <v>1948</v>
      </c>
      <c r="M15" s="7">
        <v>299600</v>
      </c>
      <c r="N15" s="8">
        <v>225020</v>
      </c>
      <c r="O15" s="4">
        <v>2037</v>
      </c>
      <c r="P15" s="4">
        <v>38</v>
      </c>
      <c r="Q15" s="13"/>
    </row>
    <row r="16" spans="1:17" ht="17.100000000000001" customHeight="1" x14ac:dyDescent="0.3">
      <c r="A16" s="15">
        <v>2022</v>
      </c>
      <c r="B16" s="15">
        <v>12</v>
      </c>
      <c r="C16" s="16">
        <v>22</v>
      </c>
      <c r="D16" s="17">
        <v>0.31493055555555549</v>
      </c>
      <c r="E16" s="17">
        <v>0.24094065656565661</v>
      </c>
      <c r="F16" s="17">
        <v>0.55587121212121215</v>
      </c>
      <c r="G16" s="18">
        <v>0.82933405230520352</v>
      </c>
      <c r="H16" s="18">
        <v>0.93460277821133142</v>
      </c>
      <c r="I16" s="19">
        <v>0.98815931108719057</v>
      </c>
      <c r="J16" s="20">
        <v>769</v>
      </c>
      <c r="K16" s="21">
        <v>499</v>
      </c>
      <c r="L16" s="22">
        <v>1268</v>
      </c>
      <c r="M16" s="20">
        <v>199540</v>
      </c>
      <c r="N16" s="21">
        <v>152660</v>
      </c>
      <c r="O16" s="16">
        <v>1858</v>
      </c>
      <c r="P16" s="16">
        <v>22</v>
      </c>
      <c r="Q16" s="23"/>
    </row>
    <row r="17" spans="1:17" ht="17.100000000000001" customHeight="1" x14ac:dyDescent="0.3">
      <c r="A17" s="24">
        <v>2023</v>
      </c>
      <c r="B17" s="24">
        <v>1</v>
      </c>
      <c r="C17" s="25">
        <v>18</v>
      </c>
      <c r="D17" s="6">
        <v>0.47492283950617292</v>
      </c>
      <c r="E17" s="6">
        <v>0.31361882716049377</v>
      </c>
      <c r="F17" s="6">
        <v>0.7885416666666667</v>
      </c>
      <c r="G17" s="6">
        <v>0.96414127797249938</v>
      </c>
      <c r="H17" s="6">
        <v>1.208053691275168</v>
      </c>
      <c r="I17" s="14">
        <v>0.97571606475716066</v>
      </c>
      <c r="J17" s="7">
        <v>894</v>
      </c>
      <c r="K17" s="8">
        <v>645</v>
      </c>
      <c r="L17" s="9">
        <v>1539</v>
      </c>
      <c r="M17" s="7">
        <v>246200</v>
      </c>
      <c r="N17" s="8">
        <v>162580</v>
      </c>
      <c r="O17" s="25">
        <v>1606</v>
      </c>
      <c r="P17" s="25">
        <v>39</v>
      </c>
      <c r="Q17" s="26"/>
    </row>
    <row r="18" spans="1:17" ht="17.100000000000001" customHeight="1" x14ac:dyDescent="0.3">
      <c r="A18" s="24">
        <v>2023</v>
      </c>
      <c r="B18" s="24">
        <v>2</v>
      </c>
      <c r="C18" s="25">
        <v>20</v>
      </c>
      <c r="D18" s="6">
        <v>0.68338541666666663</v>
      </c>
      <c r="E18" s="6">
        <v>0.4654861111111111</v>
      </c>
      <c r="F18" s="6">
        <v>1.1488715277777779</v>
      </c>
      <c r="G18" s="6">
        <v>1.6532758155837151</v>
      </c>
      <c r="H18" s="6">
        <v>1.5845169346027781</v>
      </c>
      <c r="I18" s="6">
        <v>0.98992248062015509</v>
      </c>
      <c r="J18" s="7">
        <v>1533</v>
      </c>
      <c r="K18" s="8">
        <v>846</v>
      </c>
      <c r="L18" s="9">
        <v>2379</v>
      </c>
      <c r="M18" s="7">
        <v>393630</v>
      </c>
      <c r="N18" s="8">
        <v>268120</v>
      </c>
      <c r="O18" s="25">
        <v>2580</v>
      </c>
      <c r="P18" s="25">
        <v>26</v>
      </c>
      <c r="Q18" s="26"/>
    </row>
    <row r="19" spans="1:17" ht="17.100000000000001" customHeight="1" x14ac:dyDescent="0.3">
      <c r="A19" s="24">
        <v>2023</v>
      </c>
      <c r="B19" s="24">
        <v>3</v>
      </c>
      <c r="C19" s="25">
        <v>21</v>
      </c>
      <c r="D19" s="6">
        <v>0.42023809523809519</v>
      </c>
      <c r="E19" s="6">
        <v>0.37362764550264549</v>
      </c>
      <c r="F19" s="6">
        <v>0.79386574074074079</v>
      </c>
      <c r="G19" s="6">
        <v>1.0741439741170129</v>
      </c>
      <c r="H19" s="6">
        <v>1.2342750117059469</v>
      </c>
      <c r="I19" s="14">
        <v>0.97649484536082476</v>
      </c>
      <c r="J19" s="7">
        <v>996</v>
      </c>
      <c r="K19" s="8">
        <v>659</v>
      </c>
      <c r="L19" s="9">
        <v>1655</v>
      </c>
      <c r="M19" s="7">
        <v>254160</v>
      </c>
      <c r="N19" s="8">
        <v>225970</v>
      </c>
      <c r="O19" s="25">
        <v>2425</v>
      </c>
      <c r="P19" s="25">
        <v>57</v>
      </c>
      <c r="Q19" s="26"/>
    </row>
    <row r="20" spans="1:17" ht="17.100000000000001" customHeight="1" x14ac:dyDescent="0.3">
      <c r="A20" s="24">
        <v>2023</v>
      </c>
      <c r="B20" s="24">
        <v>4</v>
      </c>
      <c r="C20" s="25">
        <v>22</v>
      </c>
      <c r="D20" s="27">
        <v>0.36354166666666671</v>
      </c>
      <c r="E20" s="27">
        <v>0.27998737373737381</v>
      </c>
      <c r="F20" s="27">
        <v>0.64352904040404035</v>
      </c>
      <c r="G20" s="6">
        <v>1.177675923429496</v>
      </c>
      <c r="H20" s="6">
        <v>1.0469798657718119</v>
      </c>
      <c r="I20" s="6">
        <v>0.99118079372856438</v>
      </c>
      <c r="J20" s="7">
        <v>1092</v>
      </c>
      <c r="K20" s="8">
        <v>559</v>
      </c>
      <c r="L20" s="9">
        <v>1651</v>
      </c>
      <c r="M20" s="7">
        <v>230340</v>
      </c>
      <c r="N20" s="8">
        <v>177400</v>
      </c>
      <c r="O20" s="25">
        <v>2041</v>
      </c>
      <c r="P20" s="25">
        <v>18</v>
      </c>
      <c r="Q20" s="26"/>
    </row>
    <row r="21" spans="1:17" ht="17.100000000000001" customHeight="1" x14ac:dyDescent="0.3">
      <c r="A21" s="24">
        <v>2023</v>
      </c>
      <c r="B21" s="24">
        <v>5</v>
      </c>
      <c r="C21" s="25">
        <v>20</v>
      </c>
      <c r="D21" s="27">
        <v>0.31439583333333332</v>
      </c>
      <c r="E21" s="27">
        <v>0.2898715277777778</v>
      </c>
      <c r="F21" s="27">
        <v>0.60426736111111112</v>
      </c>
      <c r="G21" s="28">
        <v>0.83472634133189538</v>
      </c>
      <c r="H21" s="28">
        <v>0.90088965194318715</v>
      </c>
      <c r="I21" s="14">
        <v>0.97628032345013482</v>
      </c>
      <c r="J21" s="7">
        <v>774</v>
      </c>
      <c r="K21" s="8">
        <v>481</v>
      </c>
      <c r="L21" s="9">
        <v>1255</v>
      </c>
      <c r="M21" s="7">
        <v>181092</v>
      </c>
      <c r="N21" s="8">
        <v>166966</v>
      </c>
      <c r="O21" s="25">
        <v>1855</v>
      </c>
      <c r="P21" s="25">
        <v>44</v>
      </c>
      <c r="Q21" s="26"/>
    </row>
    <row r="22" spans="1:17" ht="17.100000000000001" customHeight="1" x14ac:dyDescent="0.3">
      <c r="A22" s="24">
        <v>2023</v>
      </c>
      <c r="B22" s="24">
        <v>6</v>
      </c>
      <c r="C22" s="25">
        <v>21</v>
      </c>
      <c r="D22" s="6">
        <v>0.42028769841269842</v>
      </c>
      <c r="E22" s="6">
        <v>0.29292493386243379</v>
      </c>
      <c r="F22" s="6">
        <v>0.71321263227513221</v>
      </c>
      <c r="G22" s="6">
        <v>1.3124831490967921</v>
      </c>
      <c r="H22" s="6">
        <v>0.97393475885749969</v>
      </c>
      <c r="I22" s="14">
        <v>0.98397976391231023</v>
      </c>
      <c r="J22" s="7">
        <v>1217</v>
      </c>
      <c r="K22" s="8">
        <v>520</v>
      </c>
      <c r="L22" s="9">
        <v>1737</v>
      </c>
      <c r="M22" s="7">
        <v>254190</v>
      </c>
      <c r="N22" s="8">
        <v>177161</v>
      </c>
      <c r="O22" s="25">
        <v>2372</v>
      </c>
      <c r="P22" s="25">
        <v>38</v>
      </c>
      <c r="Q22" s="26"/>
    </row>
    <row r="23" spans="1:17" ht="17.100000000000001" customHeight="1" x14ac:dyDescent="0.3">
      <c r="A23" s="24">
        <v>2023</v>
      </c>
      <c r="B23" s="24">
        <v>7</v>
      </c>
      <c r="C23" s="25">
        <v>18</v>
      </c>
      <c r="D23" s="14">
        <v>0.25939043209876539</v>
      </c>
      <c r="E23" s="14">
        <v>0.18781442901234571</v>
      </c>
      <c r="F23" s="14">
        <v>0.44720486111111107</v>
      </c>
      <c r="G23" s="14">
        <v>0.66540846589377189</v>
      </c>
      <c r="H23" s="14">
        <v>0.57312314655845176</v>
      </c>
      <c r="I23" s="14">
        <v>0.96026894865525669</v>
      </c>
      <c r="J23" s="7">
        <v>617</v>
      </c>
      <c r="K23" s="8">
        <v>306</v>
      </c>
      <c r="L23" s="9">
        <v>923</v>
      </c>
      <c r="M23" s="7">
        <v>134468</v>
      </c>
      <c r="N23" s="8">
        <v>97363</v>
      </c>
      <c r="O23" s="25">
        <v>1636</v>
      </c>
      <c r="P23" s="25">
        <v>65</v>
      </c>
      <c r="Q23" s="26"/>
    </row>
    <row r="24" spans="1:17" ht="17.100000000000001" customHeight="1" x14ac:dyDescent="0.3">
      <c r="A24" s="24">
        <v>2023</v>
      </c>
      <c r="B24" s="24">
        <v>8</v>
      </c>
      <c r="C24" s="25">
        <v>21</v>
      </c>
      <c r="D24" s="6">
        <v>0.45243716931216932</v>
      </c>
      <c r="E24" s="6">
        <v>0.28725859788359792</v>
      </c>
      <c r="F24" s="6">
        <v>0.73969576719576713</v>
      </c>
      <c r="G24" s="6">
        <v>1.230520355891076</v>
      </c>
      <c r="H24" s="6">
        <v>0.98704541907288912</v>
      </c>
      <c r="I24" s="14">
        <v>0.97418335089567965</v>
      </c>
      <c r="J24" s="7">
        <v>1141</v>
      </c>
      <c r="K24" s="8">
        <v>527</v>
      </c>
      <c r="L24" s="9">
        <v>1668</v>
      </c>
      <c r="M24" s="7">
        <v>273634</v>
      </c>
      <c r="N24" s="8">
        <v>173734</v>
      </c>
      <c r="O24" s="25">
        <v>1898</v>
      </c>
      <c r="P24" s="25">
        <v>49</v>
      </c>
      <c r="Q24" s="26"/>
    </row>
    <row r="25" spans="1:17" ht="17.100000000000001" customHeight="1" x14ac:dyDescent="0.3">
      <c r="A25" s="24">
        <v>2023</v>
      </c>
      <c r="B25" s="24">
        <v>9</v>
      </c>
      <c r="C25" s="25">
        <v>18</v>
      </c>
      <c r="D25" s="6">
        <v>0.34823109567901228</v>
      </c>
      <c r="E25" s="6">
        <v>0.31380401234567901</v>
      </c>
      <c r="F25" s="6">
        <v>0.66203510802469134</v>
      </c>
      <c r="G25" s="28">
        <v>0.83041251011054196</v>
      </c>
      <c r="H25" s="28">
        <v>0.87841423443109101</v>
      </c>
      <c r="I25" s="6">
        <v>0.98757763975155277</v>
      </c>
      <c r="J25" s="7">
        <v>770</v>
      </c>
      <c r="K25" s="8">
        <v>469</v>
      </c>
      <c r="L25" s="9">
        <v>1239</v>
      </c>
      <c r="M25" s="7">
        <v>180523</v>
      </c>
      <c r="N25" s="8">
        <v>162676</v>
      </c>
      <c r="O25" s="25">
        <v>1610</v>
      </c>
      <c r="P25" s="25">
        <v>20</v>
      </c>
      <c r="Q25" s="26"/>
    </row>
    <row r="26" spans="1:17" ht="17.100000000000001" customHeight="1" x14ac:dyDescent="0.3">
      <c r="A26" s="24">
        <v>2023</v>
      </c>
      <c r="B26" s="24">
        <v>10</v>
      </c>
      <c r="C26" s="25">
        <v>19</v>
      </c>
      <c r="D26" s="27">
        <v>0.35056103801169591</v>
      </c>
      <c r="E26" s="27">
        <v>0.29240314327485378</v>
      </c>
      <c r="F26" s="27">
        <v>0.64296418128654964</v>
      </c>
      <c r="G26" s="28">
        <v>0.84227554596926391</v>
      </c>
      <c r="H26" s="28">
        <v>0.927110972373966</v>
      </c>
      <c r="I26" s="6">
        <v>0.9867776689520078</v>
      </c>
      <c r="J26" s="7">
        <v>781</v>
      </c>
      <c r="K26" s="8">
        <v>495</v>
      </c>
      <c r="L26" s="9">
        <v>1276</v>
      </c>
      <c r="M26" s="7">
        <v>191827</v>
      </c>
      <c r="N26" s="8">
        <v>160003</v>
      </c>
      <c r="O26" s="25">
        <v>2042</v>
      </c>
      <c r="P26" s="25">
        <v>27</v>
      </c>
      <c r="Q26" s="26"/>
    </row>
    <row r="27" spans="1:17" ht="17.100000000000001" customHeight="1" x14ac:dyDescent="0.3">
      <c r="A27" s="24">
        <v>2023</v>
      </c>
      <c r="B27" s="24">
        <v>11</v>
      </c>
      <c r="C27" s="25">
        <v>22</v>
      </c>
      <c r="D27" s="27">
        <v>0.26759627525252527</v>
      </c>
      <c r="E27" s="27">
        <v>0.25401041666666668</v>
      </c>
      <c r="F27" s="27">
        <v>0.52160669191919196</v>
      </c>
      <c r="G27" s="28">
        <v>0.84766783499595577</v>
      </c>
      <c r="H27" s="28">
        <v>0.79975027313875457</v>
      </c>
      <c r="I27" s="6">
        <v>0.98748577929465298</v>
      </c>
      <c r="J27" s="7">
        <v>786</v>
      </c>
      <c r="K27" s="8">
        <v>427</v>
      </c>
      <c r="L27" s="9">
        <v>1213</v>
      </c>
      <c r="M27" s="7">
        <v>169549</v>
      </c>
      <c r="N27" s="8">
        <v>160941</v>
      </c>
      <c r="O27" s="25">
        <v>1758</v>
      </c>
      <c r="P27" s="25">
        <v>22</v>
      </c>
      <c r="Q27" s="26"/>
    </row>
    <row r="28" spans="1:17" ht="17.100000000000001" customHeight="1" x14ac:dyDescent="0.3">
      <c r="A28" s="29">
        <v>2023</v>
      </c>
      <c r="B28" s="29">
        <v>12</v>
      </c>
      <c r="C28" s="30">
        <v>19</v>
      </c>
      <c r="D28" s="31">
        <v>0.2862719298245614</v>
      </c>
      <c r="E28" s="31">
        <v>0.29506944444444438</v>
      </c>
      <c r="F28" s="31">
        <v>0.58134137426900589</v>
      </c>
      <c r="G28" s="32">
        <v>0.61795632245888377</v>
      </c>
      <c r="H28" s="32">
        <v>0.79787732167941317</v>
      </c>
      <c r="I28" s="19">
        <v>0.99565756823821339</v>
      </c>
      <c r="J28" s="20">
        <v>573</v>
      </c>
      <c r="K28" s="21">
        <v>426</v>
      </c>
      <c r="L28" s="22">
        <v>999</v>
      </c>
      <c r="M28" s="20">
        <v>156648</v>
      </c>
      <c r="N28" s="21">
        <v>161462</v>
      </c>
      <c r="O28" s="30">
        <v>1612</v>
      </c>
      <c r="P28" s="30">
        <v>7</v>
      </c>
      <c r="Q28" s="33"/>
    </row>
    <row r="29" spans="1:17" ht="17.100000000000001" customHeight="1" x14ac:dyDescent="0.3">
      <c r="A29" s="34">
        <v>2024</v>
      </c>
      <c r="B29" s="34">
        <v>1</v>
      </c>
      <c r="C29" s="35">
        <v>20</v>
      </c>
      <c r="D29" s="6">
        <v>0.42898263888888888</v>
      </c>
      <c r="E29" s="6">
        <v>0.32089930555555563</v>
      </c>
      <c r="F29" s="6">
        <v>0.74988194444444445</v>
      </c>
      <c r="G29" s="6">
        <v>1.0612024804529521</v>
      </c>
      <c r="H29" s="6">
        <v>1.0525987201498359</v>
      </c>
      <c r="I29" s="6">
        <v>0.99579390115667721</v>
      </c>
      <c r="J29" s="7">
        <v>984</v>
      </c>
      <c r="K29" s="8">
        <v>562</v>
      </c>
      <c r="L29" s="9">
        <v>1546</v>
      </c>
      <c r="M29" s="7">
        <v>247094</v>
      </c>
      <c r="N29" s="8">
        <v>184838</v>
      </c>
      <c r="O29" s="35">
        <v>1902</v>
      </c>
      <c r="P29" s="35">
        <v>8</v>
      </c>
      <c r="Q29" s="36"/>
    </row>
    <row r="30" spans="1:17" ht="17.100000000000001" customHeight="1" x14ac:dyDescent="0.3">
      <c r="A30" s="34">
        <v>2024</v>
      </c>
      <c r="B30" s="34">
        <v>2</v>
      </c>
      <c r="C30" s="35">
        <v>19</v>
      </c>
      <c r="D30" s="6">
        <v>0.37326206140350882</v>
      </c>
      <c r="E30" s="6">
        <v>0.37331140350877201</v>
      </c>
      <c r="F30" s="6">
        <v>0.74657346491228072</v>
      </c>
      <c r="G30" s="6">
        <v>0.93394445942302506</v>
      </c>
      <c r="H30" s="6">
        <v>1.073201186202591</v>
      </c>
      <c r="I30" s="6">
        <v>0.9971910112359551</v>
      </c>
      <c r="J30" s="7">
        <v>866</v>
      </c>
      <c r="K30" s="8">
        <v>573</v>
      </c>
      <c r="L30" s="9">
        <v>1439</v>
      </c>
      <c r="M30" s="7">
        <v>204249</v>
      </c>
      <c r="N30" s="8">
        <v>204276</v>
      </c>
      <c r="O30" s="35">
        <v>1780</v>
      </c>
      <c r="P30" s="35">
        <v>5</v>
      </c>
      <c r="Q30" s="36"/>
    </row>
    <row r="31" spans="1:17" ht="17.100000000000001" customHeight="1" x14ac:dyDescent="0.3">
      <c r="A31" s="34">
        <v>2024</v>
      </c>
      <c r="B31" s="34">
        <v>3</v>
      </c>
      <c r="C31" s="35">
        <v>19</v>
      </c>
      <c r="D31" s="6">
        <v>0.35342653508771932</v>
      </c>
      <c r="E31" s="6">
        <v>0.34947551169590652</v>
      </c>
      <c r="F31" s="6">
        <v>0.70290204678362578</v>
      </c>
      <c r="G31" s="6">
        <v>0.91992450795362635</v>
      </c>
      <c r="H31" s="6">
        <v>1.067582331824567</v>
      </c>
      <c r="I31" s="6">
        <v>0.99538977367979886</v>
      </c>
      <c r="J31" s="7">
        <v>853</v>
      </c>
      <c r="K31" s="8">
        <v>570</v>
      </c>
      <c r="L31" s="9">
        <v>1423</v>
      </c>
      <c r="M31" s="7">
        <v>193395</v>
      </c>
      <c r="N31" s="8">
        <v>191233</v>
      </c>
      <c r="O31" s="35">
        <v>2386</v>
      </c>
      <c r="P31" s="35">
        <v>11</v>
      </c>
      <c r="Q31" s="36"/>
    </row>
    <row r="32" spans="1:17" ht="17.100000000000001" customHeight="1" x14ac:dyDescent="0.3">
      <c r="A32" s="34">
        <v>2024</v>
      </c>
      <c r="B32" s="34">
        <v>4</v>
      </c>
      <c r="C32" s="35">
        <v>20</v>
      </c>
      <c r="D32" s="37">
        <v>0.3175972222222222</v>
      </c>
      <c r="E32" s="37">
        <v>0.32752256944444452</v>
      </c>
      <c r="F32" s="37">
        <v>0.64511979166666666</v>
      </c>
      <c r="G32" s="28">
        <v>0.81315718522512803</v>
      </c>
      <c r="H32" s="28">
        <v>1.1144061183081011</v>
      </c>
      <c r="I32" s="14">
        <v>0.97679216090768439</v>
      </c>
      <c r="J32" s="7">
        <v>754</v>
      </c>
      <c r="K32" s="8">
        <v>595</v>
      </c>
      <c r="L32" s="9">
        <v>1349</v>
      </c>
      <c r="M32" s="7">
        <v>182936</v>
      </c>
      <c r="N32" s="8">
        <v>188653</v>
      </c>
      <c r="O32" s="35">
        <v>1939</v>
      </c>
      <c r="P32" s="35">
        <v>45</v>
      </c>
      <c r="Q32" s="36"/>
    </row>
    <row r="33" spans="1:17" ht="17.100000000000001" customHeight="1" x14ac:dyDescent="0.3">
      <c r="A33" s="34">
        <v>2024</v>
      </c>
      <c r="B33" s="34">
        <v>5</v>
      </c>
      <c r="C33" s="35">
        <v>20</v>
      </c>
      <c r="D33" s="37">
        <v>0.36025000000000001</v>
      </c>
      <c r="E33" s="37">
        <v>0.25074479166666669</v>
      </c>
      <c r="F33" s="37">
        <v>0.6109947916666667</v>
      </c>
      <c r="G33" s="28">
        <v>0.91561067673227281</v>
      </c>
      <c r="H33" s="28">
        <v>0.82784454502887472</v>
      </c>
      <c r="I33" s="6">
        <v>0.99457326097681298</v>
      </c>
      <c r="J33" s="7">
        <v>849</v>
      </c>
      <c r="K33" s="8">
        <v>442</v>
      </c>
      <c r="L33" s="9">
        <v>1291</v>
      </c>
      <c r="M33" s="7">
        <v>207504</v>
      </c>
      <c r="N33" s="8">
        <v>144429</v>
      </c>
      <c r="O33" s="35">
        <v>2027</v>
      </c>
      <c r="P33" s="35">
        <v>11</v>
      </c>
      <c r="Q33" s="36"/>
    </row>
    <row r="34" spans="1:17" ht="17.100000000000001" customHeight="1" x14ac:dyDescent="0.3">
      <c r="A34" s="34">
        <v>2024</v>
      </c>
      <c r="B34" s="34">
        <v>6</v>
      </c>
      <c r="C34" s="35">
        <v>19</v>
      </c>
      <c r="D34" s="14">
        <v>0.1013870614035088</v>
      </c>
      <c r="E34" s="14">
        <v>8.8563596491228067E-2</v>
      </c>
      <c r="F34" s="14">
        <v>0.18995065789473681</v>
      </c>
      <c r="G34" s="28">
        <v>0.72148827177136698</v>
      </c>
      <c r="H34" s="28">
        <v>0.73419697206180745</v>
      </c>
      <c r="I34" s="6">
        <v>0.99011997177134792</v>
      </c>
      <c r="J34" s="7">
        <v>669</v>
      </c>
      <c r="K34" s="8">
        <v>392</v>
      </c>
      <c r="L34" s="9">
        <v>1061</v>
      </c>
      <c r="M34" s="7">
        <v>55479</v>
      </c>
      <c r="N34" s="8">
        <v>48462</v>
      </c>
      <c r="O34" s="35">
        <v>1417</v>
      </c>
      <c r="P34" s="35">
        <v>14</v>
      </c>
      <c r="Q34" s="36"/>
    </row>
    <row r="35" spans="1:17" ht="17.100000000000001" customHeight="1" x14ac:dyDescent="0.3">
      <c r="A35" s="34">
        <v>2024</v>
      </c>
      <c r="B35" s="34">
        <v>7</v>
      </c>
      <c r="C35" s="35">
        <v>21</v>
      </c>
      <c r="D35" s="14">
        <v>0.2036243386243386</v>
      </c>
      <c r="E35" s="14">
        <v>0.12205687830687829</v>
      </c>
      <c r="F35" s="14">
        <v>0.32568121693121688</v>
      </c>
      <c r="G35" s="28">
        <v>0.7053114046912915</v>
      </c>
      <c r="H35" s="28">
        <v>0.87654128297174971</v>
      </c>
      <c r="I35" s="6">
        <v>0.99100719424460426</v>
      </c>
      <c r="J35" s="7">
        <v>654</v>
      </c>
      <c r="K35" s="8">
        <v>468</v>
      </c>
      <c r="L35" s="9">
        <v>1122</v>
      </c>
      <c r="M35" s="7">
        <v>123152</v>
      </c>
      <c r="N35" s="8">
        <v>73820</v>
      </c>
      <c r="O35" s="35">
        <v>1668</v>
      </c>
      <c r="P35" s="35">
        <v>15</v>
      </c>
      <c r="Q35" s="36"/>
    </row>
    <row r="36" spans="1:17" ht="17.100000000000001" customHeight="1" x14ac:dyDescent="0.3">
      <c r="A36" s="34">
        <v>2024</v>
      </c>
      <c r="B36" s="34">
        <v>8</v>
      </c>
      <c r="C36" s="35">
        <v>18</v>
      </c>
      <c r="D36" s="14">
        <v>0.16262731481481479</v>
      </c>
      <c r="E36" s="14">
        <v>0.11867476851851851</v>
      </c>
      <c r="F36" s="14">
        <v>0.28130208333333329</v>
      </c>
      <c r="G36" s="14">
        <v>0.59207333513076299</v>
      </c>
      <c r="H36" s="14">
        <v>0.98517246761354771</v>
      </c>
      <c r="I36" s="6">
        <v>0.99934340118187792</v>
      </c>
      <c r="J36" s="7">
        <v>549</v>
      </c>
      <c r="K36" s="8">
        <v>526</v>
      </c>
      <c r="L36" s="9">
        <v>1075</v>
      </c>
      <c r="M36" s="7">
        <v>84306</v>
      </c>
      <c r="N36" s="8">
        <v>61521</v>
      </c>
      <c r="O36" s="35">
        <v>1523</v>
      </c>
      <c r="P36" s="35">
        <v>1</v>
      </c>
      <c r="Q36" s="36"/>
    </row>
    <row r="37" spans="1:17" ht="17.100000000000001" customHeight="1" x14ac:dyDescent="0.3">
      <c r="A37" s="34">
        <v>2024</v>
      </c>
      <c r="B37" s="34">
        <v>9</v>
      </c>
      <c r="C37" s="35">
        <v>22</v>
      </c>
      <c r="D37" s="14">
        <v>0.19535353535353539</v>
      </c>
      <c r="E37" s="14">
        <v>0.1695628156565657</v>
      </c>
      <c r="F37" s="14">
        <v>0.364916351010101</v>
      </c>
      <c r="G37" s="28">
        <v>0.70099757346993796</v>
      </c>
      <c r="H37" s="28">
        <v>0.97393475885749969</v>
      </c>
      <c r="I37" s="6">
        <v>0.99309868875086271</v>
      </c>
      <c r="J37" s="7">
        <v>650</v>
      </c>
      <c r="K37" s="8">
        <v>520</v>
      </c>
      <c r="L37" s="9">
        <v>1170</v>
      </c>
      <c r="M37" s="7">
        <v>123776</v>
      </c>
      <c r="N37" s="8">
        <v>107435</v>
      </c>
      <c r="O37" s="35">
        <v>1449</v>
      </c>
      <c r="P37" s="35">
        <v>10</v>
      </c>
      <c r="Q37" s="36"/>
    </row>
    <row r="38" spans="1:17" ht="17.100000000000001" customHeight="1" x14ac:dyDescent="0.3">
      <c r="A38" s="34">
        <v>2024</v>
      </c>
      <c r="B38" s="34">
        <v>10</v>
      </c>
      <c r="C38" s="35">
        <v>18</v>
      </c>
      <c r="D38" s="37">
        <v>0.3249826388888889</v>
      </c>
      <c r="E38" s="37">
        <v>0.28453125000000001</v>
      </c>
      <c r="F38" s="37">
        <v>0.60951388888888891</v>
      </c>
      <c r="G38" s="28">
        <v>0.77325424642760854</v>
      </c>
      <c r="H38" s="28">
        <v>0.90276260340252856</v>
      </c>
      <c r="I38" s="6">
        <v>0.99110807113543087</v>
      </c>
      <c r="J38" s="7">
        <v>717</v>
      </c>
      <c r="K38" s="8">
        <v>482</v>
      </c>
      <c r="L38" s="9">
        <v>1199</v>
      </c>
      <c r="M38" s="7">
        <v>168471</v>
      </c>
      <c r="N38" s="8">
        <v>147501</v>
      </c>
      <c r="O38" s="35">
        <v>1462</v>
      </c>
      <c r="P38" s="35">
        <v>13</v>
      </c>
      <c r="Q38" s="36"/>
    </row>
    <row r="39" spans="1:17" ht="17.100000000000001" customHeight="1" x14ac:dyDescent="0.3">
      <c r="A39" s="34">
        <v>2024</v>
      </c>
      <c r="B39" s="34">
        <v>11</v>
      </c>
      <c r="C39" s="35">
        <v>24</v>
      </c>
      <c r="D39" s="14">
        <v>0.1636053240740741</v>
      </c>
      <c r="E39" s="14">
        <v>0.14044994212962961</v>
      </c>
      <c r="F39" s="14">
        <v>0.30405526620370371</v>
      </c>
      <c r="G39" s="28">
        <v>0.70638986249662983</v>
      </c>
      <c r="H39" s="28">
        <v>0.77727485562665843</v>
      </c>
      <c r="I39" s="6">
        <v>0.99311075781664016</v>
      </c>
      <c r="J39" s="7">
        <v>655</v>
      </c>
      <c r="K39" s="8">
        <v>415</v>
      </c>
      <c r="L39" s="9">
        <v>1070</v>
      </c>
      <c r="M39" s="7">
        <v>113084</v>
      </c>
      <c r="N39" s="8">
        <v>97079</v>
      </c>
      <c r="O39" s="35">
        <v>1887</v>
      </c>
      <c r="P39" s="35">
        <v>13</v>
      </c>
      <c r="Q39" s="36"/>
    </row>
    <row r="40" spans="1:17" ht="17.100000000000001" customHeight="1" x14ac:dyDescent="0.3">
      <c r="A40" s="38">
        <v>2024</v>
      </c>
      <c r="B40" s="38">
        <v>12</v>
      </c>
      <c r="C40" s="39">
        <v>20</v>
      </c>
      <c r="D40" s="32">
        <v>0.24981597222222221</v>
      </c>
      <c r="E40" s="32">
        <v>0.2205399305555556</v>
      </c>
      <c r="F40" s="32">
        <v>0.47035590277777778</v>
      </c>
      <c r="G40" s="18">
        <v>0.70746832030196816</v>
      </c>
      <c r="H40" s="18">
        <v>0.70048384579366318</v>
      </c>
      <c r="I40" s="19">
        <v>0.99635701275045541</v>
      </c>
      <c r="J40" s="20">
        <v>656</v>
      </c>
      <c r="K40" s="21">
        <v>374</v>
      </c>
      <c r="L40" s="22">
        <v>1030</v>
      </c>
      <c r="M40" s="20">
        <v>143894</v>
      </c>
      <c r="N40" s="21">
        <v>127031</v>
      </c>
      <c r="O40" s="39">
        <v>1647</v>
      </c>
      <c r="P40" s="39">
        <v>6</v>
      </c>
      <c r="Q40" s="40"/>
    </row>
    <row r="41" spans="1:17" ht="17.100000000000001" customHeight="1" x14ac:dyDescent="0.3">
      <c r="A41" s="41">
        <v>2025</v>
      </c>
      <c r="B41" s="41">
        <v>1</v>
      </c>
      <c r="C41" s="42">
        <v>17</v>
      </c>
      <c r="D41" s="6">
        <v>0.38932598039215688</v>
      </c>
      <c r="E41" s="6">
        <v>0.33600285947712422</v>
      </c>
      <c r="F41" s="6">
        <v>0.72532883986928098</v>
      </c>
      <c r="G41" s="28">
        <v>0.77972499325963873</v>
      </c>
      <c r="H41" s="28">
        <v>0.89714374902450456</v>
      </c>
      <c r="I41" s="6">
        <v>0.99082568807339455</v>
      </c>
      <c r="J41" s="7">
        <v>723</v>
      </c>
      <c r="K41" s="8">
        <v>479</v>
      </c>
      <c r="L41" s="9">
        <v>1202</v>
      </c>
      <c r="M41" s="7">
        <v>190614</v>
      </c>
      <c r="N41" s="8">
        <v>164507</v>
      </c>
      <c r="O41" s="42">
        <v>1526</v>
      </c>
      <c r="P41" s="42">
        <v>14</v>
      </c>
      <c r="Q41" s="43"/>
    </row>
    <row r="42" spans="1:17" ht="17.100000000000001" customHeight="1" x14ac:dyDescent="0.3">
      <c r="A42" s="41">
        <v>2025</v>
      </c>
      <c r="B42" s="41">
        <v>2</v>
      </c>
      <c r="C42" s="42">
        <v>17</v>
      </c>
      <c r="D42" s="14">
        <v>0.23667892156862741</v>
      </c>
      <c r="E42" s="14">
        <v>0.22628676470588241</v>
      </c>
      <c r="F42" s="14">
        <v>0.46296568627450979</v>
      </c>
      <c r="G42" s="14">
        <v>0.57373955244001074</v>
      </c>
      <c r="H42" s="14">
        <v>0.64429530201342289</v>
      </c>
      <c r="I42" s="6">
        <v>0.9934823091247672</v>
      </c>
      <c r="J42" s="7">
        <v>532</v>
      </c>
      <c r="K42" s="8">
        <v>344</v>
      </c>
      <c r="L42" s="9">
        <v>876</v>
      </c>
      <c r="M42" s="7">
        <v>115878</v>
      </c>
      <c r="N42" s="8">
        <v>110790</v>
      </c>
      <c r="O42" s="42">
        <v>1074</v>
      </c>
      <c r="P42" s="42">
        <v>7</v>
      </c>
      <c r="Q42" s="43"/>
    </row>
    <row r="43" spans="1:17" ht="17.100000000000001" customHeight="1" x14ac:dyDescent="0.3">
      <c r="A43" s="41">
        <v>2025</v>
      </c>
      <c r="B43" s="41">
        <v>3</v>
      </c>
      <c r="C43" s="42">
        <v>18</v>
      </c>
      <c r="D43" s="44">
        <v>0.26911265432098758</v>
      </c>
      <c r="E43" s="44">
        <v>0.27995756172839509</v>
      </c>
      <c r="F43" s="44">
        <v>0.54907021604938278</v>
      </c>
      <c r="G43" s="28">
        <v>0.73658668104610403</v>
      </c>
      <c r="H43" s="28">
        <v>0.76416419541126901</v>
      </c>
      <c r="I43" s="6">
        <v>0.99719691660826915</v>
      </c>
      <c r="J43" s="7">
        <v>683</v>
      </c>
      <c r="K43" s="8">
        <v>408</v>
      </c>
      <c r="L43" s="9">
        <v>1091</v>
      </c>
      <c r="M43" s="7">
        <v>139508</v>
      </c>
      <c r="N43" s="8">
        <v>145130</v>
      </c>
      <c r="O43" s="42">
        <v>1427</v>
      </c>
      <c r="P43" s="42">
        <v>4</v>
      </c>
      <c r="Q43" s="43"/>
    </row>
    <row r="44" spans="1:17" ht="17.100000000000001" customHeight="1" x14ac:dyDescent="0.3">
      <c r="A44" s="41">
        <v>2025</v>
      </c>
      <c r="B44" s="41">
        <v>4</v>
      </c>
      <c r="C44" s="42">
        <v>22</v>
      </c>
      <c r="D44" s="44">
        <v>0.33462910353535352</v>
      </c>
      <c r="E44" s="44">
        <v>0.301322601010101</v>
      </c>
      <c r="F44" s="44">
        <v>0.63595170454545458</v>
      </c>
      <c r="G44" s="6">
        <v>1.0223779994607709</v>
      </c>
      <c r="H44" s="6">
        <v>0.9795536132355237</v>
      </c>
      <c r="I44" s="6">
        <v>0.99375000000000002</v>
      </c>
      <c r="J44" s="7">
        <v>948</v>
      </c>
      <c r="K44" s="8">
        <v>523</v>
      </c>
      <c r="L44" s="9">
        <v>1471</v>
      </c>
      <c r="M44" s="7">
        <v>212021</v>
      </c>
      <c r="N44" s="8">
        <v>190918</v>
      </c>
      <c r="O44" s="42">
        <v>1920</v>
      </c>
      <c r="P44" s="42">
        <v>12</v>
      </c>
      <c r="Q44" s="43"/>
    </row>
    <row r="45" spans="1:17" ht="17.100000000000001" customHeight="1" x14ac:dyDescent="0.3">
      <c r="A45" s="41">
        <v>2025</v>
      </c>
      <c r="B45" s="41">
        <v>5</v>
      </c>
      <c r="C45" s="42">
        <v>18</v>
      </c>
      <c r="D45" s="14">
        <v>0.29069830246913581</v>
      </c>
      <c r="E45" s="14">
        <v>0.20615547839506171</v>
      </c>
      <c r="F45" s="14">
        <v>0.49685378086419751</v>
      </c>
      <c r="G45" s="14">
        <v>0.69991911566459963</v>
      </c>
      <c r="H45" s="14">
        <v>0.53191821445294218</v>
      </c>
      <c r="I45" s="6">
        <v>0.9949141767323586</v>
      </c>
      <c r="J45" s="7">
        <v>649</v>
      </c>
      <c r="K45" s="8">
        <v>284</v>
      </c>
      <c r="L45" s="9">
        <v>933</v>
      </c>
      <c r="M45" s="7">
        <v>150698</v>
      </c>
      <c r="N45" s="8">
        <v>106871</v>
      </c>
      <c r="O45" s="42">
        <v>1573</v>
      </c>
      <c r="P45" s="42">
        <v>8</v>
      </c>
      <c r="Q45" s="43"/>
    </row>
    <row r="46" spans="1:17" ht="17.100000000000001" customHeight="1" x14ac:dyDescent="0.3">
      <c r="A46" s="41">
        <v>2025</v>
      </c>
      <c r="B46" s="41">
        <v>6</v>
      </c>
      <c r="C46" s="42">
        <v>19</v>
      </c>
      <c r="D46" s="44">
        <v>0.41355080409356731</v>
      </c>
      <c r="E46" s="44">
        <v>0.1047843567251462</v>
      </c>
      <c r="F46" s="44">
        <v>0.51833516081871345</v>
      </c>
      <c r="G46" s="14">
        <v>0.83364788352655705</v>
      </c>
      <c r="H46" s="14">
        <v>0.3258935539253941</v>
      </c>
      <c r="I46" s="14">
        <v>0.98415094339622644</v>
      </c>
      <c r="J46" s="7">
        <v>773</v>
      </c>
      <c r="K46" s="8">
        <v>174</v>
      </c>
      <c r="L46" s="9">
        <v>947</v>
      </c>
      <c r="M46" s="7">
        <v>226295</v>
      </c>
      <c r="N46" s="8">
        <v>57338</v>
      </c>
      <c r="O46" s="42">
        <v>1325</v>
      </c>
      <c r="P46" s="42">
        <v>21</v>
      </c>
      <c r="Q46" s="43" t="s">
        <v>21</v>
      </c>
    </row>
    <row r="47" spans="1:17" ht="17.100000000000001" customHeight="1" x14ac:dyDescent="0.3">
      <c r="A47" s="41">
        <v>2025</v>
      </c>
      <c r="B47" s="41">
        <v>7</v>
      </c>
      <c r="C47" s="42">
        <v>21</v>
      </c>
      <c r="D47" s="6">
        <v>0.4430654761904762</v>
      </c>
      <c r="E47" s="6">
        <v>0.2840839947089947</v>
      </c>
      <c r="F47" s="6">
        <v>0.72714947089947091</v>
      </c>
      <c r="G47" s="28">
        <v>1.047182528983553</v>
      </c>
      <c r="H47" s="28">
        <v>0.82409864211019201</v>
      </c>
      <c r="I47" s="6">
        <v>0.99796022437531873</v>
      </c>
      <c r="J47" s="7">
        <v>971</v>
      </c>
      <c r="K47" s="8">
        <v>440</v>
      </c>
      <c r="L47" s="9">
        <v>1411</v>
      </c>
      <c r="M47" s="7">
        <v>267966</v>
      </c>
      <c r="N47" s="8">
        <v>171814</v>
      </c>
      <c r="O47" s="42">
        <v>1961</v>
      </c>
      <c r="P47" s="42">
        <v>4</v>
      </c>
      <c r="Q47" s="43"/>
    </row>
    <row r="48" spans="1:17" ht="17.100000000000001" customHeight="1" x14ac:dyDescent="0.3">
      <c r="A48" s="41">
        <v>2025</v>
      </c>
      <c r="B48" s="41">
        <v>8</v>
      </c>
      <c r="C48" s="42">
        <v>18</v>
      </c>
      <c r="D48" s="44">
        <v>0.32668981481481479</v>
      </c>
      <c r="E48" s="44">
        <v>0.27273533950617279</v>
      </c>
      <c r="F48" s="44">
        <v>0.59942515432098764</v>
      </c>
      <c r="G48" s="28">
        <v>0.79482340253437589</v>
      </c>
      <c r="H48" s="28">
        <v>0.73794287498049016</v>
      </c>
      <c r="I48" s="6">
        <v>0.99299474605954463</v>
      </c>
      <c r="J48" s="7">
        <v>737</v>
      </c>
      <c r="K48" s="8">
        <v>394</v>
      </c>
      <c r="L48" s="9">
        <v>1131</v>
      </c>
      <c r="M48" s="7">
        <v>169356</v>
      </c>
      <c r="N48" s="8">
        <v>141386</v>
      </c>
      <c r="O48" s="42">
        <v>1713</v>
      </c>
      <c r="P48" s="42">
        <v>12</v>
      </c>
      <c r="Q48" s="43" t="s">
        <v>22</v>
      </c>
    </row>
    <row r="49" spans="1:17" ht="17.100000000000001" customHeight="1" x14ac:dyDescent="0.3">
      <c r="A49" s="41">
        <v>2025</v>
      </c>
      <c r="B49" s="41">
        <v>9</v>
      </c>
      <c r="C49" s="42">
        <v>22</v>
      </c>
      <c r="D49" s="14">
        <v>0.25894570707070708</v>
      </c>
      <c r="E49" s="14">
        <v>0.2276231060606061</v>
      </c>
      <c r="F49" s="14">
        <v>0.48656881313131323</v>
      </c>
      <c r="G49" s="28">
        <v>0.79805877595039099</v>
      </c>
      <c r="H49" s="28">
        <v>0.73794287498049016</v>
      </c>
      <c r="I49" s="6">
        <v>0.99127272727272731</v>
      </c>
      <c r="J49" s="7">
        <v>740</v>
      </c>
      <c r="K49" s="8">
        <v>394</v>
      </c>
      <c r="L49" s="9">
        <v>1134</v>
      </c>
      <c r="M49" s="7">
        <v>164068</v>
      </c>
      <c r="N49" s="8">
        <v>144222</v>
      </c>
      <c r="O49" s="42">
        <v>1375</v>
      </c>
      <c r="P49" s="42">
        <v>12</v>
      </c>
      <c r="Q49" s="43"/>
    </row>
    <row r="50" spans="1:17" ht="17.100000000000001" customHeight="1" x14ac:dyDescent="0.3">
      <c r="A50" s="41">
        <v>2025</v>
      </c>
      <c r="B50" s="41">
        <v>10</v>
      </c>
      <c r="C50" s="42">
        <v>18</v>
      </c>
      <c r="D50" s="44">
        <v>0.32105324074074082</v>
      </c>
      <c r="E50" s="44">
        <v>0.31257137345679009</v>
      </c>
      <c r="F50" s="44">
        <v>0.63362461419753091</v>
      </c>
      <c r="G50" s="28">
        <v>0.72688056079805874</v>
      </c>
      <c r="H50" s="28">
        <v>0.79038551584204786</v>
      </c>
      <c r="I50" s="6">
        <v>0.9994236311239193</v>
      </c>
      <c r="J50" s="7">
        <v>674</v>
      </c>
      <c r="K50" s="8">
        <v>422</v>
      </c>
      <c r="L50" s="9">
        <v>1096</v>
      </c>
      <c r="M50" s="7">
        <v>166434</v>
      </c>
      <c r="N50" s="8">
        <v>162037</v>
      </c>
      <c r="O50" s="42">
        <v>1735</v>
      </c>
      <c r="P50" s="42">
        <v>1</v>
      </c>
      <c r="Q50" s="43" t="s">
        <v>23</v>
      </c>
    </row>
    <row r="51" spans="1:17" ht="17.100000000000001" customHeight="1" x14ac:dyDescent="0.3">
      <c r="A51" s="41">
        <v>2025</v>
      </c>
      <c r="B51" s="41">
        <v>11</v>
      </c>
      <c r="C51" s="42">
        <v>20</v>
      </c>
      <c r="D51" s="44">
        <v>0.3152152777777778</v>
      </c>
      <c r="E51" s="44">
        <v>0.30438368055555548</v>
      </c>
      <c r="F51" s="44">
        <v>0.61959895833333334</v>
      </c>
      <c r="G51" s="28">
        <v>0.77433270423294687</v>
      </c>
      <c r="H51" s="28">
        <v>0.93085687529264871</v>
      </c>
      <c r="I51" s="6">
        <v>0.98962882096069871</v>
      </c>
      <c r="J51" s="7">
        <v>718</v>
      </c>
      <c r="K51" s="8">
        <v>497</v>
      </c>
      <c r="L51" s="9">
        <v>1215</v>
      </c>
      <c r="M51" s="7">
        <v>181564</v>
      </c>
      <c r="N51" s="8">
        <v>175325</v>
      </c>
      <c r="O51" s="42">
        <v>1832</v>
      </c>
      <c r="P51" s="42">
        <v>19</v>
      </c>
      <c r="Q51" s="43"/>
    </row>
    <row r="52" spans="1:17" ht="17.100000000000001" customHeight="1" x14ac:dyDescent="0.3">
      <c r="A52" s="41">
        <v>2025</v>
      </c>
      <c r="B52" s="41">
        <v>12</v>
      </c>
      <c r="C52" s="42">
        <v>18</v>
      </c>
      <c r="D52" s="44">
        <v>0.28390625000000003</v>
      </c>
      <c r="E52" s="44">
        <v>0.33301118827160492</v>
      </c>
      <c r="F52" s="44">
        <v>0.61691743827160495</v>
      </c>
      <c r="G52" s="28">
        <v>0.72580210299272041</v>
      </c>
      <c r="H52" s="28">
        <v>0.98329951615420641</v>
      </c>
      <c r="I52" s="6">
        <v>0.99312714776632305</v>
      </c>
      <c r="J52" s="7">
        <v>673</v>
      </c>
      <c r="K52" s="8">
        <v>525</v>
      </c>
      <c r="L52" s="9">
        <v>1198</v>
      </c>
      <c r="M52" s="7">
        <v>147177</v>
      </c>
      <c r="N52" s="8">
        <v>172633</v>
      </c>
      <c r="O52" s="42">
        <v>2037</v>
      </c>
      <c r="P52" s="42">
        <v>14</v>
      </c>
      <c r="Q52" s="43"/>
    </row>
    <row r="53" spans="1:17" x14ac:dyDescent="0.3">
      <c r="A53" s="41">
        <v>2026</v>
      </c>
      <c r="B53" s="41">
        <v>1</v>
      </c>
      <c r="C53" s="42">
        <v>20</v>
      </c>
      <c r="D53" s="44">
        <v>0.312</v>
      </c>
      <c r="E53" s="44">
        <v>0.32500000000000001</v>
      </c>
      <c r="F53" s="44">
        <v>0.63800000000000001</v>
      </c>
      <c r="G53" s="28">
        <v>0.79100000000000004</v>
      </c>
      <c r="H53" s="28">
        <v>1.024</v>
      </c>
      <c r="I53" s="6">
        <v>0.99399999999999999</v>
      </c>
      <c r="J53" s="7">
        <v>733</v>
      </c>
      <c r="K53" s="8">
        <v>547</v>
      </c>
      <c r="L53" s="9">
        <v>1280</v>
      </c>
      <c r="M53" s="7">
        <v>179871</v>
      </c>
      <c r="N53" s="8">
        <v>187372</v>
      </c>
      <c r="O53" s="42">
        <v>1690</v>
      </c>
      <c r="P53" s="42">
        <v>10</v>
      </c>
      <c r="Q53" s="43"/>
    </row>
    <row r="54" spans="1:17" x14ac:dyDescent="0.3">
      <c r="A54" s="41">
        <v>2026</v>
      </c>
      <c r="B54" s="41">
        <v>2</v>
      </c>
      <c r="C54" s="42">
        <v>16</v>
      </c>
      <c r="D54" s="44">
        <v>0.34200000000000003</v>
      </c>
      <c r="E54" s="44">
        <v>0.307</v>
      </c>
      <c r="F54" s="44">
        <v>0.64900000000000002</v>
      </c>
      <c r="G54" s="28">
        <v>0.72499999999999998</v>
      </c>
      <c r="H54" s="28">
        <v>0.70399999999999996</v>
      </c>
      <c r="I54" s="6">
        <v>0.97899999999999998</v>
      </c>
      <c r="J54" s="7">
        <v>672</v>
      </c>
      <c r="K54" s="8">
        <v>376</v>
      </c>
      <c r="L54" s="9">
        <v>1048</v>
      </c>
      <c r="M54" s="7">
        <v>157558</v>
      </c>
      <c r="N54" s="8">
        <v>141288</v>
      </c>
      <c r="O54" s="42">
        <v>1732</v>
      </c>
      <c r="P54" s="42">
        <v>37</v>
      </c>
      <c r="Q54" s="43"/>
    </row>
    <row r="55" spans="1:17" x14ac:dyDescent="0.3">
      <c r="A55" s="41">
        <v>2026</v>
      </c>
      <c r="B55" s="41">
        <v>3</v>
      </c>
      <c r="C55" s="42">
        <v>21</v>
      </c>
      <c r="D55" s="44">
        <v>0.32600000000000001</v>
      </c>
      <c r="E55" s="44">
        <v>0.36899999999999999</v>
      </c>
      <c r="F55" s="44">
        <v>0.69599999999999995</v>
      </c>
      <c r="G55" s="28">
        <v>0.97199999999999998</v>
      </c>
      <c r="H55" s="28">
        <v>1.1240000000000001</v>
      </c>
      <c r="I55" s="6">
        <v>0.996</v>
      </c>
      <c r="J55" s="7">
        <v>901</v>
      </c>
      <c r="K55" s="8">
        <v>600</v>
      </c>
      <c r="L55" s="9">
        <v>1501</v>
      </c>
      <c r="M55" s="7">
        <v>197417</v>
      </c>
      <c r="N55" s="8">
        <v>223470</v>
      </c>
      <c r="O55" s="42">
        <v>1712</v>
      </c>
      <c r="P55" s="42">
        <v>7</v>
      </c>
      <c r="Q55" s="43"/>
    </row>
    <row r="56" spans="1:17" x14ac:dyDescent="0.3">
      <c r="A56" s="41">
        <v>2026</v>
      </c>
      <c r="B56" s="41">
        <v>4</v>
      </c>
      <c r="C56" s="42">
        <v>22</v>
      </c>
      <c r="D56" s="44"/>
      <c r="E56" s="44"/>
      <c r="F56" s="44"/>
      <c r="G56" s="28"/>
      <c r="H56" s="28"/>
      <c r="I56" s="6"/>
      <c r="J56" s="7"/>
      <c r="K56" s="8"/>
      <c r="L56" s="9"/>
      <c r="M56" s="7"/>
      <c r="N56" s="8"/>
      <c r="O56" s="42"/>
      <c r="P56" s="42"/>
      <c r="Q56" s="43" t="s">
        <v>24</v>
      </c>
    </row>
    <row r="57" spans="1:17" x14ac:dyDescent="0.3">
      <c r="A57" s="41">
        <v>2026</v>
      </c>
      <c r="B57" s="41">
        <v>5</v>
      </c>
      <c r="C57" s="42">
        <v>18</v>
      </c>
      <c r="D57" s="44"/>
      <c r="E57" s="44"/>
      <c r="F57" s="44"/>
      <c r="G57" s="28"/>
      <c r="H57" s="28"/>
      <c r="I57" s="6"/>
      <c r="J57" s="7"/>
      <c r="K57" s="8"/>
      <c r="L57" s="9"/>
      <c r="M57" s="7"/>
      <c r="N57" s="8"/>
      <c r="O57" s="42"/>
      <c r="P57" s="42"/>
      <c r="Q57" s="43" t="s">
        <v>24</v>
      </c>
    </row>
    <row r="58" spans="1:17" x14ac:dyDescent="0.3">
      <c r="A58" s="41">
        <v>2026</v>
      </c>
      <c r="B58" s="41">
        <v>6</v>
      </c>
      <c r="C58" s="42">
        <v>19</v>
      </c>
      <c r="D58" s="44"/>
      <c r="E58" s="44"/>
      <c r="F58" s="44"/>
      <c r="G58" s="28"/>
      <c r="H58" s="28"/>
      <c r="I58" s="6"/>
      <c r="J58" s="7"/>
      <c r="K58" s="8"/>
      <c r="L58" s="9"/>
      <c r="M58" s="7"/>
      <c r="N58" s="8"/>
      <c r="O58" s="42"/>
      <c r="P58" s="42"/>
      <c r="Q58" s="43" t="s">
        <v>24</v>
      </c>
    </row>
    <row r="59" spans="1:17" x14ac:dyDescent="0.3">
      <c r="A59" s="41">
        <v>2026</v>
      </c>
      <c r="B59" s="41">
        <v>7</v>
      </c>
      <c r="C59" s="42">
        <v>21</v>
      </c>
      <c r="D59" s="44"/>
      <c r="E59" s="44"/>
      <c r="F59" s="44"/>
      <c r="G59" s="28"/>
      <c r="H59" s="28"/>
      <c r="I59" s="6"/>
      <c r="J59" s="7"/>
      <c r="K59" s="8"/>
      <c r="L59" s="9"/>
      <c r="M59" s="7"/>
      <c r="N59" s="8"/>
      <c r="O59" s="42"/>
      <c r="P59" s="42"/>
      <c r="Q59" s="43" t="s">
        <v>24</v>
      </c>
    </row>
    <row r="60" spans="1:17" x14ac:dyDescent="0.3">
      <c r="A60" s="41">
        <v>2026</v>
      </c>
      <c r="B60" s="41">
        <v>8</v>
      </c>
      <c r="C60" s="42">
        <v>18</v>
      </c>
      <c r="D60" s="44"/>
      <c r="E60" s="44"/>
      <c r="F60" s="44"/>
      <c r="G60" s="28"/>
      <c r="H60" s="28"/>
      <c r="I60" s="6"/>
      <c r="J60" s="7"/>
      <c r="K60" s="8"/>
      <c r="L60" s="9"/>
      <c r="M60" s="7"/>
      <c r="N60" s="8"/>
      <c r="O60" s="42"/>
      <c r="P60" s="42"/>
      <c r="Q60" s="43" t="s">
        <v>24</v>
      </c>
    </row>
    <row r="61" spans="1:17" x14ac:dyDescent="0.3">
      <c r="A61" s="41">
        <v>2026</v>
      </c>
      <c r="B61" s="41">
        <v>9</v>
      </c>
      <c r="C61" s="42">
        <v>22</v>
      </c>
      <c r="D61" s="44"/>
      <c r="E61" s="44"/>
      <c r="F61" s="44"/>
      <c r="G61" s="28"/>
      <c r="H61" s="28"/>
      <c r="I61" s="6"/>
      <c r="J61" s="7"/>
      <c r="K61" s="8"/>
      <c r="L61" s="9"/>
      <c r="M61" s="7"/>
      <c r="N61" s="8"/>
      <c r="O61" s="42"/>
      <c r="P61" s="42"/>
      <c r="Q61" s="43" t="s">
        <v>24</v>
      </c>
    </row>
    <row r="62" spans="1:17" x14ac:dyDescent="0.3">
      <c r="A62" s="41">
        <v>2026</v>
      </c>
      <c r="B62" s="41">
        <v>10</v>
      </c>
      <c r="C62" s="42">
        <v>18</v>
      </c>
      <c r="D62" s="44"/>
      <c r="E62" s="44"/>
      <c r="F62" s="44"/>
      <c r="G62" s="28"/>
      <c r="H62" s="28"/>
      <c r="I62" s="6"/>
      <c r="J62" s="7"/>
      <c r="K62" s="8"/>
      <c r="L62" s="9"/>
      <c r="M62" s="7"/>
      <c r="N62" s="8"/>
      <c r="O62" s="42"/>
      <c r="P62" s="42"/>
      <c r="Q62" s="43" t="s">
        <v>24</v>
      </c>
    </row>
    <row r="63" spans="1:17" x14ac:dyDescent="0.3">
      <c r="A63" s="41">
        <v>2026</v>
      </c>
      <c r="B63" s="41">
        <v>11</v>
      </c>
      <c r="C63" s="42">
        <v>20</v>
      </c>
      <c r="D63" s="44"/>
      <c r="E63" s="44"/>
      <c r="F63" s="44"/>
      <c r="G63" s="28"/>
      <c r="H63" s="28"/>
      <c r="I63" s="6"/>
      <c r="J63" s="7"/>
      <c r="K63" s="8"/>
      <c r="L63" s="9"/>
      <c r="M63" s="7"/>
      <c r="N63" s="8"/>
      <c r="O63" s="42"/>
      <c r="P63" s="42"/>
      <c r="Q63" s="43" t="s">
        <v>24</v>
      </c>
    </row>
    <row r="64" spans="1:17" x14ac:dyDescent="0.3">
      <c r="A64" s="41">
        <v>2026</v>
      </c>
      <c r="B64" s="41">
        <v>12</v>
      </c>
      <c r="C64" s="42">
        <v>18</v>
      </c>
      <c r="D64" s="44"/>
      <c r="E64" s="44"/>
      <c r="F64" s="44"/>
      <c r="G64" s="28"/>
      <c r="H64" s="28"/>
      <c r="I64" s="6"/>
      <c r="J64" s="7"/>
      <c r="K64" s="8"/>
      <c r="L64" s="9"/>
      <c r="M64" s="7"/>
      <c r="N64" s="8"/>
      <c r="O64" s="42"/>
      <c r="P64" s="42"/>
      <c r="Q64" s="43" t="s">
        <v>24</v>
      </c>
    </row>
  </sheetData>
  <mergeCells count="3">
    <mergeCell ref="A3:Q3"/>
    <mergeCell ref="A2:Q2"/>
    <mergeCell ref="A1:Q1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8" customWidth="1"/>
    <col min="3" max="3" width="12" customWidth="1"/>
    <col min="4" max="5" width="13" customWidth="1"/>
    <col min="6" max="7" width="11" customWidth="1"/>
    <col min="8" max="8" width="12" customWidth="1"/>
    <col min="9" max="9" width="13" customWidth="1"/>
    <col min="10" max="11" width="11" customWidth="1"/>
    <col min="12" max="12" width="12" customWidth="1"/>
    <col min="13" max="13" width="10" customWidth="1"/>
  </cols>
  <sheetData>
    <row r="1" spans="1:13" ht="21.95" customHeight="1" x14ac:dyDescent="0.3">
      <c r="A1" s="67" t="s">
        <v>25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18" customHeight="1" x14ac:dyDescent="0.3">
      <c r="A2" s="45" t="s">
        <v>26</v>
      </c>
      <c r="B2" s="46">
        <v>927.25</v>
      </c>
      <c r="C2" s="47" t="s">
        <v>27</v>
      </c>
      <c r="E2" s="45" t="s">
        <v>28</v>
      </c>
      <c r="F2" s="46">
        <v>533.91666666666663</v>
      </c>
      <c r="G2" s="47" t="s">
        <v>27</v>
      </c>
      <c r="I2" s="68" t="s">
        <v>29</v>
      </c>
      <c r="J2" s="65"/>
      <c r="K2" s="65"/>
      <c r="L2" s="65"/>
      <c r="M2" s="65"/>
    </row>
    <row r="3" spans="1:13" ht="15" customHeight="1" x14ac:dyDescent="0.3">
      <c r="A3" s="64" t="s">
        <v>30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ht="27.95" customHeight="1" x14ac:dyDescent="0.3">
      <c r="A4" s="1" t="s">
        <v>4</v>
      </c>
      <c r="B4" s="1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1" t="s">
        <v>41</v>
      </c>
      <c r="M4" s="1" t="s">
        <v>11</v>
      </c>
    </row>
    <row r="5" spans="1:13" ht="18" customHeight="1" x14ac:dyDescent="0.3">
      <c r="A5" s="48">
        <v>1</v>
      </c>
      <c r="B5" s="49">
        <v>20</v>
      </c>
      <c r="C5" s="7">
        <v>2202</v>
      </c>
      <c r="D5" s="10"/>
      <c r="E5" s="7">
        <v>576000</v>
      </c>
      <c r="F5" s="5" t="s">
        <v>20</v>
      </c>
      <c r="G5" s="6">
        <v>2.3747640873550822</v>
      </c>
      <c r="H5" s="8">
        <v>1317</v>
      </c>
      <c r="I5" s="11"/>
      <c r="J5" s="5" t="s">
        <v>20</v>
      </c>
      <c r="K5" s="6">
        <v>2.4666770719525521</v>
      </c>
      <c r="L5" s="9">
        <v>3519</v>
      </c>
      <c r="M5" s="5" t="s">
        <v>20</v>
      </c>
    </row>
    <row r="6" spans="1:13" ht="18" customHeight="1" x14ac:dyDescent="0.3">
      <c r="A6" s="48">
        <v>2</v>
      </c>
      <c r="B6" s="49">
        <v>18</v>
      </c>
      <c r="C6" s="7">
        <v>1862</v>
      </c>
      <c r="D6" s="10"/>
      <c r="E6" s="7">
        <v>518400</v>
      </c>
      <c r="F6" s="5" t="s">
        <v>20</v>
      </c>
      <c r="G6" s="6">
        <v>2.008088433540038</v>
      </c>
      <c r="H6" s="8">
        <v>1413</v>
      </c>
      <c r="I6" s="11"/>
      <c r="J6" s="5" t="s">
        <v>20</v>
      </c>
      <c r="K6" s="6">
        <v>2.6464804120493208</v>
      </c>
      <c r="L6" s="9">
        <v>3275</v>
      </c>
      <c r="M6" s="5" t="s">
        <v>20</v>
      </c>
    </row>
    <row r="7" spans="1:13" ht="18" customHeight="1" x14ac:dyDescent="0.3">
      <c r="A7" s="48">
        <v>3</v>
      </c>
      <c r="B7" s="49">
        <v>17</v>
      </c>
      <c r="C7" s="7">
        <v>1248</v>
      </c>
      <c r="D7" s="10"/>
      <c r="E7" s="7">
        <v>489600</v>
      </c>
      <c r="F7" s="5" t="s">
        <v>20</v>
      </c>
      <c r="G7" s="6">
        <v>1.3459153410622811</v>
      </c>
      <c r="H7" s="8">
        <v>777</v>
      </c>
      <c r="I7" s="11"/>
      <c r="J7" s="5" t="s">
        <v>20</v>
      </c>
      <c r="K7" s="6">
        <v>1.455283283908225</v>
      </c>
      <c r="L7" s="9">
        <v>2025</v>
      </c>
      <c r="M7" s="5" t="s">
        <v>20</v>
      </c>
    </row>
    <row r="8" spans="1:13" ht="18" customHeight="1" x14ac:dyDescent="0.3">
      <c r="A8" s="48">
        <v>4</v>
      </c>
      <c r="B8" s="49">
        <v>22</v>
      </c>
      <c r="C8" s="7">
        <v>1679</v>
      </c>
      <c r="D8" s="10"/>
      <c r="E8" s="7">
        <v>633600</v>
      </c>
      <c r="F8" s="5" t="s">
        <v>20</v>
      </c>
      <c r="G8" s="6">
        <v>1.810730655163117</v>
      </c>
      <c r="H8" s="8">
        <v>1131</v>
      </c>
      <c r="I8" s="11"/>
      <c r="J8" s="5" t="s">
        <v>20</v>
      </c>
      <c r="K8" s="6">
        <v>2.1183081005150619</v>
      </c>
      <c r="L8" s="9">
        <v>2810</v>
      </c>
      <c r="M8" s="5" t="s">
        <v>20</v>
      </c>
    </row>
    <row r="9" spans="1:13" ht="18" customHeight="1" x14ac:dyDescent="0.3">
      <c r="A9" s="48">
        <v>5</v>
      </c>
      <c r="B9" s="49">
        <v>22</v>
      </c>
      <c r="C9" s="7">
        <v>1952</v>
      </c>
      <c r="D9" s="10"/>
      <c r="E9" s="7">
        <v>633600</v>
      </c>
      <c r="F9" s="5" t="s">
        <v>20</v>
      </c>
      <c r="G9" s="6">
        <v>2.1051496360204909</v>
      </c>
      <c r="H9" s="8">
        <v>1157</v>
      </c>
      <c r="I9" s="11"/>
      <c r="J9" s="5" t="s">
        <v>20</v>
      </c>
      <c r="K9" s="6">
        <v>2.1670048384579368</v>
      </c>
      <c r="L9" s="9">
        <v>3109</v>
      </c>
      <c r="M9" s="6">
        <v>0.99390243902439024</v>
      </c>
    </row>
    <row r="10" spans="1:13" ht="18" customHeight="1" x14ac:dyDescent="0.3">
      <c r="A10" s="48">
        <v>6</v>
      </c>
      <c r="B10" s="49">
        <v>20</v>
      </c>
      <c r="C10" s="7">
        <v>1240</v>
      </c>
      <c r="D10" s="10"/>
      <c r="E10" s="7">
        <v>576000</v>
      </c>
      <c r="F10" s="5" t="s">
        <v>20</v>
      </c>
      <c r="G10" s="6">
        <v>1.337287678619574</v>
      </c>
      <c r="H10" s="8">
        <v>752</v>
      </c>
      <c r="I10" s="11"/>
      <c r="J10" s="5" t="s">
        <v>20</v>
      </c>
      <c r="K10" s="6">
        <v>1.408459497424692</v>
      </c>
      <c r="L10" s="9">
        <v>1992</v>
      </c>
      <c r="M10" s="6">
        <v>0.98984565393988622</v>
      </c>
    </row>
    <row r="11" spans="1:13" ht="18" customHeight="1" x14ac:dyDescent="0.3">
      <c r="A11" s="48">
        <v>7</v>
      </c>
      <c r="B11" s="49">
        <v>21</v>
      </c>
      <c r="C11" s="7">
        <v>1315</v>
      </c>
      <c r="D11" s="10"/>
      <c r="E11" s="7">
        <v>604800</v>
      </c>
      <c r="F11" s="5" t="s">
        <v>20</v>
      </c>
      <c r="G11" s="6">
        <v>1.418172014019951</v>
      </c>
      <c r="H11" s="8">
        <v>831</v>
      </c>
      <c r="I11" s="11"/>
      <c r="J11" s="5" t="s">
        <v>20</v>
      </c>
      <c r="K11" s="6">
        <v>1.5564226627126581</v>
      </c>
      <c r="L11" s="9">
        <v>2146</v>
      </c>
      <c r="M11" s="14">
        <v>0.9741242038216561</v>
      </c>
    </row>
    <row r="12" spans="1:13" ht="18" customHeight="1" x14ac:dyDescent="0.3">
      <c r="A12" s="48">
        <v>8</v>
      </c>
      <c r="B12" s="49">
        <v>19</v>
      </c>
      <c r="C12" s="7">
        <v>1107</v>
      </c>
      <c r="D12" s="10"/>
      <c r="E12" s="7">
        <v>547200</v>
      </c>
      <c r="F12" s="5" t="s">
        <v>20</v>
      </c>
      <c r="G12" s="6">
        <v>1.193852790509571</v>
      </c>
      <c r="H12" s="8">
        <v>665</v>
      </c>
      <c r="I12" s="11"/>
      <c r="J12" s="5" t="s">
        <v>20</v>
      </c>
      <c r="K12" s="6">
        <v>1.2455127204619949</v>
      </c>
      <c r="L12" s="9">
        <v>1772</v>
      </c>
      <c r="M12" s="6">
        <v>0.99058622165169019</v>
      </c>
    </row>
    <row r="13" spans="1:13" ht="18" customHeight="1" x14ac:dyDescent="0.3">
      <c r="A13" s="48">
        <v>9</v>
      </c>
      <c r="B13" s="49">
        <v>19</v>
      </c>
      <c r="C13" s="7">
        <v>889</v>
      </c>
      <c r="D13" s="10"/>
      <c r="E13" s="7">
        <v>547200</v>
      </c>
      <c r="F13" s="5" t="s">
        <v>20</v>
      </c>
      <c r="G13" s="6">
        <v>0.95874898894580751</v>
      </c>
      <c r="H13" s="8">
        <v>552</v>
      </c>
      <c r="I13" s="11"/>
      <c r="J13" s="5" t="s">
        <v>20</v>
      </c>
      <c r="K13" s="6">
        <v>1.0338692055564229</v>
      </c>
      <c r="L13" s="9">
        <v>1441</v>
      </c>
      <c r="M13" s="6">
        <v>0.99679487179487181</v>
      </c>
    </row>
    <row r="14" spans="1:13" ht="18" customHeight="1" x14ac:dyDescent="0.3">
      <c r="A14" s="48">
        <v>10</v>
      </c>
      <c r="B14" s="49">
        <v>18</v>
      </c>
      <c r="C14" s="7">
        <v>1108</v>
      </c>
      <c r="D14" s="10"/>
      <c r="E14" s="7">
        <v>518400</v>
      </c>
      <c r="F14" s="5" t="s">
        <v>20</v>
      </c>
      <c r="G14" s="6">
        <v>1.1949312483149099</v>
      </c>
      <c r="H14" s="8">
        <v>781</v>
      </c>
      <c r="I14" s="11"/>
      <c r="J14" s="5" t="s">
        <v>20</v>
      </c>
      <c r="K14" s="6">
        <v>1.4627750897455909</v>
      </c>
      <c r="L14" s="9">
        <v>1889</v>
      </c>
      <c r="M14" s="6">
        <v>0.99050203527815472</v>
      </c>
    </row>
    <row r="15" spans="1:13" ht="18" customHeight="1" x14ac:dyDescent="0.3">
      <c r="A15" s="48">
        <v>11</v>
      </c>
      <c r="B15" s="49">
        <v>22</v>
      </c>
      <c r="C15" s="7">
        <v>1224</v>
      </c>
      <c r="D15" s="7">
        <v>299600</v>
      </c>
      <c r="E15" s="7">
        <v>633600</v>
      </c>
      <c r="F15" s="6">
        <v>0.47285353535353541</v>
      </c>
      <c r="G15" s="6">
        <v>1.3200323537341601</v>
      </c>
      <c r="H15" s="8">
        <v>724</v>
      </c>
      <c r="I15" s="8">
        <v>225020</v>
      </c>
      <c r="J15" s="6">
        <v>0.355145202020202</v>
      </c>
      <c r="K15" s="6">
        <v>1.3560168565631341</v>
      </c>
      <c r="L15" s="9">
        <v>1948</v>
      </c>
      <c r="M15" s="14">
        <v>0.98134511536573388</v>
      </c>
    </row>
    <row r="16" spans="1:13" ht="18" customHeight="1" x14ac:dyDescent="0.3">
      <c r="A16" s="48">
        <v>12</v>
      </c>
      <c r="B16" s="49">
        <v>22</v>
      </c>
      <c r="C16" s="7">
        <v>769</v>
      </c>
      <c r="D16" s="7">
        <v>199540</v>
      </c>
      <c r="E16" s="7">
        <v>633600</v>
      </c>
      <c r="F16" s="50">
        <v>0.31493055555555549</v>
      </c>
      <c r="G16" s="50">
        <v>0.82933405230520352</v>
      </c>
      <c r="H16" s="8">
        <v>499</v>
      </c>
      <c r="I16" s="8">
        <v>152660</v>
      </c>
      <c r="J16" s="6">
        <v>0.24094065656565661</v>
      </c>
      <c r="K16" s="6">
        <v>0.93460277821133142</v>
      </c>
      <c r="L16" s="9">
        <v>1268</v>
      </c>
      <c r="M16" s="6">
        <v>0.98815931108719057</v>
      </c>
    </row>
    <row r="17" spans="1:13" ht="18" customHeight="1" x14ac:dyDescent="0.3">
      <c r="A17" s="51" t="s">
        <v>42</v>
      </c>
      <c r="B17" s="52">
        <f>AVERAGE(B5:B16)</f>
        <v>20</v>
      </c>
      <c r="C17" s="53">
        <f>SUM(C5:C16)</f>
        <v>16595</v>
      </c>
      <c r="D17" s="53">
        <f>AVERAGE(D15,D16)</f>
        <v>249570</v>
      </c>
      <c r="E17" s="53">
        <f>AVERAGE(E5:E16)</f>
        <v>576000</v>
      </c>
      <c r="F17" s="54">
        <f>AVERAGE(F15,F16)</f>
        <v>0.39389204545454548</v>
      </c>
      <c r="G17" s="54">
        <f>AVERAGE(G5:G16)</f>
        <v>1.4914172732991824</v>
      </c>
      <c r="H17" s="53">
        <f>SUM(H5:H16)</f>
        <v>10599</v>
      </c>
      <c r="I17" s="53">
        <f>AVERAGE(I15,I16)</f>
        <v>188840</v>
      </c>
      <c r="J17" s="54">
        <f>AVERAGE(J15,J16)</f>
        <v>0.2980429292929293</v>
      </c>
      <c r="K17" s="54">
        <f>AVERAGE(K5:K16)</f>
        <v>1.6542843764632433</v>
      </c>
      <c r="L17" s="53">
        <f>SUM(L5:L16)</f>
        <v>27194</v>
      </c>
      <c r="M17" s="55" t="s">
        <v>20</v>
      </c>
    </row>
  </sheetData>
  <mergeCells count="3">
    <mergeCell ref="I2:M2"/>
    <mergeCell ref="A3:M3"/>
    <mergeCell ref="A1:M1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8" customWidth="1"/>
    <col min="3" max="3" width="12" customWidth="1"/>
    <col min="4" max="5" width="13" customWidth="1"/>
    <col min="6" max="7" width="11" customWidth="1"/>
    <col min="8" max="8" width="12" customWidth="1"/>
    <col min="9" max="9" width="13" customWidth="1"/>
    <col min="10" max="11" width="11" customWidth="1"/>
    <col min="12" max="12" width="12" customWidth="1"/>
    <col min="13" max="13" width="10" customWidth="1"/>
  </cols>
  <sheetData>
    <row r="1" spans="1:13" ht="21.95" customHeight="1" x14ac:dyDescent="0.3">
      <c r="A1" s="67" t="s">
        <v>43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18" customHeight="1" x14ac:dyDescent="0.3">
      <c r="A2" s="45" t="s">
        <v>26</v>
      </c>
      <c r="B2" s="46">
        <v>927.25</v>
      </c>
      <c r="C2" s="47" t="s">
        <v>27</v>
      </c>
      <c r="E2" s="45" t="s">
        <v>28</v>
      </c>
      <c r="F2" s="46">
        <v>533.91666666666663</v>
      </c>
      <c r="G2" s="47" t="s">
        <v>27</v>
      </c>
      <c r="I2" s="68" t="s">
        <v>29</v>
      </c>
      <c r="J2" s="65"/>
      <c r="K2" s="65"/>
      <c r="L2" s="65"/>
      <c r="M2" s="65"/>
    </row>
    <row r="3" spans="1:13" ht="15" customHeight="1" x14ac:dyDescent="0.3">
      <c r="A3" s="69" t="s">
        <v>44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ht="27.95" customHeight="1" x14ac:dyDescent="0.3">
      <c r="A4" s="1" t="s">
        <v>4</v>
      </c>
      <c r="B4" s="1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1" t="s">
        <v>41</v>
      </c>
      <c r="M4" s="1" t="s">
        <v>11</v>
      </c>
    </row>
    <row r="5" spans="1:13" ht="18" customHeight="1" x14ac:dyDescent="0.3">
      <c r="A5" s="48">
        <v>1</v>
      </c>
      <c r="B5" s="49">
        <v>18</v>
      </c>
      <c r="C5" s="7">
        <v>894</v>
      </c>
      <c r="D5" s="7">
        <v>246200</v>
      </c>
      <c r="E5" s="7">
        <v>518400</v>
      </c>
      <c r="F5" s="6">
        <v>0.47492283950617292</v>
      </c>
      <c r="G5" s="6">
        <v>0.96414127797249938</v>
      </c>
      <c r="H5" s="8">
        <v>645</v>
      </c>
      <c r="I5" s="8">
        <v>162580</v>
      </c>
      <c r="J5" s="6">
        <v>0.31361882716049377</v>
      </c>
      <c r="K5" s="6">
        <v>1.208053691275168</v>
      </c>
      <c r="L5" s="9">
        <v>1539</v>
      </c>
      <c r="M5" s="14">
        <v>0.97571606475716066</v>
      </c>
    </row>
    <row r="6" spans="1:13" ht="18" customHeight="1" x14ac:dyDescent="0.3">
      <c r="A6" s="48">
        <v>2</v>
      </c>
      <c r="B6" s="49">
        <v>20</v>
      </c>
      <c r="C6" s="7">
        <v>1533</v>
      </c>
      <c r="D6" s="7">
        <v>393630</v>
      </c>
      <c r="E6" s="7">
        <v>576000</v>
      </c>
      <c r="F6" s="6">
        <v>0.68338541666666663</v>
      </c>
      <c r="G6" s="6">
        <v>1.6532758155837151</v>
      </c>
      <c r="H6" s="8">
        <v>846</v>
      </c>
      <c r="I6" s="8">
        <v>268120</v>
      </c>
      <c r="J6" s="6">
        <v>0.4654861111111111</v>
      </c>
      <c r="K6" s="6">
        <v>1.5845169346027781</v>
      </c>
      <c r="L6" s="9">
        <v>2379</v>
      </c>
      <c r="M6" s="6">
        <v>0.98992248062015509</v>
      </c>
    </row>
    <row r="7" spans="1:13" ht="18" customHeight="1" x14ac:dyDescent="0.3">
      <c r="A7" s="48">
        <v>3</v>
      </c>
      <c r="B7" s="49">
        <v>21</v>
      </c>
      <c r="C7" s="7">
        <v>996</v>
      </c>
      <c r="D7" s="7">
        <v>254160</v>
      </c>
      <c r="E7" s="7">
        <v>604800</v>
      </c>
      <c r="F7" s="6">
        <v>0.42023809523809519</v>
      </c>
      <c r="G7" s="6">
        <v>1.0741439741170129</v>
      </c>
      <c r="H7" s="8">
        <v>659</v>
      </c>
      <c r="I7" s="8">
        <v>225970</v>
      </c>
      <c r="J7" s="6">
        <v>0.37362764550264549</v>
      </c>
      <c r="K7" s="6">
        <v>1.2342750117059469</v>
      </c>
      <c r="L7" s="9">
        <v>1655</v>
      </c>
      <c r="M7" s="14">
        <v>0.97649484536082476</v>
      </c>
    </row>
    <row r="8" spans="1:13" ht="18" customHeight="1" x14ac:dyDescent="0.3">
      <c r="A8" s="48">
        <v>4</v>
      </c>
      <c r="B8" s="49">
        <v>22</v>
      </c>
      <c r="C8" s="7">
        <v>1092</v>
      </c>
      <c r="D8" s="7">
        <v>230340</v>
      </c>
      <c r="E8" s="7">
        <v>633600</v>
      </c>
      <c r="F8" s="6">
        <v>0.36354166666666671</v>
      </c>
      <c r="G8" s="6">
        <v>1.177675923429496</v>
      </c>
      <c r="H8" s="8">
        <v>559</v>
      </c>
      <c r="I8" s="8">
        <v>177400</v>
      </c>
      <c r="J8" s="6">
        <v>0.27998737373737381</v>
      </c>
      <c r="K8" s="6">
        <v>1.0469798657718119</v>
      </c>
      <c r="L8" s="9">
        <v>1651</v>
      </c>
      <c r="M8" s="6">
        <v>0.99118079372856438</v>
      </c>
    </row>
    <row r="9" spans="1:13" ht="18" customHeight="1" x14ac:dyDescent="0.3">
      <c r="A9" s="48">
        <v>5</v>
      </c>
      <c r="B9" s="49">
        <v>20</v>
      </c>
      <c r="C9" s="7">
        <v>774</v>
      </c>
      <c r="D9" s="7">
        <v>181092</v>
      </c>
      <c r="E9" s="7">
        <v>576000</v>
      </c>
      <c r="F9" s="50">
        <v>0.31439583333333332</v>
      </c>
      <c r="G9" s="50">
        <v>0.83472634133189538</v>
      </c>
      <c r="H9" s="8">
        <v>481</v>
      </c>
      <c r="I9" s="8">
        <v>166966</v>
      </c>
      <c r="J9" s="6">
        <v>0.2898715277777778</v>
      </c>
      <c r="K9" s="6">
        <v>0.90088965194318715</v>
      </c>
      <c r="L9" s="9">
        <v>1255</v>
      </c>
      <c r="M9" s="14">
        <v>0.97628032345013482</v>
      </c>
    </row>
    <row r="10" spans="1:13" ht="18" customHeight="1" x14ac:dyDescent="0.3">
      <c r="A10" s="48">
        <v>6</v>
      </c>
      <c r="B10" s="49">
        <v>21</v>
      </c>
      <c r="C10" s="7">
        <v>1217</v>
      </c>
      <c r="D10" s="7">
        <v>254190</v>
      </c>
      <c r="E10" s="7">
        <v>604800</v>
      </c>
      <c r="F10" s="6">
        <v>0.42028769841269842</v>
      </c>
      <c r="G10" s="6">
        <v>1.3124831490967921</v>
      </c>
      <c r="H10" s="8">
        <v>520</v>
      </c>
      <c r="I10" s="8">
        <v>177161</v>
      </c>
      <c r="J10" s="6">
        <v>0.29292493386243379</v>
      </c>
      <c r="K10" s="6">
        <v>0.97393475885749969</v>
      </c>
      <c r="L10" s="9">
        <v>1737</v>
      </c>
      <c r="M10" s="14">
        <v>0.98397976391231023</v>
      </c>
    </row>
    <row r="11" spans="1:13" ht="18" customHeight="1" x14ac:dyDescent="0.3">
      <c r="A11" s="48">
        <v>7</v>
      </c>
      <c r="B11" s="49">
        <v>18</v>
      </c>
      <c r="C11" s="7">
        <v>617</v>
      </c>
      <c r="D11" s="7">
        <v>134468</v>
      </c>
      <c r="E11" s="7">
        <v>518400</v>
      </c>
      <c r="F11" s="50">
        <v>0.25939043209876539</v>
      </c>
      <c r="G11" s="50">
        <v>0.66540846589377189</v>
      </c>
      <c r="H11" s="8">
        <v>306</v>
      </c>
      <c r="I11" s="8">
        <v>97363</v>
      </c>
      <c r="J11" s="14">
        <v>0.18781442901234571</v>
      </c>
      <c r="K11" s="14">
        <v>0.57312314655845176</v>
      </c>
      <c r="L11" s="9">
        <v>923</v>
      </c>
      <c r="M11" s="14">
        <v>0.96026894865525669</v>
      </c>
    </row>
    <row r="12" spans="1:13" ht="18" customHeight="1" x14ac:dyDescent="0.3">
      <c r="A12" s="48">
        <v>8</v>
      </c>
      <c r="B12" s="49">
        <v>21</v>
      </c>
      <c r="C12" s="7">
        <v>1141</v>
      </c>
      <c r="D12" s="7">
        <v>273634</v>
      </c>
      <c r="E12" s="7">
        <v>604800</v>
      </c>
      <c r="F12" s="6">
        <v>0.45243716931216932</v>
      </c>
      <c r="G12" s="6">
        <v>1.230520355891076</v>
      </c>
      <c r="H12" s="8">
        <v>527</v>
      </c>
      <c r="I12" s="8">
        <v>173734</v>
      </c>
      <c r="J12" s="6">
        <v>0.28725859788359792</v>
      </c>
      <c r="K12" s="6">
        <v>0.98704541907288912</v>
      </c>
      <c r="L12" s="9">
        <v>1668</v>
      </c>
      <c r="M12" s="14">
        <v>0.97418335089567965</v>
      </c>
    </row>
    <row r="13" spans="1:13" ht="18" customHeight="1" x14ac:dyDescent="0.3">
      <c r="A13" s="48">
        <v>9</v>
      </c>
      <c r="B13" s="49">
        <v>18</v>
      </c>
      <c r="C13" s="7">
        <v>770</v>
      </c>
      <c r="D13" s="7">
        <v>180523</v>
      </c>
      <c r="E13" s="7">
        <v>518400</v>
      </c>
      <c r="F13" s="50">
        <v>0.34823109567901228</v>
      </c>
      <c r="G13" s="50">
        <v>0.83041251011054196</v>
      </c>
      <c r="H13" s="8">
        <v>469</v>
      </c>
      <c r="I13" s="8">
        <v>162676</v>
      </c>
      <c r="J13" s="6">
        <v>0.31380401234567901</v>
      </c>
      <c r="K13" s="6">
        <v>0.87841423443109101</v>
      </c>
      <c r="L13" s="9">
        <v>1239</v>
      </c>
      <c r="M13" s="6">
        <v>0.98757763975155277</v>
      </c>
    </row>
    <row r="14" spans="1:13" ht="18" customHeight="1" x14ac:dyDescent="0.3">
      <c r="A14" s="48">
        <v>10</v>
      </c>
      <c r="B14" s="49">
        <v>19</v>
      </c>
      <c r="C14" s="7">
        <v>781</v>
      </c>
      <c r="D14" s="7">
        <v>191827</v>
      </c>
      <c r="E14" s="7">
        <v>547200</v>
      </c>
      <c r="F14" s="6">
        <v>0.35056103801169591</v>
      </c>
      <c r="G14" s="50">
        <v>0.84227554596926391</v>
      </c>
      <c r="H14" s="8">
        <v>495</v>
      </c>
      <c r="I14" s="8">
        <v>160003</v>
      </c>
      <c r="J14" s="6">
        <v>0.29240314327485378</v>
      </c>
      <c r="K14" s="6">
        <v>0.927110972373966</v>
      </c>
      <c r="L14" s="9">
        <v>1276</v>
      </c>
      <c r="M14" s="6">
        <v>0.9867776689520078</v>
      </c>
    </row>
    <row r="15" spans="1:13" ht="18" customHeight="1" x14ac:dyDescent="0.3">
      <c r="A15" s="48">
        <v>11</v>
      </c>
      <c r="B15" s="49">
        <v>22</v>
      </c>
      <c r="C15" s="7">
        <v>786</v>
      </c>
      <c r="D15" s="7">
        <v>169549</v>
      </c>
      <c r="E15" s="7">
        <v>633600</v>
      </c>
      <c r="F15" s="50">
        <v>0.26759627525252527</v>
      </c>
      <c r="G15" s="50">
        <v>0.84766783499595577</v>
      </c>
      <c r="H15" s="8">
        <v>427</v>
      </c>
      <c r="I15" s="8">
        <v>160941</v>
      </c>
      <c r="J15" s="6">
        <v>0.25401041666666668</v>
      </c>
      <c r="K15" s="6">
        <v>0.79975027313875457</v>
      </c>
      <c r="L15" s="9">
        <v>1213</v>
      </c>
      <c r="M15" s="6">
        <v>0.98748577929465298</v>
      </c>
    </row>
    <row r="16" spans="1:13" ht="18" customHeight="1" x14ac:dyDescent="0.3">
      <c r="A16" s="48">
        <v>12</v>
      </c>
      <c r="B16" s="49">
        <v>19</v>
      </c>
      <c r="C16" s="7">
        <v>573</v>
      </c>
      <c r="D16" s="7">
        <v>156648</v>
      </c>
      <c r="E16" s="7">
        <v>547200</v>
      </c>
      <c r="F16" s="50">
        <v>0.2862719298245614</v>
      </c>
      <c r="G16" s="14">
        <v>0.61795632245888377</v>
      </c>
      <c r="H16" s="8">
        <v>426</v>
      </c>
      <c r="I16" s="8">
        <v>161462</v>
      </c>
      <c r="J16" s="6">
        <v>0.29506944444444438</v>
      </c>
      <c r="K16" s="6">
        <v>0.79787732167941317</v>
      </c>
      <c r="L16" s="9">
        <v>999</v>
      </c>
      <c r="M16" s="6">
        <v>0.99565756823821339</v>
      </c>
    </row>
    <row r="17" spans="1:13" ht="18" customHeight="1" x14ac:dyDescent="0.3">
      <c r="A17" s="51" t="s">
        <v>42</v>
      </c>
      <c r="B17" s="52">
        <f>AVERAGE(B5:B16)</f>
        <v>19.916666666666668</v>
      </c>
      <c r="C17" s="53">
        <f>SUM(C5:C16)</f>
        <v>11174</v>
      </c>
      <c r="D17" s="53">
        <f>AVERAGE(D5,D6,D7,D8,D9,D10,D11,D12,D13,D14,D15,D16)</f>
        <v>222188.41666666666</v>
      </c>
      <c r="E17" s="53">
        <f>AVERAGE(E5:E16)</f>
        <v>573600</v>
      </c>
      <c r="F17" s="54">
        <f>AVERAGE(F5,F6,F7,F8,F9,F10,F11,F12,F13,F14,F15,F16)</f>
        <v>0.38677162416686356</v>
      </c>
      <c r="G17" s="54">
        <f>AVERAGE(G5:G16)</f>
        <v>1.0042239597375753</v>
      </c>
      <c r="H17" s="53">
        <f>SUM(H5:H16)</f>
        <v>6360</v>
      </c>
      <c r="I17" s="53">
        <f>AVERAGE(I5,I6,I7,I8,I9,I10,I11,I12,I13,I14,I15,I16)</f>
        <v>174531.33333333334</v>
      </c>
      <c r="J17" s="54">
        <f>AVERAGE(J5,J6,J7,J8,J9,J10,J11,J12,J13,J14,J15,J16)</f>
        <v>0.30382303856495191</v>
      </c>
      <c r="K17" s="54">
        <f>AVERAGE(K5:K16)</f>
        <v>0.9926642734509129</v>
      </c>
      <c r="L17" s="53">
        <f>SUM(L5:L16)</f>
        <v>17534</v>
      </c>
      <c r="M17" s="55" t="s">
        <v>20</v>
      </c>
    </row>
  </sheetData>
  <mergeCells count="3">
    <mergeCell ref="I2:M2"/>
    <mergeCell ref="A3:M3"/>
    <mergeCell ref="A1:M1"/>
  </mergeCells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8" customWidth="1"/>
    <col min="3" max="3" width="12" customWidth="1"/>
    <col min="4" max="5" width="13" customWidth="1"/>
    <col min="6" max="7" width="11" customWidth="1"/>
    <col min="8" max="8" width="12" customWidth="1"/>
    <col min="9" max="9" width="13" customWidth="1"/>
    <col min="10" max="11" width="11" customWidth="1"/>
    <col min="12" max="12" width="12" customWidth="1"/>
    <col min="13" max="13" width="10" customWidth="1"/>
  </cols>
  <sheetData>
    <row r="1" spans="1:13" ht="21.95" customHeight="1" x14ac:dyDescent="0.3">
      <c r="A1" s="67" t="s">
        <v>45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18" customHeight="1" x14ac:dyDescent="0.3">
      <c r="A2" s="45" t="s">
        <v>26</v>
      </c>
      <c r="B2" s="46">
        <v>927.25</v>
      </c>
      <c r="C2" s="47" t="s">
        <v>27</v>
      </c>
      <c r="E2" s="45" t="s">
        <v>28</v>
      </c>
      <c r="F2" s="46">
        <v>533.91666666666663</v>
      </c>
      <c r="G2" s="47" t="s">
        <v>27</v>
      </c>
      <c r="I2" s="68" t="s">
        <v>29</v>
      </c>
      <c r="J2" s="65"/>
      <c r="K2" s="65"/>
      <c r="L2" s="65"/>
      <c r="M2" s="65"/>
    </row>
    <row r="3" spans="1:13" ht="15" customHeight="1" x14ac:dyDescent="0.3">
      <c r="A3" s="69" t="s">
        <v>44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ht="27.95" customHeight="1" x14ac:dyDescent="0.3">
      <c r="A4" s="1" t="s">
        <v>4</v>
      </c>
      <c r="B4" s="1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1" t="s">
        <v>41</v>
      </c>
      <c r="M4" s="1" t="s">
        <v>11</v>
      </c>
    </row>
    <row r="5" spans="1:13" ht="18" customHeight="1" x14ac:dyDescent="0.3">
      <c r="A5" s="48">
        <v>1</v>
      </c>
      <c r="B5" s="49">
        <v>20</v>
      </c>
      <c r="C5" s="7">
        <v>984</v>
      </c>
      <c r="D5" s="7">
        <v>247094</v>
      </c>
      <c r="E5" s="7">
        <v>576000</v>
      </c>
      <c r="F5" s="6">
        <v>0.42898263888888888</v>
      </c>
      <c r="G5" s="6">
        <v>1.0612024804529521</v>
      </c>
      <c r="H5" s="8">
        <v>562</v>
      </c>
      <c r="I5" s="8">
        <v>184838</v>
      </c>
      <c r="J5" s="6">
        <v>0.32089930555555563</v>
      </c>
      <c r="K5" s="6">
        <v>1.0525987201498359</v>
      </c>
      <c r="L5" s="9">
        <v>1546</v>
      </c>
      <c r="M5" s="6">
        <v>0.99579390115667721</v>
      </c>
    </row>
    <row r="6" spans="1:13" ht="18" customHeight="1" x14ac:dyDescent="0.3">
      <c r="A6" s="48">
        <v>2</v>
      </c>
      <c r="B6" s="49">
        <v>19</v>
      </c>
      <c r="C6" s="7">
        <v>866</v>
      </c>
      <c r="D6" s="7">
        <v>204249</v>
      </c>
      <c r="E6" s="7">
        <v>547200</v>
      </c>
      <c r="F6" s="6">
        <v>0.37326206140350882</v>
      </c>
      <c r="G6" s="6">
        <v>0.93394445942302506</v>
      </c>
      <c r="H6" s="8">
        <v>573</v>
      </c>
      <c r="I6" s="8">
        <v>204276</v>
      </c>
      <c r="J6" s="6">
        <v>0.37331140350877201</v>
      </c>
      <c r="K6" s="6">
        <v>1.073201186202591</v>
      </c>
      <c r="L6" s="9">
        <v>1439</v>
      </c>
      <c r="M6" s="6">
        <v>0.9971910112359551</v>
      </c>
    </row>
    <row r="7" spans="1:13" ht="18" customHeight="1" x14ac:dyDescent="0.3">
      <c r="A7" s="48">
        <v>3</v>
      </c>
      <c r="B7" s="49">
        <v>19</v>
      </c>
      <c r="C7" s="7">
        <v>853</v>
      </c>
      <c r="D7" s="7">
        <v>193395</v>
      </c>
      <c r="E7" s="7">
        <v>547200</v>
      </c>
      <c r="F7" s="6">
        <v>0.35342653508771932</v>
      </c>
      <c r="G7" s="6">
        <v>0.91992450795362635</v>
      </c>
      <c r="H7" s="8">
        <v>570</v>
      </c>
      <c r="I7" s="8">
        <v>191233</v>
      </c>
      <c r="J7" s="6">
        <v>0.34947551169590652</v>
      </c>
      <c r="K7" s="6">
        <v>1.067582331824567</v>
      </c>
      <c r="L7" s="9">
        <v>1423</v>
      </c>
      <c r="M7" s="6">
        <v>0.99538977367979886</v>
      </c>
    </row>
    <row r="8" spans="1:13" ht="18" customHeight="1" x14ac:dyDescent="0.3">
      <c r="A8" s="48">
        <v>4</v>
      </c>
      <c r="B8" s="49">
        <v>20</v>
      </c>
      <c r="C8" s="7">
        <v>754</v>
      </c>
      <c r="D8" s="7">
        <v>182936</v>
      </c>
      <c r="E8" s="7">
        <v>576000</v>
      </c>
      <c r="F8" s="50">
        <v>0.3175972222222222</v>
      </c>
      <c r="G8" s="50">
        <v>0.81315718522512803</v>
      </c>
      <c r="H8" s="8">
        <v>595</v>
      </c>
      <c r="I8" s="8">
        <v>188653</v>
      </c>
      <c r="J8" s="6">
        <v>0.32752256944444452</v>
      </c>
      <c r="K8" s="6">
        <v>1.1144061183081011</v>
      </c>
      <c r="L8" s="9">
        <v>1349</v>
      </c>
      <c r="M8" s="14">
        <v>0.97679216090768439</v>
      </c>
    </row>
    <row r="9" spans="1:13" ht="18" customHeight="1" x14ac:dyDescent="0.3">
      <c r="A9" s="48">
        <v>5</v>
      </c>
      <c r="B9" s="49">
        <v>20</v>
      </c>
      <c r="C9" s="7">
        <v>849</v>
      </c>
      <c r="D9" s="7">
        <v>207504</v>
      </c>
      <c r="E9" s="7">
        <v>576000</v>
      </c>
      <c r="F9" s="6">
        <v>0.36025000000000001</v>
      </c>
      <c r="G9" s="6">
        <v>0.91561067673227281</v>
      </c>
      <c r="H9" s="8">
        <v>442</v>
      </c>
      <c r="I9" s="8">
        <v>144429</v>
      </c>
      <c r="J9" s="6">
        <v>0.25074479166666669</v>
      </c>
      <c r="K9" s="6">
        <v>0.82784454502887472</v>
      </c>
      <c r="L9" s="9">
        <v>1291</v>
      </c>
      <c r="M9" s="6">
        <v>0.99457326097681298</v>
      </c>
    </row>
    <row r="10" spans="1:13" ht="18" customHeight="1" x14ac:dyDescent="0.3">
      <c r="A10" s="48">
        <v>6</v>
      </c>
      <c r="B10" s="49">
        <v>19</v>
      </c>
      <c r="C10" s="7">
        <v>669</v>
      </c>
      <c r="D10" s="7">
        <v>55479</v>
      </c>
      <c r="E10" s="7">
        <v>547200</v>
      </c>
      <c r="F10" s="14">
        <v>0.1013870614035088</v>
      </c>
      <c r="G10" s="50">
        <v>0.72148827177136698</v>
      </c>
      <c r="H10" s="8">
        <v>392</v>
      </c>
      <c r="I10" s="8">
        <v>48462</v>
      </c>
      <c r="J10" s="14">
        <v>8.8563596491228067E-2</v>
      </c>
      <c r="K10" s="6">
        <v>0.73419697206180745</v>
      </c>
      <c r="L10" s="9">
        <v>1061</v>
      </c>
      <c r="M10" s="6">
        <v>0.99011997177134792</v>
      </c>
    </row>
    <row r="11" spans="1:13" ht="18" customHeight="1" x14ac:dyDescent="0.3">
      <c r="A11" s="48">
        <v>7</v>
      </c>
      <c r="B11" s="49">
        <v>21</v>
      </c>
      <c r="C11" s="7">
        <v>654</v>
      </c>
      <c r="D11" s="7">
        <v>123152</v>
      </c>
      <c r="E11" s="7">
        <v>604800</v>
      </c>
      <c r="F11" s="14">
        <v>0.2036243386243386</v>
      </c>
      <c r="G11" s="50">
        <v>0.7053114046912915</v>
      </c>
      <c r="H11" s="8">
        <v>468</v>
      </c>
      <c r="I11" s="8">
        <v>73820</v>
      </c>
      <c r="J11" s="14">
        <v>0.12205687830687829</v>
      </c>
      <c r="K11" s="6">
        <v>0.87654128297174971</v>
      </c>
      <c r="L11" s="9">
        <v>1122</v>
      </c>
      <c r="M11" s="6">
        <v>0.99100719424460426</v>
      </c>
    </row>
    <row r="12" spans="1:13" ht="18" customHeight="1" x14ac:dyDescent="0.3">
      <c r="A12" s="48">
        <v>8</v>
      </c>
      <c r="B12" s="49">
        <v>18</v>
      </c>
      <c r="C12" s="7">
        <v>549</v>
      </c>
      <c r="D12" s="7">
        <v>84306</v>
      </c>
      <c r="E12" s="7">
        <v>518400</v>
      </c>
      <c r="F12" s="14">
        <v>0.16262731481481479</v>
      </c>
      <c r="G12" s="14">
        <v>0.59207333513076299</v>
      </c>
      <c r="H12" s="8">
        <v>526</v>
      </c>
      <c r="I12" s="8">
        <v>61521</v>
      </c>
      <c r="J12" s="14">
        <v>0.11867476851851851</v>
      </c>
      <c r="K12" s="6">
        <v>0.98517246761354771</v>
      </c>
      <c r="L12" s="9">
        <v>1075</v>
      </c>
      <c r="M12" s="6">
        <v>0.99934340118187792</v>
      </c>
    </row>
    <row r="13" spans="1:13" ht="18" customHeight="1" x14ac:dyDescent="0.3">
      <c r="A13" s="48">
        <v>9</v>
      </c>
      <c r="B13" s="49">
        <v>22</v>
      </c>
      <c r="C13" s="7">
        <v>650</v>
      </c>
      <c r="D13" s="7">
        <v>123776</v>
      </c>
      <c r="E13" s="7">
        <v>633600</v>
      </c>
      <c r="F13" s="14">
        <v>0.19535353535353539</v>
      </c>
      <c r="G13" s="50">
        <v>0.70099757346993796</v>
      </c>
      <c r="H13" s="8">
        <v>520</v>
      </c>
      <c r="I13" s="8">
        <v>107435</v>
      </c>
      <c r="J13" s="14">
        <v>0.1695628156565657</v>
      </c>
      <c r="K13" s="6">
        <v>0.97393475885749969</v>
      </c>
      <c r="L13" s="9">
        <v>1170</v>
      </c>
      <c r="M13" s="6">
        <v>0.99309868875086271</v>
      </c>
    </row>
    <row r="14" spans="1:13" ht="18" customHeight="1" x14ac:dyDescent="0.3">
      <c r="A14" s="48">
        <v>10</v>
      </c>
      <c r="B14" s="49">
        <v>18</v>
      </c>
      <c r="C14" s="7">
        <v>717</v>
      </c>
      <c r="D14" s="7">
        <v>168471</v>
      </c>
      <c r="E14" s="7">
        <v>518400</v>
      </c>
      <c r="F14" s="50">
        <v>0.3249826388888889</v>
      </c>
      <c r="G14" s="50">
        <v>0.77325424642760854</v>
      </c>
      <c r="H14" s="8">
        <v>482</v>
      </c>
      <c r="I14" s="8">
        <v>147501</v>
      </c>
      <c r="J14" s="6">
        <v>0.28453125000000001</v>
      </c>
      <c r="K14" s="6">
        <v>0.90276260340252856</v>
      </c>
      <c r="L14" s="9">
        <v>1199</v>
      </c>
      <c r="M14" s="6">
        <v>0.99110807113543087</v>
      </c>
    </row>
    <row r="15" spans="1:13" ht="18" customHeight="1" x14ac:dyDescent="0.3">
      <c r="A15" s="48">
        <v>11</v>
      </c>
      <c r="B15" s="49">
        <v>24</v>
      </c>
      <c r="C15" s="7">
        <v>655</v>
      </c>
      <c r="D15" s="7">
        <v>113084</v>
      </c>
      <c r="E15" s="7">
        <v>691200</v>
      </c>
      <c r="F15" s="14">
        <v>0.1636053240740741</v>
      </c>
      <c r="G15" s="50">
        <v>0.70638986249662983</v>
      </c>
      <c r="H15" s="8">
        <v>415</v>
      </c>
      <c r="I15" s="8">
        <v>97079</v>
      </c>
      <c r="J15" s="14">
        <v>0.14044994212962961</v>
      </c>
      <c r="K15" s="6">
        <v>0.77727485562665843</v>
      </c>
      <c r="L15" s="9">
        <v>1070</v>
      </c>
      <c r="M15" s="6">
        <v>0.99311075781664016</v>
      </c>
    </row>
    <row r="16" spans="1:13" ht="18" customHeight="1" x14ac:dyDescent="0.3">
      <c r="A16" s="48">
        <v>12</v>
      </c>
      <c r="B16" s="49">
        <v>20</v>
      </c>
      <c r="C16" s="7">
        <v>656</v>
      </c>
      <c r="D16" s="7">
        <v>143894</v>
      </c>
      <c r="E16" s="7">
        <v>576000</v>
      </c>
      <c r="F16" s="14">
        <v>0.24981597222222221</v>
      </c>
      <c r="G16" s="50">
        <v>0.70746832030196816</v>
      </c>
      <c r="H16" s="8">
        <v>374</v>
      </c>
      <c r="I16" s="8">
        <v>127031</v>
      </c>
      <c r="J16" s="6">
        <v>0.2205399305555556</v>
      </c>
      <c r="K16" s="6">
        <v>0.70048384579366318</v>
      </c>
      <c r="L16" s="9">
        <v>1030</v>
      </c>
      <c r="M16" s="6">
        <v>0.99635701275045541</v>
      </c>
    </row>
    <row r="17" spans="1:13" ht="18" customHeight="1" x14ac:dyDescent="0.3">
      <c r="A17" s="51" t="s">
        <v>42</v>
      </c>
      <c r="B17" s="52">
        <f>AVERAGE(B5:B16)</f>
        <v>20</v>
      </c>
      <c r="C17" s="53">
        <f>SUM(C5:C16)</f>
        <v>8856</v>
      </c>
      <c r="D17" s="53">
        <f>AVERAGE(D5,D6,D7,D8,D9,D10,D11,D12,D13,D14,D15,D16)</f>
        <v>153945</v>
      </c>
      <c r="E17" s="53">
        <f>AVERAGE(E5:E16)</f>
        <v>576000</v>
      </c>
      <c r="F17" s="54">
        <f>AVERAGE(F5,F6,F7,F8,F9,F10,F11,F12,F13,F14,F15,F16)</f>
        <v>0.26957622024864353</v>
      </c>
      <c r="G17" s="54">
        <f>AVERAGE(G5:G16)</f>
        <v>0.79590186033971422</v>
      </c>
      <c r="H17" s="53">
        <f>SUM(H5:H16)</f>
        <v>5919</v>
      </c>
      <c r="I17" s="53">
        <f>AVERAGE(I5,I6,I7,I8,I9,I10,I11,I12,I13,I14,I15,I16)</f>
        <v>131356.5</v>
      </c>
      <c r="J17" s="54">
        <f>AVERAGE(J5,J6,J7,J8,J9,J10,J11,J12,J13,J14,J15,J16)</f>
        <v>0.2305277302941435</v>
      </c>
      <c r="K17" s="54">
        <f>AVERAGE(K5:K16)</f>
        <v>0.92383330732011848</v>
      </c>
      <c r="L17" s="53">
        <f>SUM(L5:L16)</f>
        <v>14775</v>
      </c>
      <c r="M17" s="55" t="s">
        <v>20</v>
      </c>
    </row>
  </sheetData>
  <mergeCells count="3">
    <mergeCell ref="I2:M2"/>
    <mergeCell ref="A3:M3"/>
    <mergeCell ref="A1:M1"/>
  </mergeCells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8" customWidth="1"/>
    <col min="3" max="3" width="12" customWidth="1"/>
    <col min="4" max="5" width="13" customWidth="1"/>
    <col min="6" max="7" width="11" customWidth="1"/>
    <col min="8" max="8" width="12" customWidth="1"/>
    <col min="9" max="9" width="13" customWidth="1"/>
    <col min="10" max="11" width="11" customWidth="1"/>
    <col min="12" max="12" width="12" customWidth="1"/>
    <col min="13" max="13" width="10" customWidth="1"/>
  </cols>
  <sheetData>
    <row r="1" spans="1:13" ht="21.95" customHeight="1" x14ac:dyDescent="0.3">
      <c r="A1" s="67" t="s">
        <v>46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18" customHeight="1" x14ac:dyDescent="0.3">
      <c r="A2" s="45" t="s">
        <v>26</v>
      </c>
      <c r="B2" s="46">
        <v>927.25</v>
      </c>
      <c r="C2" s="47" t="s">
        <v>27</v>
      </c>
      <c r="E2" s="45" t="s">
        <v>28</v>
      </c>
      <c r="F2" s="46">
        <v>533.91666666666663</v>
      </c>
      <c r="G2" s="47" t="s">
        <v>27</v>
      </c>
      <c r="I2" s="68" t="s">
        <v>29</v>
      </c>
      <c r="J2" s="65"/>
      <c r="K2" s="65"/>
      <c r="L2" s="65"/>
      <c r="M2" s="65"/>
    </row>
    <row r="3" spans="1:13" ht="14.1" customHeight="1" x14ac:dyDescent="0.3"/>
    <row r="4" spans="1:13" ht="27.95" customHeight="1" x14ac:dyDescent="0.3">
      <c r="A4" s="1" t="s">
        <v>4</v>
      </c>
      <c r="B4" s="1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1" t="s">
        <v>41</v>
      </c>
      <c r="M4" s="1" t="s">
        <v>11</v>
      </c>
    </row>
    <row r="5" spans="1:13" ht="18" customHeight="1" x14ac:dyDescent="0.3">
      <c r="A5" s="48">
        <v>1</v>
      </c>
      <c r="B5" s="49">
        <v>17</v>
      </c>
      <c r="C5" s="7">
        <v>723</v>
      </c>
      <c r="D5" s="7">
        <v>190614</v>
      </c>
      <c r="E5" s="7">
        <v>489600</v>
      </c>
      <c r="F5" s="6">
        <v>0.38932598039215688</v>
      </c>
      <c r="G5" s="50">
        <v>0.77972499325963873</v>
      </c>
      <c r="H5" s="8">
        <v>479</v>
      </c>
      <c r="I5" s="8">
        <v>164507</v>
      </c>
      <c r="J5" s="6">
        <v>0.33600285947712422</v>
      </c>
      <c r="K5" s="6">
        <v>0.89714374902450456</v>
      </c>
      <c r="L5" s="9">
        <v>1202</v>
      </c>
      <c r="M5" s="6">
        <v>0.99082568807339455</v>
      </c>
    </row>
    <row r="6" spans="1:13" ht="18" customHeight="1" x14ac:dyDescent="0.3">
      <c r="A6" s="48">
        <v>2</v>
      </c>
      <c r="B6" s="49">
        <v>17</v>
      </c>
      <c r="C6" s="7">
        <v>532</v>
      </c>
      <c r="D6" s="7">
        <v>115878</v>
      </c>
      <c r="E6" s="7">
        <v>489600</v>
      </c>
      <c r="F6" s="14">
        <v>0.23667892156862741</v>
      </c>
      <c r="G6" s="14">
        <v>0.57373955244001074</v>
      </c>
      <c r="H6" s="8">
        <v>344</v>
      </c>
      <c r="I6" s="8">
        <v>110790</v>
      </c>
      <c r="J6" s="6">
        <v>0.22628676470588241</v>
      </c>
      <c r="K6" s="14">
        <v>0.64429530201342289</v>
      </c>
      <c r="L6" s="9">
        <v>876</v>
      </c>
      <c r="M6" s="6">
        <v>0.9934823091247672</v>
      </c>
    </row>
    <row r="7" spans="1:13" ht="18" customHeight="1" x14ac:dyDescent="0.3">
      <c r="A7" s="48">
        <v>3</v>
      </c>
      <c r="B7" s="49">
        <v>18</v>
      </c>
      <c r="C7" s="7">
        <v>683</v>
      </c>
      <c r="D7" s="7">
        <v>139508</v>
      </c>
      <c r="E7" s="7">
        <v>518400</v>
      </c>
      <c r="F7" s="50">
        <v>0.26911265432098758</v>
      </c>
      <c r="G7" s="50">
        <v>0.73658668104610403</v>
      </c>
      <c r="H7" s="8">
        <v>408</v>
      </c>
      <c r="I7" s="8">
        <v>145130</v>
      </c>
      <c r="J7" s="6">
        <v>0.27995756172839509</v>
      </c>
      <c r="K7" s="6">
        <v>0.76416419541126901</v>
      </c>
      <c r="L7" s="9">
        <v>1091</v>
      </c>
      <c r="M7" s="6">
        <v>0.99719691660826915</v>
      </c>
    </row>
    <row r="8" spans="1:13" ht="18" customHeight="1" x14ac:dyDescent="0.3">
      <c r="A8" s="48">
        <v>4</v>
      </c>
      <c r="B8" s="49">
        <v>22</v>
      </c>
      <c r="C8" s="7">
        <v>948</v>
      </c>
      <c r="D8" s="7">
        <v>212021</v>
      </c>
      <c r="E8" s="7">
        <v>633600</v>
      </c>
      <c r="F8" s="50">
        <v>0.33462910353535352</v>
      </c>
      <c r="G8" s="6">
        <v>1.0223779994607709</v>
      </c>
      <c r="H8" s="8">
        <v>523</v>
      </c>
      <c r="I8" s="8">
        <v>190918</v>
      </c>
      <c r="J8" s="6">
        <v>0.301322601010101</v>
      </c>
      <c r="K8" s="6">
        <v>0.9795536132355237</v>
      </c>
      <c r="L8" s="9">
        <v>1471</v>
      </c>
      <c r="M8" s="6">
        <v>0.99375000000000002</v>
      </c>
    </row>
    <row r="9" spans="1:13" ht="18" customHeight="1" x14ac:dyDescent="0.3">
      <c r="A9" s="48">
        <v>5</v>
      </c>
      <c r="B9" s="49">
        <v>18</v>
      </c>
      <c r="C9" s="7">
        <v>649</v>
      </c>
      <c r="D9" s="7">
        <v>150698</v>
      </c>
      <c r="E9" s="7">
        <v>518400</v>
      </c>
      <c r="F9" s="50">
        <v>0.29069830246913581</v>
      </c>
      <c r="G9" s="50">
        <v>0.69991911566459963</v>
      </c>
      <c r="H9" s="8">
        <v>284</v>
      </c>
      <c r="I9" s="8">
        <v>106871</v>
      </c>
      <c r="J9" s="6">
        <v>0.20615547839506171</v>
      </c>
      <c r="K9" s="14">
        <v>0.53191821445294218</v>
      </c>
      <c r="L9" s="9">
        <v>933</v>
      </c>
      <c r="M9" s="6">
        <v>0.9949141767323586</v>
      </c>
    </row>
    <row r="10" spans="1:13" ht="18" customHeight="1" x14ac:dyDescent="0.3">
      <c r="A10" s="48">
        <v>6</v>
      </c>
      <c r="B10" s="49">
        <v>19</v>
      </c>
      <c r="C10" s="7">
        <v>773</v>
      </c>
      <c r="D10" s="7">
        <v>226295</v>
      </c>
      <c r="E10" s="7">
        <v>547200</v>
      </c>
      <c r="F10" s="6">
        <v>0.41355080409356731</v>
      </c>
      <c r="G10" s="50">
        <v>0.83364788352655705</v>
      </c>
      <c r="H10" s="8">
        <v>174</v>
      </c>
      <c r="I10" s="8">
        <v>57338</v>
      </c>
      <c r="J10" s="14">
        <v>0.1047843567251462</v>
      </c>
      <c r="K10" s="14">
        <v>0.3258935539253941</v>
      </c>
      <c r="L10" s="9">
        <v>947</v>
      </c>
      <c r="M10" s="14">
        <v>0.98415094339622644</v>
      </c>
    </row>
    <row r="11" spans="1:13" ht="18" customHeight="1" x14ac:dyDescent="0.3">
      <c r="A11" s="48">
        <v>7</v>
      </c>
      <c r="B11" s="49">
        <v>21</v>
      </c>
      <c r="C11" s="7">
        <v>971</v>
      </c>
      <c r="D11" s="7">
        <v>267966</v>
      </c>
      <c r="E11" s="7">
        <v>604800</v>
      </c>
      <c r="F11" s="6">
        <v>0.4430654761904762</v>
      </c>
      <c r="G11" s="6">
        <v>1.047182528983553</v>
      </c>
      <c r="H11" s="8">
        <v>440</v>
      </c>
      <c r="I11" s="8">
        <v>171814</v>
      </c>
      <c r="J11" s="6">
        <v>0.2840839947089947</v>
      </c>
      <c r="K11" s="6">
        <v>0.82409864211019201</v>
      </c>
      <c r="L11" s="9">
        <v>1411</v>
      </c>
      <c r="M11" s="6">
        <v>0.99796022437531873</v>
      </c>
    </row>
    <row r="12" spans="1:13" ht="18" customHeight="1" x14ac:dyDescent="0.3">
      <c r="A12" s="48">
        <v>8</v>
      </c>
      <c r="B12" s="49">
        <v>18</v>
      </c>
      <c r="C12" s="7">
        <v>737</v>
      </c>
      <c r="D12" s="7">
        <v>169356</v>
      </c>
      <c r="E12" s="7">
        <v>518400</v>
      </c>
      <c r="F12" s="50">
        <v>0.32668981481481479</v>
      </c>
      <c r="G12" s="50">
        <v>0.79482340253437589</v>
      </c>
      <c r="H12" s="8">
        <v>394</v>
      </c>
      <c r="I12" s="8">
        <v>141386</v>
      </c>
      <c r="J12" s="6">
        <v>0.27273533950617279</v>
      </c>
      <c r="K12" s="6">
        <v>0.73794287498049016</v>
      </c>
      <c r="L12" s="9">
        <v>1131</v>
      </c>
      <c r="M12" s="6">
        <v>0.99299474605954463</v>
      </c>
    </row>
    <row r="13" spans="1:13" ht="18" customHeight="1" x14ac:dyDescent="0.3">
      <c r="A13" s="48">
        <v>9</v>
      </c>
      <c r="B13" s="49">
        <v>22</v>
      </c>
      <c r="C13" s="7">
        <v>740</v>
      </c>
      <c r="D13" s="7">
        <v>164068</v>
      </c>
      <c r="E13" s="7">
        <v>633600</v>
      </c>
      <c r="F13" s="50">
        <v>0.25894570707070708</v>
      </c>
      <c r="G13" s="50">
        <v>0.79805877595039099</v>
      </c>
      <c r="H13" s="8">
        <v>394</v>
      </c>
      <c r="I13" s="8">
        <v>144222</v>
      </c>
      <c r="J13" s="6">
        <v>0.2276231060606061</v>
      </c>
      <c r="K13" s="6">
        <v>0.73794287498049016</v>
      </c>
      <c r="L13" s="9">
        <v>1134</v>
      </c>
      <c r="M13" s="6">
        <v>0.99127272727272731</v>
      </c>
    </row>
    <row r="14" spans="1:13" ht="18" customHeight="1" x14ac:dyDescent="0.3">
      <c r="A14" s="48">
        <v>10</v>
      </c>
      <c r="B14" s="49">
        <v>18</v>
      </c>
      <c r="C14" s="7">
        <v>674</v>
      </c>
      <c r="D14" s="7">
        <v>166434</v>
      </c>
      <c r="E14" s="7">
        <v>518400</v>
      </c>
      <c r="F14" s="50">
        <v>0.32105324074074082</v>
      </c>
      <c r="G14" s="50">
        <v>0.72688056079805874</v>
      </c>
      <c r="H14" s="8">
        <v>422</v>
      </c>
      <c r="I14" s="8">
        <v>162037</v>
      </c>
      <c r="J14" s="6">
        <v>0.31257137345679009</v>
      </c>
      <c r="K14" s="6">
        <v>0.79038551584204786</v>
      </c>
      <c r="L14" s="9">
        <v>1096</v>
      </c>
      <c r="M14" s="6">
        <v>0.9994236311239193</v>
      </c>
    </row>
    <row r="15" spans="1:13" ht="18" customHeight="1" x14ac:dyDescent="0.3">
      <c r="A15" s="48">
        <v>11</v>
      </c>
      <c r="B15" s="49">
        <v>20</v>
      </c>
      <c r="C15" s="7">
        <v>718</v>
      </c>
      <c r="D15" s="7">
        <v>181564</v>
      </c>
      <c r="E15" s="7">
        <v>576000</v>
      </c>
      <c r="F15" s="50">
        <v>0.3152152777777778</v>
      </c>
      <c r="G15" s="50">
        <v>0.77433270423294687</v>
      </c>
      <c r="H15" s="8">
        <v>497</v>
      </c>
      <c r="I15" s="8">
        <v>175325</v>
      </c>
      <c r="J15" s="6">
        <v>0.30438368055555548</v>
      </c>
      <c r="K15" s="6">
        <v>0.93085687529264871</v>
      </c>
      <c r="L15" s="9">
        <v>1215</v>
      </c>
      <c r="M15" s="6">
        <v>0.98962882096069871</v>
      </c>
    </row>
    <row r="16" spans="1:13" ht="18" customHeight="1" x14ac:dyDescent="0.3">
      <c r="A16" s="48">
        <v>12</v>
      </c>
      <c r="B16" s="49">
        <v>18</v>
      </c>
      <c r="C16" s="7">
        <v>673</v>
      </c>
      <c r="D16" s="7">
        <v>147177</v>
      </c>
      <c r="E16" s="7">
        <v>518400</v>
      </c>
      <c r="F16" s="50">
        <v>0.28390625000000003</v>
      </c>
      <c r="G16" s="50">
        <v>0.72580210299272041</v>
      </c>
      <c r="H16" s="8">
        <v>525</v>
      </c>
      <c r="I16" s="8">
        <v>172633</v>
      </c>
      <c r="J16" s="6">
        <v>0.33301118827160492</v>
      </c>
      <c r="K16" s="6">
        <v>0.98329951615420641</v>
      </c>
      <c r="L16" s="9">
        <v>1198</v>
      </c>
      <c r="M16" s="6">
        <v>0.99312714776632305</v>
      </c>
    </row>
    <row r="17" spans="1:13" ht="18" customHeight="1" x14ac:dyDescent="0.3">
      <c r="A17" s="51" t="s">
        <v>42</v>
      </c>
      <c r="B17" s="52">
        <f>AVERAGE(B5:B16)</f>
        <v>19</v>
      </c>
      <c r="C17" s="53">
        <f>SUM(C5:C16)</f>
        <v>8821</v>
      </c>
      <c r="D17" s="53">
        <f>AVERAGE(D5,D6,D7,D8,D9,D10,D11,D12,D13,D14,D15,D16)</f>
        <v>177631.58333333334</v>
      </c>
      <c r="E17" s="53">
        <f>AVERAGE(E5:E16)</f>
        <v>547200</v>
      </c>
      <c r="F17" s="54">
        <f>AVERAGE(F5,F6,F7,F8,F9,F10,F11,F12,F13,F14,F15,F16)</f>
        <v>0.32357262774786211</v>
      </c>
      <c r="G17" s="54">
        <f>AVERAGE(G5:G16)</f>
        <v>0.79275635840747727</v>
      </c>
      <c r="H17" s="53">
        <f>SUM(H5:H16)</f>
        <v>4884</v>
      </c>
      <c r="I17" s="53">
        <f>AVERAGE(I5,I6,I7,I8,I9,I10,I11,I12,I13,I14,I15,I16)</f>
        <v>145247.58333333334</v>
      </c>
      <c r="J17" s="54">
        <f>AVERAGE(J5,J6,J7,J8,J9,J10,J11,J12,J13,J14,J15,J16)</f>
        <v>0.26574319205011959</v>
      </c>
      <c r="K17" s="54">
        <f>AVERAGE(K5:K16)</f>
        <v>0.76229124395192771</v>
      </c>
      <c r="L17" s="53">
        <f>SUM(L5:L16)</f>
        <v>13705</v>
      </c>
      <c r="M17" s="54">
        <f>AVERAGE(M5:M16)</f>
        <v>0.99322727762446228</v>
      </c>
    </row>
  </sheetData>
  <mergeCells count="2">
    <mergeCell ref="I2:M2"/>
    <mergeCell ref="A1:M1"/>
  </mergeCells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Q7" sqref="Q7"/>
    </sheetView>
  </sheetViews>
  <sheetFormatPr defaultRowHeight="16.5" x14ac:dyDescent="0.3"/>
  <cols>
    <col min="1" max="1" width="5" customWidth="1"/>
    <col min="2" max="2" width="8" customWidth="1"/>
    <col min="3" max="3" width="12" customWidth="1"/>
    <col min="4" max="5" width="13" customWidth="1"/>
    <col min="6" max="7" width="11" customWidth="1"/>
    <col min="8" max="8" width="12" customWidth="1"/>
    <col min="9" max="9" width="13" customWidth="1"/>
    <col min="10" max="11" width="11" customWidth="1"/>
    <col min="12" max="12" width="12" customWidth="1"/>
    <col min="13" max="13" width="10" customWidth="1"/>
  </cols>
  <sheetData>
    <row r="1" spans="1:14" ht="21.95" customHeight="1" x14ac:dyDescent="0.3">
      <c r="A1" s="67" t="s">
        <v>47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4" ht="18" customHeight="1" x14ac:dyDescent="0.3">
      <c r="A2" s="45" t="s">
        <v>26</v>
      </c>
      <c r="B2" s="46">
        <v>927.25</v>
      </c>
      <c r="C2" s="47" t="s">
        <v>27</v>
      </c>
      <c r="E2" s="45" t="s">
        <v>28</v>
      </c>
      <c r="F2" s="46">
        <v>533.91666666666663</v>
      </c>
      <c r="G2" s="47" t="s">
        <v>27</v>
      </c>
      <c r="I2" s="68" t="s">
        <v>48</v>
      </c>
      <c r="J2" s="65"/>
      <c r="K2" s="65"/>
      <c r="L2" s="65"/>
      <c r="M2" s="65"/>
    </row>
    <row r="3" spans="1:14" ht="14.1" customHeight="1" x14ac:dyDescent="0.3"/>
    <row r="4" spans="1:14" ht="27.95" customHeight="1" x14ac:dyDescent="0.3">
      <c r="A4" s="1" t="s">
        <v>4</v>
      </c>
      <c r="B4" s="1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1" t="s">
        <v>41</v>
      </c>
      <c r="M4" s="1" t="s">
        <v>11</v>
      </c>
      <c r="N4" s="1" t="s">
        <v>139</v>
      </c>
    </row>
    <row r="5" spans="1:14" ht="18" customHeight="1" x14ac:dyDescent="0.3">
      <c r="A5" s="48">
        <v>1</v>
      </c>
      <c r="B5" s="49">
        <v>20</v>
      </c>
      <c r="C5" s="7">
        <v>733</v>
      </c>
      <c r="D5" s="7">
        <v>179871</v>
      </c>
      <c r="E5" s="7">
        <v>576000</v>
      </c>
      <c r="F5" s="6">
        <v>0.312</v>
      </c>
      <c r="G5" s="50">
        <v>0.79100000000000004</v>
      </c>
      <c r="H5" s="8">
        <v>547</v>
      </c>
      <c r="I5" s="8">
        <v>187372</v>
      </c>
      <c r="J5" s="6">
        <v>0.32500000000000001</v>
      </c>
      <c r="K5" s="6">
        <v>1.024</v>
      </c>
      <c r="L5" s="9">
        <v>1280</v>
      </c>
      <c r="M5" s="6">
        <v>0.99399999999999999</v>
      </c>
      <c r="N5" s="61">
        <v>13.39</v>
      </c>
    </row>
    <row r="6" spans="1:14" ht="18" customHeight="1" x14ac:dyDescent="0.3">
      <c r="A6" s="48">
        <v>2</v>
      </c>
      <c r="B6" s="49">
        <v>16</v>
      </c>
      <c r="C6" s="7">
        <v>672</v>
      </c>
      <c r="D6" s="7">
        <v>157558</v>
      </c>
      <c r="E6" s="7">
        <v>460800</v>
      </c>
      <c r="F6" s="14">
        <v>0.34200000000000003</v>
      </c>
      <c r="G6" s="14">
        <v>0.72499999999999998</v>
      </c>
      <c r="H6" s="8">
        <v>376</v>
      </c>
      <c r="I6" s="8">
        <v>141288</v>
      </c>
      <c r="J6" s="6">
        <v>0.307</v>
      </c>
      <c r="K6" s="14">
        <v>0.70399999999999996</v>
      </c>
      <c r="L6" s="9">
        <v>1048</v>
      </c>
      <c r="M6" s="6">
        <v>0.97899999999999998</v>
      </c>
      <c r="N6" s="61">
        <v>14.04</v>
      </c>
    </row>
    <row r="7" spans="1:14" ht="18" customHeight="1" x14ac:dyDescent="0.3">
      <c r="A7" s="48">
        <v>3</v>
      </c>
      <c r="B7" s="49">
        <v>21</v>
      </c>
      <c r="C7" s="7">
        <v>901</v>
      </c>
      <c r="D7" s="7">
        <v>197417</v>
      </c>
      <c r="E7" s="7">
        <v>604800</v>
      </c>
      <c r="F7" s="50">
        <v>0.32600000000000001</v>
      </c>
      <c r="G7" s="50">
        <v>0.97199999999999998</v>
      </c>
      <c r="H7" s="8">
        <v>600</v>
      </c>
      <c r="I7" s="8">
        <v>223470</v>
      </c>
      <c r="J7" s="6">
        <v>0.36899999999999999</v>
      </c>
      <c r="K7" s="6">
        <v>1.1240000000000001</v>
      </c>
      <c r="L7" s="9">
        <v>1501</v>
      </c>
      <c r="M7" s="6">
        <v>0.996</v>
      </c>
      <c r="N7" s="61">
        <v>14.13</v>
      </c>
    </row>
    <row r="8" spans="1:14" ht="18" customHeight="1" x14ac:dyDescent="0.3">
      <c r="A8" s="48">
        <v>4</v>
      </c>
      <c r="B8" s="49">
        <v>22</v>
      </c>
      <c r="C8" s="7"/>
      <c r="D8" s="7"/>
      <c r="E8" s="7"/>
      <c r="F8" s="50"/>
      <c r="G8" s="6"/>
      <c r="H8" s="8"/>
      <c r="I8" s="8"/>
      <c r="J8" s="6"/>
      <c r="K8" s="6"/>
      <c r="L8" s="9"/>
      <c r="M8" s="6"/>
      <c r="N8" s="61"/>
    </row>
    <row r="9" spans="1:14" ht="18" customHeight="1" x14ac:dyDescent="0.3">
      <c r="A9" s="48">
        <v>5</v>
      </c>
      <c r="B9" s="49">
        <v>18</v>
      </c>
      <c r="C9" s="7"/>
      <c r="D9" s="7"/>
      <c r="E9" s="7"/>
      <c r="F9" s="50"/>
      <c r="G9" s="50"/>
      <c r="H9" s="8"/>
      <c r="I9" s="8"/>
      <c r="J9" s="6"/>
      <c r="K9" s="14"/>
      <c r="L9" s="9"/>
      <c r="M9" s="6"/>
      <c r="N9" s="61"/>
    </row>
    <row r="10" spans="1:14" ht="18" customHeight="1" x14ac:dyDescent="0.3">
      <c r="A10" s="48">
        <v>6</v>
      </c>
      <c r="B10" s="49">
        <v>19</v>
      </c>
      <c r="C10" s="7"/>
      <c r="D10" s="7"/>
      <c r="E10" s="7"/>
      <c r="F10" s="6"/>
      <c r="G10" s="50"/>
      <c r="H10" s="8"/>
      <c r="I10" s="8"/>
      <c r="J10" s="14"/>
      <c r="K10" s="14"/>
      <c r="L10" s="9"/>
      <c r="M10" s="14"/>
      <c r="N10" s="62"/>
    </row>
    <row r="11" spans="1:14" ht="18" customHeight="1" x14ac:dyDescent="0.3">
      <c r="A11" s="48">
        <v>7</v>
      </c>
      <c r="B11" s="49">
        <v>21</v>
      </c>
      <c r="C11" s="7"/>
      <c r="D11" s="7"/>
      <c r="E11" s="7"/>
      <c r="F11" s="6"/>
      <c r="G11" s="6"/>
      <c r="H11" s="8"/>
      <c r="I11" s="8"/>
      <c r="J11" s="6"/>
      <c r="K11" s="6"/>
      <c r="L11" s="9"/>
      <c r="M11" s="6"/>
      <c r="N11" s="61"/>
    </row>
    <row r="12" spans="1:14" ht="18" customHeight="1" x14ac:dyDescent="0.3">
      <c r="A12" s="48">
        <v>8</v>
      </c>
      <c r="B12" s="49">
        <v>18</v>
      </c>
      <c r="C12" s="7"/>
      <c r="D12" s="7"/>
      <c r="E12" s="7"/>
      <c r="F12" s="50"/>
      <c r="G12" s="50"/>
      <c r="H12" s="8"/>
      <c r="I12" s="8"/>
      <c r="J12" s="6"/>
      <c r="K12" s="6"/>
      <c r="L12" s="9"/>
      <c r="M12" s="6"/>
      <c r="N12" s="61"/>
    </row>
    <row r="13" spans="1:14" ht="18" customHeight="1" x14ac:dyDescent="0.3">
      <c r="A13" s="48">
        <v>9</v>
      </c>
      <c r="B13" s="49">
        <v>22</v>
      </c>
      <c r="C13" s="7"/>
      <c r="D13" s="7"/>
      <c r="E13" s="7"/>
      <c r="F13" s="50"/>
      <c r="G13" s="50"/>
      <c r="H13" s="8"/>
      <c r="I13" s="8"/>
      <c r="J13" s="6"/>
      <c r="K13" s="6"/>
      <c r="L13" s="9"/>
      <c r="M13" s="6"/>
      <c r="N13" s="61"/>
    </row>
    <row r="14" spans="1:14" ht="18" customHeight="1" x14ac:dyDescent="0.3">
      <c r="A14" s="48">
        <v>10</v>
      </c>
      <c r="B14" s="49">
        <v>18</v>
      </c>
      <c r="C14" s="7"/>
      <c r="D14" s="7"/>
      <c r="E14" s="7"/>
      <c r="F14" s="50"/>
      <c r="G14" s="50"/>
      <c r="H14" s="8"/>
      <c r="I14" s="8"/>
      <c r="J14" s="6"/>
      <c r="K14" s="6"/>
      <c r="L14" s="9"/>
      <c r="M14" s="6"/>
      <c r="N14" s="61"/>
    </row>
    <row r="15" spans="1:14" ht="18" customHeight="1" x14ac:dyDescent="0.3">
      <c r="A15" s="48">
        <v>11</v>
      </c>
      <c r="B15" s="49">
        <v>20</v>
      </c>
      <c r="C15" s="7"/>
      <c r="D15" s="7"/>
      <c r="E15" s="7"/>
      <c r="F15" s="50"/>
      <c r="G15" s="50"/>
      <c r="H15" s="8"/>
      <c r="I15" s="8"/>
      <c r="J15" s="6"/>
      <c r="K15" s="6"/>
      <c r="L15" s="9"/>
      <c r="M15" s="6"/>
      <c r="N15" s="61"/>
    </row>
    <row r="16" spans="1:14" ht="18" customHeight="1" x14ac:dyDescent="0.3">
      <c r="A16" s="48">
        <v>12</v>
      </c>
      <c r="B16" s="49">
        <v>18</v>
      </c>
      <c r="C16" s="7"/>
      <c r="D16" s="7"/>
      <c r="E16" s="7"/>
      <c r="F16" s="50"/>
      <c r="G16" s="50"/>
      <c r="H16" s="8"/>
      <c r="I16" s="8"/>
      <c r="J16" s="6"/>
      <c r="K16" s="6"/>
      <c r="L16" s="9"/>
      <c r="M16" s="6"/>
      <c r="N16" s="61"/>
    </row>
    <row r="17" spans="1:14" ht="18" customHeight="1" x14ac:dyDescent="0.3">
      <c r="A17" s="51" t="s">
        <v>49</v>
      </c>
      <c r="B17" s="52">
        <v>19</v>
      </c>
      <c r="C17" s="53">
        <v>2306</v>
      </c>
      <c r="D17" s="53">
        <v>178282</v>
      </c>
      <c r="E17" s="53">
        <v>547200</v>
      </c>
      <c r="F17" s="54">
        <v>0.32600000000000001</v>
      </c>
      <c r="G17" s="54">
        <v>0.82899999999999996</v>
      </c>
      <c r="H17" s="53">
        <v>1523</v>
      </c>
      <c r="I17" s="53">
        <v>184043.33333333331</v>
      </c>
      <c r="J17" s="54">
        <v>0.33600000000000002</v>
      </c>
      <c r="K17" s="54">
        <v>0.95099999999999996</v>
      </c>
      <c r="L17" s="53">
        <v>3829</v>
      </c>
      <c r="M17" s="54">
        <v>0.98899999999999999</v>
      </c>
      <c r="N17" s="63">
        <v>13.89</v>
      </c>
    </row>
  </sheetData>
  <mergeCells count="2">
    <mergeCell ref="I2:M2"/>
    <mergeCell ref="A1:M1"/>
  </mergeCells>
  <phoneticPr fontId="1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6.5" x14ac:dyDescent="0.3"/>
  <cols>
    <col min="1" max="1" width="7" customWidth="1"/>
    <col min="2" max="4" width="12" customWidth="1"/>
    <col min="5" max="6" width="11" customWidth="1"/>
    <col min="7" max="8" width="15" customWidth="1"/>
    <col min="9" max="9" width="10" customWidth="1"/>
    <col min="10" max="10" width="30" customWidth="1"/>
  </cols>
  <sheetData>
    <row r="1" spans="1:10" ht="21.95" customHeight="1" x14ac:dyDescent="0.3">
      <c r="A1" s="67" t="s">
        <v>50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15" customHeight="1" x14ac:dyDescent="0.3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27.95" customHeight="1" x14ac:dyDescent="0.3">
      <c r="A3" s="1" t="s">
        <v>3</v>
      </c>
      <c r="B3" s="1" t="s">
        <v>51</v>
      </c>
      <c r="C3" s="1" t="s">
        <v>52</v>
      </c>
      <c r="D3" s="1" t="s">
        <v>53</v>
      </c>
      <c r="E3" s="1" t="s">
        <v>36</v>
      </c>
      <c r="F3" s="1" t="s">
        <v>40</v>
      </c>
      <c r="G3" s="1" t="s">
        <v>54</v>
      </c>
      <c r="H3" s="1" t="s">
        <v>55</v>
      </c>
      <c r="I3" s="1" t="s">
        <v>11</v>
      </c>
      <c r="J3" s="1" t="s">
        <v>19</v>
      </c>
    </row>
    <row r="4" spans="1:10" ht="20.100000000000001" customHeight="1" x14ac:dyDescent="0.3">
      <c r="A4" s="56">
        <v>2022</v>
      </c>
      <c r="B4" s="7">
        <v>16595</v>
      </c>
      <c r="C4" s="8">
        <v>10599</v>
      </c>
      <c r="D4" s="9">
        <v>27194</v>
      </c>
      <c r="E4" s="6">
        <v>1.4914172732991819</v>
      </c>
      <c r="F4" s="6">
        <v>1.6542843764632429</v>
      </c>
      <c r="G4" s="6">
        <v>0.39389204545454548</v>
      </c>
      <c r="H4" s="57">
        <v>0.2980429292929293</v>
      </c>
      <c r="I4" s="6">
        <v>0.98815748149544669</v>
      </c>
      <c r="J4" s="13" t="s">
        <v>56</v>
      </c>
    </row>
    <row r="5" spans="1:10" ht="20.100000000000001" customHeight="1" x14ac:dyDescent="0.3">
      <c r="A5" s="58">
        <v>2023</v>
      </c>
      <c r="B5" s="7">
        <v>11174</v>
      </c>
      <c r="C5" s="8">
        <v>6360</v>
      </c>
      <c r="D5" s="9">
        <v>17534</v>
      </c>
      <c r="E5" s="6">
        <v>1.0042239597375751</v>
      </c>
      <c r="F5" s="6">
        <v>0.99266427345091302</v>
      </c>
      <c r="G5" s="6">
        <v>0.38677162416686361</v>
      </c>
      <c r="H5" s="6">
        <v>0.30382303856495191</v>
      </c>
      <c r="I5" s="14">
        <v>0.98212710230137612</v>
      </c>
      <c r="J5" s="26" t="s">
        <v>57</v>
      </c>
    </row>
    <row r="6" spans="1:10" ht="20.100000000000001" customHeight="1" x14ac:dyDescent="0.3">
      <c r="A6" s="59">
        <v>2024</v>
      </c>
      <c r="B6" s="7">
        <v>8856</v>
      </c>
      <c r="C6" s="8">
        <v>5919</v>
      </c>
      <c r="D6" s="9">
        <v>14775</v>
      </c>
      <c r="E6" s="28">
        <v>0.79590186033971422</v>
      </c>
      <c r="F6" s="6">
        <v>0.92383330732011859</v>
      </c>
      <c r="G6" s="57">
        <v>0.26957622024864353</v>
      </c>
      <c r="H6" s="57">
        <v>0.23052773029414339</v>
      </c>
      <c r="I6" s="6">
        <v>0.99282376713401232</v>
      </c>
      <c r="J6" s="36" t="s">
        <v>57</v>
      </c>
    </row>
    <row r="7" spans="1:10" ht="20.100000000000001" customHeight="1" x14ac:dyDescent="0.3">
      <c r="A7" s="60">
        <v>2025</v>
      </c>
      <c r="B7" s="7">
        <v>8821</v>
      </c>
      <c r="C7" s="8">
        <v>4884</v>
      </c>
      <c r="D7" s="9">
        <v>13705</v>
      </c>
      <c r="E7" s="28">
        <v>0.79275635840747727</v>
      </c>
      <c r="F7" s="28">
        <v>0.7622912439519276</v>
      </c>
      <c r="G7" s="57">
        <v>0.32357262774786211</v>
      </c>
      <c r="H7" s="57">
        <v>0.26574319205011959</v>
      </c>
      <c r="I7" s="6">
        <v>0.99322727762446228</v>
      </c>
      <c r="J7" s="43" t="s">
        <v>57</v>
      </c>
    </row>
    <row r="8" spans="1:10" x14ac:dyDescent="0.3">
      <c r="A8" s="60">
        <v>2026</v>
      </c>
      <c r="B8" s="7">
        <v>2306</v>
      </c>
      <c r="C8" s="8">
        <v>1523</v>
      </c>
      <c r="D8" s="9">
        <v>3829</v>
      </c>
      <c r="E8" s="28">
        <v>0.82899999999999996</v>
      </c>
      <c r="F8" s="28">
        <v>0.95099999999999996</v>
      </c>
      <c r="G8" s="57">
        <v>0.32600000000000001</v>
      </c>
      <c r="H8" s="57">
        <v>0.33600000000000002</v>
      </c>
      <c r="I8" s="6">
        <v>0.98899999999999999</v>
      </c>
      <c r="J8" s="43" t="s">
        <v>58</v>
      </c>
    </row>
  </sheetData>
  <mergeCells count="2">
    <mergeCell ref="A1:J1"/>
    <mergeCell ref="A2:J2"/>
  </mergeCells>
  <phoneticPr fontId="1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6.5" x14ac:dyDescent="0.3"/>
  <cols>
    <col min="1" max="1" width="24" customWidth="1"/>
    <col min="2" max="2" width="90" customWidth="1"/>
  </cols>
  <sheetData>
    <row r="1" spans="1:2" x14ac:dyDescent="0.3">
      <c r="A1" t="s">
        <v>59</v>
      </c>
      <c r="B1" t="s">
        <v>60</v>
      </c>
    </row>
    <row r="2" spans="1:2" x14ac:dyDescent="0.3">
      <c r="A2" t="s">
        <v>61</v>
      </c>
      <c r="B2" t="s">
        <v>62</v>
      </c>
    </row>
    <row r="3" spans="1:2" x14ac:dyDescent="0.3">
      <c r="A3" t="s">
        <v>63</v>
      </c>
      <c r="B3" t="s">
        <v>64</v>
      </c>
    </row>
    <row r="4" spans="1:2" x14ac:dyDescent="0.3">
      <c r="A4" t="s">
        <v>65</v>
      </c>
      <c r="B4">
        <v>927.25</v>
      </c>
    </row>
    <row r="5" spans="1:2" x14ac:dyDescent="0.3">
      <c r="A5" t="s">
        <v>66</v>
      </c>
      <c r="B5">
        <v>533.91999999999996</v>
      </c>
    </row>
    <row r="6" spans="1:2" x14ac:dyDescent="0.3">
      <c r="A6" t="s">
        <v>67</v>
      </c>
      <c r="B6" t="s">
        <v>68</v>
      </c>
    </row>
    <row r="7" spans="1:2" x14ac:dyDescent="0.3">
      <c r="A7" t="s">
        <v>69</v>
      </c>
      <c r="B7" t="s">
        <v>70</v>
      </c>
    </row>
    <row r="8" spans="1:2" x14ac:dyDescent="0.3">
      <c r="A8" t="s">
        <v>71</v>
      </c>
      <c r="B8" t="s">
        <v>72</v>
      </c>
    </row>
    <row r="9" spans="1:2" x14ac:dyDescent="0.3">
      <c r="A9" t="s">
        <v>73</v>
      </c>
      <c r="B9" t="s">
        <v>74</v>
      </c>
    </row>
  </sheetData>
  <phoneticPr fontId="1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8" customWidth="1"/>
    <col min="2" max="5" width="18" customWidth="1"/>
  </cols>
  <sheetData>
    <row r="1" spans="1:4" x14ac:dyDescent="0.3">
      <c r="A1" t="s">
        <v>75</v>
      </c>
    </row>
    <row r="2" spans="1:4" x14ac:dyDescent="0.3">
      <c r="A2" t="s">
        <v>76</v>
      </c>
      <c r="B2" t="s">
        <v>77</v>
      </c>
    </row>
    <row r="3" spans="1:4" x14ac:dyDescent="0.3">
      <c r="A3" t="s">
        <v>61</v>
      </c>
      <c r="B3" t="s">
        <v>78</v>
      </c>
    </row>
    <row r="4" spans="1:4" x14ac:dyDescent="0.3">
      <c r="A4" t="s">
        <v>79</v>
      </c>
      <c r="B4" t="s">
        <v>80</v>
      </c>
    </row>
    <row r="5" spans="1:4" x14ac:dyDescent="0.3">
      <c r="A5" t="s">
        <v>81</v>
      </c>
      <c r="B5">
        <v>190</v>
      </c>
    </row>
    <row r="6" spans="1:4" x14ac:dyDescent="0.3">
      <c r="A6" t="s">
        <v>82</v>
      </c>
      <c r="B6">
        <v>13.89</v>
      </c>
    </row>
    <row r="7" spans="1:4" x14ac:dyDescent="0.3">
      <c r="A7" t="s">
        <v>83</v>
      </c>
      <c r="B7">
        <v>14.17</v>
      </c>
    </row>
    <row r="9" spans="1:4" x14ac:dyDescent="0.3">
      <c r="A9" t="s">
        <v>84</v>
      </c>
      <c r="B9" t="s">
        <v>85</v>
      </c>
      <c r="C9" t="s">
        <v>86</v>
      </c>
      <c r="D9" t="s">
        <v>87</v>
      </c>
    </row>
    <row r="10" spans="1:4" x14ac:dyDescent="0.3">
      <c r="A10">
        <v>1</v>
      </c>
      <c r="B10">
        <v>13.39</v>
      </c>
      <c r="C10">
        <v>54</v>
      </c>
      <c r="D10">
        <v>11.3</v>
      </c>
    </row>
    <row r="11" spans="1:4" x14ac:dyDescent="0.3">
      <c r="A11">
        <v>2</v>
      </c>
      <c r="B11">
        <v>14.04</v>
      </c>
      <c r="C11">
        <v>68</v>
      </c>
      <c r="D11">
        <v>15.52</v>
      </c>
    </row>
    <row r="12" spans="1:4" x14ac:dyDescent="0.3">
      <c r="A12">
        <v>3</v>
      </c>
      <c r="B12">
        <v>14.13</v>
      </c>
      <c r="C12">
        <v>68</v>
      </c>
      <c r="D12">
        <v>15.65</v>
      </c>
    </row>
  </sheetData>
  <phoneticPr fontId="1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pane ySplit="2" topLeftCell="A3" activePane="bottomLeft" state="frozen"/>
      <selection pane="bottomLeft"/>
    </sheetView>
  </sheetViews>
  <sheetFormatPr defaultRowHeight="16.5" x14ac:dyDescent="0.3"/>
  <cols>
    <col min="1" max="1" width="28" customWidth="1"/>
    <col min="2" max="5" width="18" customWidth="1"/>
  </cols>
  <sheetData>
    <row r="1" spans="1:5" x14ac:dyDescent="0.3">
      <c r="A1" t="s">
        <v>88</v>
      </c>
    </row>
    <row r="2" spans="1:5" x14ac:dyDescent="0.3">
      <c r="A2" t="s">
        <v>89</v>
      </c>
      <c r="B2" t="s">
        <v>85</v>
      </c>
      <c r="C2" t="s">
        <v>87</v>
      </c>
      <c r="D2" t="s">
        <v>86</v>
      </c>
      <c r="E2" t="s">
        <v>90</v>
      </c>
    </row>
    <row r="3" spans="1:5" x14ac:dyDescent="0.3">
      <c r="A3" t="s">
        <v>91</v>
      </c>
      <c r="B3">
        <v>29.5</v>
      </c>
      <c r="C3">
        <v>34.369999999999997</v>
      </c>
      <c r="D3">
        <v>2</v>
      </c>
      <c r="E3">
        <v>57</v>
      </c>
    </row>
    <row r="4" spans="1:5" x14ac:dyDescent="0.3">
      <c r="A4" t="s">
        <v>92</v>
      </c>
      <c r="B4">
        <v>23.75</v>
      </c>
      <c r="C4">
        <v>28.01</v>
      </c>
      <c r="D4">
        <v>4</v>
      </c>
      <c r="E4">
        <v>70</v>
      </c>
    </row>
    <row r="5" spans="1:5" x14ac:dyDescent="0.3">
      <c r="A5" t="s">
        <v>93</v>
      </c>
      <c r="B5">
        <v>23</v>
      </c>
      <c r="C5">
        <v>23</v>
      </c>
      <c r="D5">
        <v>3</v>
      </c>
      <c r="E5">
        <v>43</v>
      </c>
    </row>
    <row r="6" spans="1:5" x14ac:dyDescent="0.3">
      <c r="A6" t="s">
        <v>94</v>
      </c>
      <c r="B6">
        <v>20.6</v>
      </c>
      <c r="C6">
        <v>18.079999999999998</v>
      </c>
      <c r="D6">
        <v>5</v>
      </c>
      <c r="E6">
        <v>24</v>
      </c>
    </row>
    <row r="7" spans="1:5" x14ac:dyDescent="0.3">
      <c r="A7" t="s">
        <v>95</v>
      </c>
      <c r="B7">
        <v>20</v>
      </c>
      <c r="C7">
        <v>20</v>
      </c>
      <c r="D7">
        <v>1</v>
      </c>
      <c r="E7">
        <v>4</v>
      </c>
    </row>
    <row r="8" spans="1:5" x14ac:dyDescent="0.3">
      <c r="A8" t="s">
        <v>96</v>
      </c>
      <c r="B8">
        <v>19.5</v>
      </c>
      <c r="C8">
        <v>18.829999999999998</v>
      </c>
      <c r="D8">
        <v>4</v>
      </c>
      <c r="E8">
        <v>47</v>
      </c>
    </row>
    <row r="9" spans="1:5" x14ac:dyDescent="0.3">
      <c r="A9" t="s">
        <v>97</v>
      </c>
      <c r="B9">
        <v>19</v>
      </c>
      <c r="C9">
        <v>19</v>
      </c>
      <c r="D9">
        <v>1</v>
      </c>
      <c r="E9">
        <v>10</v>
      </c>
    </row>
    <row r="10" spans="1:5" x14ac:dyDescent="0.3">
      <c r="A10" t="s">
        <v>98</v>
      </c>
      <c r="B10">
        <v>19</v>
      </c>
      <c r="C10">
        <v>19</v>
      </c>
      <c r="D10">
        <v>1</v>
      </c>
      <c r="E10">
        <v>2</v>
      </c>
    </row>
    <row r="11" spans="1:5" x14ac:dyDescent="0.3">
      <c r="A11" t="s">
        <v>99</v>
      </c>
      <c r="B11">
        <v>19</v>
      </c>
      <c r="C11">
        <v>19</v>
      </c>
      <c r="D11">
        <v>1</v>
      </c>
      <c r="E11">
        <v>8</v>
      </c>
    </row>
    <row r="12" spans="1:5" x14ac:dyDescent="0.3">
      <c r="A12" t="s">
        <v>100</v>
      </c>
      <c r="B12">
        <v>18</v>
      </c>
      <c r="C12">
        <v>15.04</v>
      </c>
      <c r="D12">
        <v>3</v>
      </c>
      <c r="E12">
        <v>67</v>
      </c>
    </row>
    <row r="13" spans="1:5" x14ac:dyDescent="0.3">
      <c r="A13" t="s">
        <v>101</v>
      </c>
      <c r="B13">
        <v>18</v>
      </c>
      <c r="C13">
        <v>18</v>
      </c>
      <c r="D13">
        <v>1</v>
      </c>
      <c r="E13">
        <v>32</v>
      </c>
    </row>
    <row r="14" spans="1:5" x14ac:dyDescent="0.3">
      <c r="A14" t="s">
        <v>102</v>
      </c>
      <c r="B14">
        <v>17.5</v>
      </c>
      <c r="C14">
        <v>14.58</v>
      </c>
      <c r="D14">
        <v>2</v>
      </c>
      <c r="E14">
        <v>12</v>
      </c>
    </row>
    <row r="15" spans="1:5" x14ac:dyDescent="0.3">
      <c r="A15" t="s">
        <v>103</v>
      </c>
      <c r="B15">
        <v>17</v>
      </c>
      <c r="C15">
        <v>17</v>
      </c>
      <c r="D15">
        <v>1</v>
      </c>
      <c r="E15">
        <v>50</v>
      </c>
    </row>
    <row r="16" spans="1:5" x14ac:dyDescent="0.3">
      <c r="A16" t="s">
        <v>104</v>
      </c>
      <c r="B16">
        <v>16.88</v>
      </c>
      <c r="C16">
        <v>17.18</v>
      </c>
      <c r="D16">
        <v>8</v>
      </c>
      <c r="E16">
        <v>125</v>
      </c>
    </row>
    <row r="17" spans="1:5" x14ac:dyDescent="0.3">
      <c r="A17" t="s">
        <v>105</v>
      </c>
      <c r="B17">
        <v>16.5</v>
      </c>
      <c r="C17">
        <v>15.92</v>
      </c>
      <c r="D17">
        <v>4</v>
      </c>
      <c r="E17">
        <v>286</v>
      </c>
    </row>
    <row r="18" spans="1:5" x14ac:dyDescent="0.3">
      <c r="A18" t="s">
        <v>106</v>
      </c>
      <c r="B18">
        <v>16.5</v>
      </c>
      <c r="C18">
        <v>16.03</v>
      </c>
      <c r="D18">
        <v>2</v>
      </c>
      <c r="E18">
        <v>30</v>
      </c>
    </row>
    <row r="19" spans="1:5" x14ac:dyDescent="0.3">
      <c r="A19" t="s">
        <v>107</v>
      </c>
      <c r="B19">
        <v>16</v>
      </c>
      <c r="C19">
        <v>14.83</v>
      </c>
      <c r="D19">
        <v>3</v>
      </c>
      <c r="E19">
        <v>331</v>
      </c>
    </row>
    <row r="20" spans="1:5" x14ac:dyDescent="0.3">
      <c r="A20" t="s">
        <v>108</v>
      </c>
      <c r="B20">
        <v>15.67</v>
      </c>
      <c r="C20">
        <v>16.86</v>
      </c>
      <c r="D20">
        <v>3</v>
      </c>
      <c r="E20">
        <v>70</v>
      </c>
    </row>
    <row r="21" spans="1:5" x14ac:dyDescent="0.3">
      <c r="A21" t="s">
        <v>109</v>
      </c>
      <c r="B21">
        <v>15.2</v>
      </c>
      <c r="C21">
        <v>19.34</v>
      </c>
      <c r="D21">
        <v>15</v>
      </c>
      <c r="E21">
        <v>470</v>
      </c>
    </row>
    <row r="22" spans="1:5" x14ac:dyDescent="0.3">
      <c r="A22" t="s">
        <v>110</v>
      </c>
      <c r="B22">
        <v>15</v>
      </c>
      <c r="C22">
        <v>14.23</v>
      </c>
      <c r="D22">
        <v>3</v>
      </c>
      <c r="E22">
        <v>508</v>
      </c>
    </row>
    <row r="23" spans="1:5" x14ac:dyDescent="0.3">
      <c r="A23" t="s">
        <v>111</v>
      </c>
      <c r="B23">
        <v>15</v>
      </c>
      <c r="C23">
        <v>15.05</v>
      </c>
      <c r="D23">
        <v>2</v>
      </c>
      <c r="E23">
        <v>84</v>
      </c>
    </row>
    <row r="24" spans="1:5" x14ac:dyDescent="0.3">
      <c r="A24" t="s">
        <v>112</v>
      </c>
      <c r="B24">
        <v>15</v>
      </c>
      <c r="C24">
        <v>15</v>
      </c>
      <c r="D24">
        <v>1</v>
      </c>
      <c r="E24">
        <v>79</v>
      </c>
    </row>
    <row r="25" spans="1:5" x14ac:dyDescent="0.3">
      <c r="A25" t="s">
        <v>113</v>
      </c>
      <c r="B25">
        <v>14.33</v>
      </c>
      <c r="C25">
        <v>12.93</v>
      </c>
      <c r="D25">
        <v>18</v>
      </c>
      <c r="E25">
        <v>600</v>
      </c>
    </row>
    <row r="26" spans="1:5" x14ac:dyDescent="0.3">
      <c r="A26" t="s">
        <v>114</v>
      </c>
      <c r="B26">
        <v>14.25</v>
      </c>
      <c r="C26">
        <v>15.35</v>
      </c>
      <c r="D26">
        <v>12</v>
      </c>
      <c r="E26">
        <v>268</v>
      </c>
    </row>
    <row r="27" spans="1:5" x14ac:dyDescent="0.3">
      <c r="A27" t="s">
        <v>115</v>
      </c>
      <c r="B27">
        <v>14</v>
      </c>
      <c r="C27">
        <v>14</v>
      </c>
      <c r="D27">
        <v>1</v>
      </c>
      <c r="E27">
        <v>13</v>
      </c>
    </row>
    <row r="28" spans="1:5" x14ac:dyDescent="0.3">
      <c r="A28" t="s">
        <v>116</v>
      </c>
      <c r="B28">
        <v>14</v>
      </c>
      <c r="C28">
        <v>14</v>
      </c>
      <c r="D28">
        <v>1</v>
      </c>
      <c r="E28">
        <v>7</v>
      </c>
    </row>
    <row r="29" spans="1:5" x14ac:dyDescent="0.3">
      <c r="A29" t="s">
        <v>117</v>
      </c>
      <c r="B29">
        <v>14</v>
      </c>
      <c r="C29">
        <v>14</v>
      </c>
      <c r="D29">
        <v>1</v>
      </c>
      <c r="E29">
        <v>95</v>
      </c>
    </row>
    <row r="30" spans="1:5" x14ac:dyDescent="0.3">
      <c r="A30" t="s">
        <v>118</v>
      </c>
      <c r="B30">
        <v>13.33</v>
      </c>
      <c r="C30">
        <v>12.2</v>
      </c>
      <c r="D30">
        <v>3</v>
      </c>
      <c r="E30">
        <v>10</v>
      </c>
    </row>
    <row r="31" spans="1:5" x14ac:dyDescent="0.3">
      <c r="A31" t="s">
        <v>119</v>
      </c>
      <c r="B31">
        <v>13</v>
      </c>
      <c r="C31">
        <v>12.79</v>
      </c>
      <c r="D31">
        <v>4</v>
      </c>
      <c r="E31">
        <v>120</v>
      </c>
    </row>
    <row r="32" spans="1:5" x14ac:dyDescent="0.3">
      <c r="A32" t="s">
        <v>120</v>
      </c>
      <c r="B32">
        <v>13</v>
      </c>
      <c r="C32">
        <v>13.11</v>
      </c>
      <c r="D32">
        <v>2</v>
      </c>
      <c r="E32">
        <v>70</v>
      </c>
    </row>
    <row r="33" spans="1:5" x14ac:dyDescent="0.3">
      <c r="A33" t="s">
        <v>121</v>
      </c>
      <c r="B33">
        <v>13</v>
      </c>
      <c r="C33">
        <v>13</v>
      </c>
      <c r="D33">
        <v>1</v>
      </c>
      <c r="E33">
        <v>15</v>
      </c>
    </row>
    <row r="34" spans="1:5" x14ac:dyDescent="0.3">
      <c r="A34" t="s">
        <v>122</v>
      </c>
      <c r="B34">
        <v>12.9</v>
      </c>
      <c r="C34">
        <v>15.97</v>
      </c>
      <c r="D34">
        <v>21</v>
      </c>
      <c r="E34">
        <v>189</v>
      </c>
    </row>
    <row r="35" spans="1:5" x14ac:dyDescent="0.3">
      <c r="A35" t="s">
        <v>123</v>
      </c>
      <c r="B35">
        <v>12.5</v>
      </c>
      <c r="C35">
        <v>15.6</v>
      </c>
      <c r="D35">
        <v>4</v>
      </c>
      <c r="E35">
        <v>109</v>
      </c>
    </row>
    <row r="36" spans="1:5" x14ac:dyDescent="0.3">
      <c r="A36" t="s">
        <v>124</v>
      </c>
      <c r="B36">
        <v>12</v>
      </c>
      <c r="C36">
        <v>12</v>
      </c>
      <c r="D36">
        <v>1</v>
      </c>
      <c r="E36">
        <v>1</v>
      </c>
    </row>
    <row r="37" spans="1:5" x14ac:dyDescent="0.3">
      <c r="A37" t="s">
        <v>125</v>
      </c>
      <c r="B37">
        <v>11.67</v>
      </c>
      <c r="C37">
        <v>13.52</v>
      </c>
      <c r="D37">
        <v>3</v>
      </c>
      <c r="E37">
        <v>113</v>
      </c>
    </row>
    <row r="38" spans="1:5" x14ac:dyDescent="0.3">
      <c r="A38" t="s">
        <v>126</v>
      </c>
      <c r="B38">
        <v>11</v>
      </c>
      <c r="C38">
        <v>11.78</v>
      </c>
      <c r="D38">
        <v>3</v>
      </c>
      <c r="E38">
        <v>95</v>
      </c>
    </row>
    <row r="39" spans="1:5" x14ac:dyDescent="0.3">
      <c r="A39" t="s">
        <v>127</v>
      </c>
      <c r="B39">
        <v>11</v>
      </c>
      <c r="C39">
        <v>11</v>
      </c>
      <c r="D39">
        <v>2</v>
      </c>
      <c r="E39">
        <v>4</v>
      </c>
    </row>
    <row r="40" spans="1:5" x14ac:dyDescent="0.3">
      <c r="A40" t="s">
        <v>128</v>
      </c>
      <c r="B40">
        <v>11</v>
      </c>
      <c r="C40">
        <v>11</v>
      </c>
      <c r="D40">
        <v>2</v>
      </c>
      <c r="E40">
        <v>7</v>
      </c>
    </row>
    <row r="41" spans="1:5" x14ac:dyDescent="0.3">
      <c r="A41" t="s">
        <v>129</v>
      </c>
      <c r="B41">
        <v>11</v>
      </c>
      <c r="C41">
        <v>11</v>
      </c>
      <c r="D41">
        <v>1</v>
      </c>
      <c r="E41">
        <v>10</v>
      </c>
    </row>
    <row r="42" spans="1:5" x14ac:dyDescent="0.3">
      <c r="A42" t="s">
        <v>130</v>
      </c>
      <c r="B42">
        <v>10.89</v>
      </c>
      <c r="C42">
        <v>12.99</v>
      </c>
      <c r="D42">
        <v>9</v>
      </c>
      <c r="E42">
        <v>82</v>
      </c>
    </row>
    <row r="43" spans="1:5" x14ac:dyDescent="0.3">
      <c r="A43" t="s">
        <v>131</v>
      </c>
      <c r="B43">
        <v>10.75</v>
      </c>
      <c r="C43">
        <v>13</v>
      </c>
      <c r="D43">
        <v>4</v>
      </c>
      <c r="E43">
        <v>13</v>
      </c>
    </row>
    <row r="44" spans="1:5" x14ac:dyDescent="0.3">
      <c r="A44" t="s">
        <v>132</v>
      </c>
      <c r="B44">
        <v>10</v>
      </c>
      <c r="C44">
        <v>10.07</v>
      </c>
      <c r="D44">
        <v>2</v>
      </c>
      <c r="E44">
        <v>27</v>
      </c>
    </row>
    <row r="45" spans="1:5" x14ac:dyDescent="0.3">
      <c r="A45" t="s">
        <v>133</v>
      </c>
      <c r="B45">
        <v>10</v>
      </c>
      <c r="C45">
        <v>10</v>
      </c>
      <c r="D45">
        <v>1</v>
      </c>
      <c r="E45">
        <v>14</v>
      </c>
    </row>
    <row r="46" spans="1:5" x14ac:dyDescent="0.3">
      <c r="A46" t="s">
        <v>134</v>
      </c>
      <c r="B46">
        <v>9.75</v>
      </c>
      <c r="C46">
        <v>10.73</v>
      </c>
      <c r="D46">
        <v>4</v>
      </c>
      <c r="E46">
        <v>134</v>
      </c>
    </row>
    <row r="47" spans="1:5" x14ac:dyDescent="0.3">
      <c r="A47" t="s">
        <v>135</v>
      </c>
      <c r="B47">
        <v>7.67</v>
      </c>
      <c r="C47">
        <v>11.48</v>
      </c>
      <c r="D47">
        <v>12</v>
      </c>
      <c r="E47">
        <v>266</v>
      </c>
    </row>
    <row r="48" spans="1:5" x14ac:dyDescent="0.3">
      <c r="A48" t="s">
        <v>136</v>
      </c>
      <c r="B48">
        <v>5.5</v>
      </c>
      <c r="C48">
        <v>3.06</v>
      </c>
      <c r="D48">
        <v>2</v>
      </c>
      <c r="E48">
        <v>406</v>
      </c>
    </row>
    <row r="49" spans="1:5" x14ac:dyDescent="0.3">
      <c r="A49" t="s">
        <v>137</v>
      </c>
      <c r="B49">
        <v>4</v>
      </c>
      <c r="C49">
        <v>6.22</v>
      </c>
      <c r="D49">
        <v>2</v>
      </c>
      <c r="E49">
        <v>9</v>
      </c>
    </row>
    <row r="50" spans="1:5" x14ac:dyDescent="0.3">
      <c r="A50" t="s">
        <v>138</v>
      </c>
      <c r="B50">
        <v>2</v>
      </c>
      <c r="C50">
        <v>4.3600000000000003</v>
      </c>
      <c r="D50">
        <v>4</v>
      </c>
      <c r="E50">
        <v>55</v>
      </c>
    </row>
  </sheetData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연도별 종합 비교</vt:lpstr>
      <vt:lpstr>2022년</vt:lpstr>
      <vt:lpstr>2023년</vt:lpstr>
      <vt:lpstr>2024년</vt:lpstr>
      <vt:lpstr>2025년</vt:lpstr>
      <vt:lpstr>2026Y_Codex</vt:lpstr>
      <vt:lpstr>연간 트렌드</vt:lpstr>
      <vt:lpstr>Codex_Source</vt:lpstr>
      <vt:lpstr>Leadtime_Summary</vt:lpstr>
      <vt:lpstr>Leadtime_By_Customer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TOOLKOREA</cp:lastModifiedBy>
  <dcterms:created xsi:type="dcterms:W3CDTF">2026-04-21T06:51:42Z</dcterms:created>
  <dcterms:modified xsi:type="dcterms:W3CDTF">2026-04-29T02:31:39Z</dcterms:modified>
</cp:coreProperties>
</file>