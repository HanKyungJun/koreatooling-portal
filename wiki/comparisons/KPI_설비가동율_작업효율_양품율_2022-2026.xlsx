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도별 종합 비교" sheetId="1" state="visible" r:id="rId1"/>
    <sheet name="2022년" sheetId="2" state="visible" r:id="rId2"/>
    <sheet name="2023년" sheetId="3" state="visible" r:id="rId3"/>
    <sheet name="2024년" sheetId="4" state="visible" r:id="rId4"/>
    <sheet name="2025년" sheetId="5" state="visible" r:id="rId5"/>
    <sheet name="연간 트렌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444444"/>
      <sz val="9"/>
    </font>
    <font>
      <name val="맑은 고딕"/>
      <i val="1"/>
      <color rgb="00CC0000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i val="1"/>
      <color rgb="00AAAAAA"/>
      <sz val="9"/>
    </font>
    <font>
      <name val="맑은 고딕"/>
      <b val="1"/>
      <color rgb="00000000"/>
      <sz val="9"/>
    </font>
    <font>
      <name val="맑은 고딕"/>
      <b val="1"/>
      <color rgb="000000FF"/>
      <sz val="10"/>
    </font>
    <font>
      <name val="맑은 고딕"/>
      <sz val="9"/>
    </font>
    <font>
      <name val="맑은 고딕"/>
      <i val="1"/>
      <color rgb="00888888"/>
      <sz val="8"/>
    </font>
    <font>
      <name val="맑은 고딕"/>
      <b val="1"/>
      <sz val="10"/>
    </font>
    <font>
      <name val="맑은 고딕"/>
      <i val="1"/>
      <color rgb="00CC6600"/>
      <sz val="9"/>
    </font>
  </fonts>
  <fills count="1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5B6"/>
      </patternFill>
    </fill>
    <fill>
      <patternFill patternType="solid">
        <fgColor rgb="00FFF0F5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FE0E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FF0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888888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3" fontId="6" fillId="7" borderId="2" applyAlignment="1" pivotButton="0" quotePrefix="0" xfId="0">
      <alignment horizontal="center" vertical="center"/>
    </xf>
    <xf numFmtId="3" fontId="6" fillId="6" borderId="2" applyAlignment="1" pivotButton="0" quotePrefix="0" xfId="0">
      <alignment horizontal="center" vertical="center"/>
    </xf>
    <xf numFmtId="3" fontId="6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3" fontId="6" fillId="10" borderId="2" applyAlignment="1" pivotButton="0" quotePrefix="0" xfId="0">
      <alignment horizontal="center" vertical="center"/>
    </xf>
    <xf numFmtId="164" fontId="6" fillId="10" borderId="2" applyAlignment="1" pivotButton="0" quotePrefix="0" xfId="0">
      <alignment horizontal="center" vertical="center"/>
    </xf>
    <xf numFmtId="164" fontId="6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3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3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3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164" fontId="6" fillId="1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4" fontId="9" fillId="13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0" fontId="5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165" fontId="12" fillId="14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1" customWidth="1" min="14" max="14"/>
    <col width="8" customWidth="1" min="15" max="15"/>
    <col width="6" customWidth="1" min="16" max="16"/>
    <col width="16" customWidth="1" min="17" max="17"/>
  </cols>
  <sheetData>
    <row r="1" ht="22" customHeight="1">
      <c r="A1" s="1" t="inlineStr">
        <is>
          <t>2022~2025년 재연마 KPI 연도별 종합 비교  —  설비가동율 · 작업효율 · 양품율</t>
        </is>
      </c>
    </row>
    <row r="2" ht="15" customHeight="1">
      <c r="A2" s="2" t="inlineStr">
        <is>
          <t>▶ 설비가동율 = 가공시간 ÷ 근무시간  |  작업효율 = 실생산량 ÷ 표준생산량(FG:927.25, GX7:533.92)  |  양품율 = (출하량-불량) ÷ 출하량</t>
        </is>
      </c>
    </row>
    <row r="3" ht="15" customHeight="1">
      <c r="A3" s="3" t="inlineStr">
        <is>
          <t>⚠️ 2022년 1~10월 가공시간 원본 기록 오류 → 설비가동율 N/A  |  2022년 출하현황 5~12월만 존재 → 1~4월 양품율 N/A</t>
        </is>
      </c>
    </row>
    <row r="4" ht="28" customHeight="1">
      <c r="A4" s="4" t="inlineStr">
        <is>
          <t>연도</t>
        </is>
      </c>
      <c r="B4" s="4" t="inlineStr">
        <is>
          <t>월</t>
        </is>
      </c>
      <c r="C4" s="4" t="inlineStr">
        <is>
          <t>근무일(일)</t>
        </is>
      </c>
      <c r="D4" s="5" t="inlineStr">
        <is>
          <t>FG가동율</t>
        </is>
      </c>
      <c r="E4" s="5" t="inlineStr">
        <is>
          <t>GX7가동율</t>
        </is>
      </c>
      <c r="F4" s="5" t="inlineStr">
        <is>
          <t>합계가동율</t>
        </is>
      </c>
      <c r="G4" s="5" t="inlineStr">
        <is>
          <t>FG작업효율</t>
        </is>
      </c>
      <c r="H4" s="5" t="inlineStr">
        <is>
          <t>GX7작업효율</t>
        </is>
      </c>
      <c r="I4" s="4" t="inlineStr">
        <is>
          <t>양품율</t>
        </is>
      </c>
      <c r="J4" s="4" t="inlineStr">
        <is>
          <t>FG생산</t>
        </is>
      </c>
      <c r="K4" s="4" t="inlineStr">
        <is>
          <t>GX7생산</t>
        </is>
      </c>
      <c r="L4" s="4" t="inlineStr">
        <is>
          <t>합계생산</t>
        </is>
      </c>
      <c r="M4" s="4" t="inlineStr">
        <is>
          <t>FG시간(초)</t>
        </is>
      </c>
      <c r="N4" s="4" t="inlineStr">
        <is>
          <t>GX7시간(초)</t>
        </is>
      </c>
      <c r="O4" s="4" t="inlineStr">
        <is>
          <t>출하량</t>
        </is>
      </c>
      <c r="P4" s="4" t="inlineStr">
        <is>
          <t>불량</t>
        </is>
      </c>
      <c r="Q4" s="4" t="inlineStr">
        <is>
          <t>비고</t>
        </is>
      </c>
    </row>
    <row r="5" ht="17" customHeight="1">
      <c r="A5" s="6" t="n">
        <v>2022</v>
      </c>
      <c r="B5" s="6" t="n">
        <v>1</v>
      </c>
      <c r="C5" s="7" t="n">
        <v>20</v>
      </c>
      <c r="D5" s="8" t="inlineStr">
        <is>
          <t>N/A</t>
        </is>
      </c>
      <c r="E5" s="8" t="inlineStr">
        <is>
          <t>N/A</t>
        </is>
      </c>
      <c r="F5" s="8" t="inlineStr">
        <is>
          <t>N/A</t>
        </is>
      </c>
      <c r="G5" s="9" t="n">
        <v>2.374764087355082</v>
      </c>
      <c r="H5" s="9" t="n">
        <v>2.466677071952552</v>
      </c>
      <c r="I5" s="8" t="inlineStr">
        <is>
          <t>N/A</t>
        </is>
      </c>
      <c r="J5" s="10" t="n">
        <v>2202</v>
      </c>
      <c r="K5" s="11" t="n">
        <v>1317</v>
      </c>
      <c r="L5" s="12" t="n">
        <v>3519</v>
      </c>
      <c r="M5" s="13" t="n"/>
      <c r="N5" s="14" t="n"/>
      <c r="O5" s="15" t="n"/>
      <c r="P5" s="15" t="n"/>
      <c r="Q5" s="16" t="inlineStr"/>
    </row>
    <row r="6" ht="17" customHeight="1">
      <c r="A6" s="6" t="n">
        <v>2022</v>
      </c>
      <c r="B6" s="6" t="n">
        <v>2</v>
      </c>
      <c r="C6" s="7" t="n">
        <v>18</v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9" t="n">
        <v>2.008088433540038</v>
      </c>
      <c r="H6" s="9" t="n">
        <v>2.646480412049321</v>
      </c>
      <c r="I6" s="8" t="inlineStr">
        <is>
          <t>N/A</t>
        </is>
      </c>
      <c r="J6" s="10" t="n">
        <v>1862</v>
      </c>
      <c r="K6" s="11" t="n">
        <v>1413</v>
      </c>
      <c r="L6" s="12" t="n">
        <v>3275</v>
      </c>
      <c r="M6" s="13" t="n"/>
      <c r="N6" s="14" t="n"/>
      <c r="O6" s="15" t="n"/>
      <c r="P6" s="15" t="n"/>
      <c r="Q6" s="16" t="inlineStr"/>
    </row>
    <row r="7" ht="17" customHeight="1">
      <c r="A7" s="6" t="n">
        <v>2022</v>
      </c>
      <c r="B7" s="6" t="n">
        <v>3</v>
      </c>
      <c r="C7" s="7" t="n">
        <v>17</v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9" t="n">
        <v>1.345915341062281</v>
      </c>
      <c r="H7" s="9" t="n">
        <v>1.455283283908225</v>
      </c>
      <c r="I7" s="8" t="inlineStr">
        <is>
          <t>N/A</t>
        </is>
      </c>
      <c r="J7" s="10" t="n">
        <v>1248</v>
      </c>
      <c r="K7" s="11" t="n">
        <v>777</v>
      </c>
      <c r="L7" s="12" t="n">
        <v>2025</v>
      </c>
      <c r="M7" s="13" t="n"/>
      <c r="N7" s="14" t="n"/>
      <c r="O7" s="15" t="n"/>
      <c r="P7" s="15" t="n"/>
      <c r="Q7" s="16" t="inlineStr"/>
    </row>
    <row r="8" ht="17" customHeight="1">
      <c r="A8" s="6" t="n">
        <v>2022</v>
      </c>
      <c r="B8" s="6" t="n">
        <v>4</v>
      </c>
      <c r="C8" s="7" t="n">
        <v>22</v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9" t="n">
        <v>1.810730655163117</v>
      </c>
      <c r="H8" s="9" t="n">
        <v>2.118308100515062</v>
      </c>
      <c r="I8" s="8" t="inlineStr">
        <is>
          <t>N/A</t>
        </is>
      </c>
      <c r="J8" s="10" t="n">
        <v>1679</v>
      </c>
      <c r="K8" s="11" t="n">
        <v>1131</v>
      </c>
      <c r="L8" s="12" t="n">
        <v>2810</v>
      </c>
      <c r="M8" s="13" t="n"/>
      <c r="N8" s="14" t="n"/>
      <c r="O8" s="15" t="n"/>
      <c r="P8" s="15" t="n"/>
      <c r="Q8" s="16" t="inlineStr"/>
    </row>
    <row r="9" ht="17" customHeight="1">
      <c r="A9" s="6" t="n">
        <v>2022</v>
      </c>
      <c r="B9" s="6" t="n">
        <v>5</v>
      </c>
      <c r="C9" s="7" t="n">
        <v>22</v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9" t="n">
        <v>2.105149636020491</v>
      </c>
      <c r="H9" s="9" t="n">
        <v>2.167004838457937</v>
      </c>
      <c r="I9" s="9" t="n">
        <v>0.9939024390243902</v>
      </c>
      <c r="J9" s="10" t="n">
        <v>1952</v>
      </c>
      <c r="K9" s="11" t="n">
        <v>1157</v>
      </c>
      <c r="L9" s="12" t="n">
        <v>3109</v>
      </c>
      <c r="M9" s="13" t="n"/>
      <c r="N9" s="14" t="n"/>
      <c r="O9" s="7" t="n">
        <v>164</v>
      </c>
      <c r="P9" s="7" t="n">
        <v>1</v>
      </c>
      <c r="Q9" s="16" t="inlineStr"/>
    </row>
    <row r="10" ht="17" customHeight="1">
      <c r="A10" s="6" t="n">
        <v>2022</v>
      </c>
      <c r="B10" s="6" t="n">
        <v>6</v>
      </c>
      <c r="C10" s="7" t="n">
        <v>20</v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9" t="n">
        <v>1.337287678619574</v>
      </c>
      <c r="H10" s="9" t="n">
        <v>1.408459497424692</v>
      </c>
      <c r="I10" s="9" t="n">
        <v>0.9898456539398862</v>
      </c>
      <c r="J10" s="10" t="n">
        <v>1240</v>
      </c>
      <c r="K10" s="11" t="n">
        <v>752</v>
      </c>
      <c r="L10" s="12" t="n">
        <v>1992</v>
      </c>
      <c r="M10" s="13" t="n"/>
      <c r="N10" s="14" t="n"/>
      <c r="O10" s="7" t="n">
        <v>2462</v>
      </c>
      <c r="P10" s="7" t="n">
        <v>25</v>
      </c>
      <c r="Q10" s="16" t="inlineStr"/>
    </row>
    <row r="11" ht="17" customHeight="1">
      <c r="A11" s="6" t="n">
        <v>2022</v>
      </c>
      <c r="B11" s="6" t="n">
        <v>7</v>
      </c>
      <c r="C11" s="7" t="n">
        <v>21</v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9" t="n">
        <v>1.418172014019951</v>
      </c>
      <c r="H11" s="9" t="n">
        <v>1.556422662712658</v>
      </c>
      <c r="I11" s="17" t="n">
        <v>0.9741242038216561</v>
      </c>
      <c r="J11" s="10" t="n">
        <v>1315</v>
      </c>
      <c r="K11" s="11" t="n">
        <v>831</v>
      </c>
      <c r="L11" s="12" t="n">
        <v>2146</v>
      </c>
      <c r="M11" s="13" t="n"/>
      <c r="N11" s="14" t="n"/>
      <c r="O11" s="7" t="n">
        <v>2512</v>
      </c>
      <c r="P11" s="7" t="n">
        <v>65</v>
      </c>
      <c r="Q11" s="16" t="inlineStr"/>
    </row>
    <row r="12" ht="17" customHeight="1">
      <c r="A12" s="6" t="n">
        <v>2022</v>
      </c>
      <c r="B12" s="6" t="n">
        <v>8</v>
      </c>
      <c r="C12" s="7" t="n">
        <v>19</v>
      </c>
      <c r="D12" s="8" t="inlineStr">
        <is>
          <t>N/A</t>
        </is>
      </c>
      <c r="E12" s="8" t="inlineStr">
        <is>
          <t>N/A</t>
        </is>
      </c>
      <c r="F12" s="8" t="inlineStr">
        <is>
          <t>N/A</t>
        </is>
      </c>
      <c r="G12" s="9" t="n">
        <v>1.193852790509571</v>
      </c>
      <c r="H12" s="9" t="n">
        <v>1.245512720461995</v>
      </c>
      <c r="I12" s="9" t="n">
        <v>0.9905862216516902</v>
      </c>
      <c r="J12" s="10" t="n">
        <v>1107</v>
      </c>
      <c r="K12" s="11" t="n">
        <v>665</v>
      </c>
      <c r="L12" s="12" t="n">
        <v>1772</v>
      </c>
      <c r="M12" s="13" t="n"/>
      <c r="N12" s="14" t="n"/>
      <c r="O12" s="7" t="n">
        <v>2337</v>
      </c>
      <c r="P12" s="7" t="n">
        <v>22</v>
      </c>
      <c r="Q12" s="16" t="inlineStr"/>
    </row>
    <row r="13" ht="17" customHeight="1">
      <c r="A13" s="6" t="n">
        <v>2022</v>
      </c>
      <c r="B13" s="6" t="n">
        <v>9</v>
      </c>
      <c r="C13" s="7" t="n">
        <v>19</v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9" t="n">
        <v>0.9587489889458075</v>
      </c>
      <c r="H13" s="9" t="n">
        <v>1.033869205556423</v>
      </c>
      <c r="I13" s="9" t="n">
        <v>0.9967948717948718</v>
      </c>
      <c r="J13" s="10" t="n">
        <v>889</v>
      </c>
      <c r="K13" s="11" t="n">
        <v>552</v>
      </c>
      <c r="L13" s="12" t="n">
        <v>1441</v>
      </c>
      <c r="M13" s="13" t="n"/>
      <c r="N13" s="14" t="n"/>
      <c r="O13" s="7" t="n">
        <v>1560</v>
      </c>
      <c r="P13" s="7" t="n">
        <v>5</v>
      </c>
      <c r="Q13" s="16" t="inlineStr"/>
    </row>
    <row r="14" ht="17" customHeight="1">
      <c r="A14" s="6" t="n">
        <v>2022</v>
      </c>
      <c r="B14" s="6" t="n">
        <v>10</v>
      </c>
      <c r="C14" s="7" t="n">
        <v>18</v>
      </c>
      <c r="D14" s="8" t="inlineStr">
        <is>
          <t>N/A</t>
        </is>
      </c>
      <c r="E14" s="8" t="inlineStr">
        <is>
          <t>N/A</t>
        </is>
      </c>
      <c r="F14" s="8" t="inlineStr">
        <is>
          <t>N/A</t>
        </is>
      </c>
      <c r="G14" s="9" t="n">
        <v>1.19493124831491</v>
      </c>
      <c r="H14" s="9" t="n">
        <v>1.462775089745591</v>
      </c>
      <c r="I14" s="9" t="n">
        <v>0.9905020352781547</v>
      </c>
      <c r="J14" s="10" t="n">
        <v>1108</v>
      </c>
      <c r="K14" s="11" t="n">
        <v>781</v>
      </c>
      <c r="L14" s="12" t="n">
        <v>1889</v>
      </c>
      <c r="M14" s="13" t="n"/>
      <c r="N14" s="14" t="n"/>
      <c r="O14" s="7" t="n">
        <v>2211</v>
      </c>
      <c r="P14" s="7" t="n">
        <v>21</v>
      </c>
      <c r="Q14" s="16" t="inlineStr"/>
    </row>
    <row r="15" ht="17" customHeight="1">
      <c r="A15" s="6" t="n">
        <v>2022</v>
      </c>
      <c r="B15" s="6" t="n">
        <v>11</v>
      </c>
      <c r="C15" s="7" t="n">
        <v>22</v>
      </c>
      <c r="D15" s="9" t="n">
        <v>0.4728535353535354</v>
      </c>
      <c r="E15" s="9" t="n">
        <v>0.355145202020202</v>
      </c>
      <c r="F15" s="9" t="n">
        <v>0.8279987373737374</v>
      </c>
      <c r="G15" s="9" t="n">
        <v>1.32003235373416</v>
      </c>
      <c r="H15" s="9" t="n">
        <v>1.356016856563134</v>
      </c>
      <c r="I15" s="17" t="n">
        <v>0.9813451153657339</v>
      </c>
      <c r="J15" s="10" t="n">
        <v>1224</v>
      </c>
      <c r="K15" s="11" t="n">
        <v>724</v>
      </c>
      <c r="L15" s="12" t="n">
        <v>1948</v>
      </c>
      <c r="M15" s="10" t="n">
        <v>299600</v>
      </c>
      <c r="N15" s="11" t="n">
        <v>225020</v>
      </c>
      <c r="O15" s="7" t="n">
        <v>2037</v>
      </c>
      <c r="P15" s="7" t="n">
        <v>38</v>
      </c>
      <c r="Q15" s="16" t="inlineStr"/>
    </row>
    <row r="16" ht="17" customHeight="1">
      <c r="A16" s="18" t="n">
        <v>2022</v>
      </c>
      <c r="B16" s="18" t="n">
        <v>12</v>
      </c>
      <c r="C16" s="19" t="n">
        <v>22</v>
      </c>
      <c r="D16" s="20" t="n">
        <v>0.3149305555555555</v>
      </c>
      <c r="E16" s="20" t="n">
        <v>0.2409406565656566</v>
      </c>
      <c r="F16" s="20" t="n">
        <v>0.5558712121212122</v>
      </c>
      <c r="G16" s="21" t="n">
        <v>0.8293340523052035</v>
      </c>
      <c r="H16" s="21" t="n">
        <v>0.9346027782113314</v>
      </c>
      <c r="I16" s="22" t="n">
        <v>0.9881593110871906</v>
      </c>
      <c r="J16" s="23" t="n">
        <v>769</v>
      </c>
      <c r="K16" s="24" t="n">
        <v>499</v>
      </c>
      <c r="L16" s="25" t="n">
        <v>1268</v>
      </c>
      <c r="M16" s="23" t="n">
        <v>199540</v>
      </c>
      <c r="N16" s="24" t="n">
        <v>152660</v>
      </c>
      <c r="O16" s="19" t="n">
        <v>1858</v>
      </c>
      <c r="P16" s="19" t="n">
        <v>22</v>
      </c>
      <c r="Q16" s="26" t="inlineStr"/>
    </row>
    <row r="17" ht="17" customHeight="1">
      <c r="A17" s="27" t="n">
        <v>2023</v>
      </c>
      <c r="B17" s="27" t="n">
        <v>1</v>
      </c>
      <c r="C17" s="28" t="n">
        <v>18</v>
      </c>
      <c r="D17" s="9" t="n">
        <v>0.4749228395061729</v>
      </c>
      <c r="E17" s="9" t="n">
        <v>0.3136188271604938</v>
      </c>
      <c r="F17" s="9" t="n">
        <v>0.7885416666666667</v>
      </c>
      <c r="G17" s="9" t="n">
        <v>0.9641412779724994</v>
      </c>
      <c r="H17" s="9" t="n">
        <v>1.208053691275168</v>
      </c>
      <c r="I17" s="17" t="n">
        <v>0.9757160647571607</v>
      </c>
      <c r="J17" s="10" t="n">
        <v>894</v>
      </c>
      <c r="K17" s="11" t="n">
        <v>645</v>
      </c>
      <c r="L17" s="12" t="n">
        <v>1539</v>
      </c>
      <c r="M17" s="10" t="n">
        <v>246200</v>
      </c>
      <c r="N17" s="11" t="n">
        <v>162580</v>
      </c>
      <c r="O17" s="28" t="n">
        <v>1606</v>
      </c>
      <c r="P17" s="28" t="n">
        <v>39</v>
      </c>
      <c r="Q17" s="29" t="inlineStr"/>
    </row>
    <row r="18" ht="17" customHeight="1">
      <c r="A18" s="27" t="n">
        <v>2023</v>
      </c>
      <c r="B18" s="27" t="n">
        <v>2</v>
      </c>
      <c r="C18" s="28" t="n">
        <v>20</v>
      </c>
      <c r="D18" s="9" t="n">
        <v>0.6833854166666666</v>
      </c>
      <c r="E18" s="9" t="n">
        <v>0.4654861111111111</v>
      </c>
      <c r="F18" s="9" t="n">
        <v>1.148871527777778</v>
      </c>
      <c r="G18" s="9" t="n">
        <v>1.653275815583715</v>
      </c>
      <c r="H18" s="9" t="n">
        <v>1.584516934602778</v>
      </c>
      <c r="I18" s="9" t="n">
        <v>0.9899224806201551</v>
      </c>
      <c r="J18" s="10" t="n">
        <v>1533</v>
      </c>
      <c r="K18" s="11" t="n">
        <v>846</v>
      </c>
      <c r="L18" s="12" t="n">
        <v>2379</v>
      </c>
      <c r="M18" s="10" t="n">
        <v>393630</v>
      </c>
      <c r="N18" s="11" t="n">
        <v>268120</v>
      </c>
      <c r="O18" s="28" t="n">
        <v>2580</v>
      </c>
      <c r="P18" s="28" t="n">
        <v>26</v>
      </c>
      <c r="Q18" s="29" t="inlineStr"/>
    </row>
    <row r="19" ht="17" customHeight="1">
      <c r="A19" s="27" t="n">
        <v>2023</v>
      </c>
      <c r="B19" s="27" t="n">
        <v>3</v>
      </c>
      <c r="C19" s="28" t="n">
        <v>21</v>
      </c>
      <c r="D19" s="9" t="n">
        <v>0.4202380952380952</v>
      </c>
      <c r="E19" s="9" t="n">
        <v>0.3736276455026455</v>
      </c>
      <c r="F19" s="9" t="n">
        <v>0.7938657407407408</v>
      </c>
      <c r="G19" s="9" t="n">
        <v>1.074143974117013</v>
      </c>
      <c r="H19" s="9" t="n">
        <v>1.234275011705947</v>
      </c>
      <c r="I19" s="17" t="n">
        <v>0.9764948453608248</v>
      </c>
      <c r="J19" s="10" t="n">
        <v>996</v>
      </c>
      <c r="K19" s="11" t="n">
        <v>659</v>
      </c>
      <c r="L19" s="12" t="n">
        <v>1655</v>
      </c>
      <c r="M19" s="10" t="n">
        <v>254160</v>
      </c>
      <c r="N19" s="11" t="n">
        <v>225970</v>
      </c>
      <c r="O19" s="28" t="n">
        <v>2425</v>
      </c>
      <c r="P19" s="28" t="n">
        <v>57</v>
      </c>
      <c r="Q19" s="29" t="inlineStr"/>
    </row>
    <row r="20" ht="17" customHeight="1">
      <c r="A20" s="27" t="n">
        <v>2023</v>
      </c>
      <c r="B20" s="27" t="n">
        <v>4</v>
      </c>
      <c r="C20" s="28" t="n">
        <v>22</v>
      </c>
      <c r="D20" s="30" t="n">
        <v>0.3635416666666667</v>
      </c>
      <c r="E20" s="30" t="n">
        <v>0.2799873737373738</v>
      </c>
      <c r="F20" s="30" t="n">
        <v>0.6435290404040404</v>
      </c>
      <c r="G20" s="9" t="n">
        <v>1.177675923429496</v>
      </c>
      <c r="H20" s="9" t="n">
        <v>1.046979865771812</v>
      </c>
      <c r="I20" s="9" t="n">
        <v>0.9911807937285644</v>
      </c>
      <c r="J20" s="10" t="n">
        <v>1092</v>
      </c>
      <c r="K20" s="11" t="n">
        <v>559</v>
      </c>
      <c r="L20" s="12" t="n">
        <v>1651</v>
      </c>
      <c r="M20" s="10" t="n">
        <v>230340</v>
      </c>
      <c r="N20" s="11" t="n">
        <v>177400</v>
      </c>
      <c r="O20" s="28" t="n">
        <v>2041</v>
      </c>
      <c r="P20" s="28" t="n">
        <v>18</v>
      </c>
      <c r="Q20" s="29" t="inlineStr"/>
    </row>
    <row r="21" ht="17" customHeight="1">
      <c r="A21" s="27" t="n">
        <v>2023</v>
      </c>
      <c r="B21" s="27" t="n">
        <v>5</v>
      </c>
      <c r="C21" s="28" t="n">
        <v>20</v>
      </c>
      <c r="D21" s="30" t="n">
        <v>0.3143958333333333</v>
      </c>
      <c r="E21" s="30" t="n">
        <v>0.2898715277777778</v>
      </c>
      <c r="F21" s="30" t="n">
        <v>0.6042673611111111</v>
      </c>
      <c r="G21" s="31" t="n">
        <v>0.8347263413318954</v>
      </c>
      <c r="H21" s="31" t="n">
        <v>0.9008896519431872</v>
      </c>
      <c r="I21" s="17" t="n">
        <v>0.9762803234501348</v>
      </c>
      <c r="J21" s="10" t="n">
        <v>774</v>
      </c>
      <c r="K21" s="11" t="n">
        <v>481</v>
      </c>
      <c r="L21" s="12" t="n">
        <v>1255</v>
      </c>
      <c r="M21" s="10" t="n">
        <v>181092</v>
      </c>
      <c r="N21" s="11" t="n">
        <v>166966</v>
      </c>
      <c r="O21" s="28" t="n">
        <v>1855</v>
      </c>
      <c r="P21" s="28" t="n">
        <v>44</v>
      </c>
      <c r="Q21" s="29" t="inlineStr"/>
    </row>
    <row r="22" ht="17" customHeight="1">
      <c r="A22" s="27" t="n">
        <v>2023</v>
      </c>
      <c r="B22" s="27" t="n">
        <v>6</v>
      </c>
      <c r="C22" s="28" t="n">
        <v>21</v>
      </c>
      <c r="D22" s="9" t="n">
        <v>0.4202876984126984</v>
      </c>
      <c r="E22" s="9" t="n">
        <v>0.2929249338624338</v>
      </c>
      <c r="F22" s="9" t="n">
        <v>0.7132126322751322</v>
      </c>
      <c r="G22" s="9" t="n">
        <v>1.312483149096792</v>
      </c>
      <c r="H22" s="9" t="n">
        <v>0.9739347588574997</v>
      </c>
      <c r="I22" s="17" t="n">
        <v>0.9839797639123102</v>
      </c>
      <c r="J22" s="10" t="n">
        <v>1217</v>
      </c>
      <c r="K22" s="11" t="n">
        <v>520</v>
      </c>
      <c r="L22" s="12" t="n">
        <v>1737</v>
      </c>
      <c r="M22" s="10" t="n">
        <v>254190</v>
      </c>
      <c r="N22" s="11" t="n">
        <v>177161</v>
      </c>
      <c r="O22" s="28" t="n">
        <v>2372</v>
      </c>
      <c r="P22" s="28" t="n">
        <v>38</v>
      </c>
      <c r="Q22" s="29" t="inlineStr"/>
    </row>
    <row r="23" ht="17" customHeight="1">
      <c r="A23" s="27" t="n">
        <v>2023</v>
      </c>
      <c r="B23" s="27" t="n">
        <v>7</v>
      </c>
      <c r="C23" s="28" t="n">
        <v>18</v>
      </c>
      <c r="D23" s="17" t="n">
        <v>0.2593904320987654</v>
      </c>
      <c r="E23" s="17" t="n">
        <v>0.1878144290123457</v>
      </c>
      <c r="F23" s="17" t="n">
        <v>0.4472048611111111</v>
      </c>
      <c r="G23" s="17" t="n">
        <v>0.6654084658937719</v>
      </c>
      <c r="H23" s="17" t="n">
        <v>0.5731231465584518</v>
      </c>
      <c r="I23" s="17" t="n">
        <v>0.9602689486552567</v>
      </c>
      <c r="J23" s="10" t="n">
        <v>617</v>
      </c>
      <c r="K23" s="11" t="n">
        <v>306</v>
      </c>
      <c r="L23" s="12" t="n">
        <v>923</v>
      </c>
      <c r="M23" s="10" t="n">
        <v>134468</v>
      </c>
      <c r="N23" s="11" t="n">
        <v>97363</v>
      </c>
      <c r="O23" s="28" t="n">
        <v>1636</v>
      </c>
      <c r="P23" s="28" t="n">
        <v>65</v>
      </c>
      <c r="Q23" s="29" t="inlineStr"/>
    </row>
    <row r="24" ht="17" customHeight="1">
      <c r="A24" s="27" t="n">
        <v>2023</v>
      </c>
      <c r="B24" s="27" t="n">
        <v>8</v>
      </c>
      <c r="C24" s="28" t="n">
        <v>21</v>
      </c>
      <c r="D24" s="9" t="n">
        <v>0.4524371693121693</v>
      </c>
      <c r="E24" s="9" t="n">
        <v>0.2872585978835979</v>
      </c>
      <c r="F24" s="9" t="n">
        <v>0.7396957671957671</v>
      </c>
      <c r="G24" s="9" t="n">
        <v>1.230520355891076</v>
      </c>
      <c r="H24" s="9" t="n">
        <v>0.9870454190728891</v>
      </c>
      <c r="I24" s="17" t="n">
        <v>0.9741833508956796</v>
      </c>
      <c r="J24" s="10" t="n">
        <v>1141</v>
      </c>
      <c r="K24" s="11" t="n">
        <v>527</v>
      </c>
      <c r="L24" s="12" t="n">
        <v>1668</v>
      </c>
      <c r="M24" s="10" t="n">
        <v>273634</v>
      </c>
      <c r="N24" s="11" t="n">
        <v>173734</v>
      </c>
      <c r="O24" s="28" t="n">
        <v>1898</v>
      </c>
      <c r="P24" s="28" t="n">
        <v>49</v>
      </c>
      <c r="Q24" s="29" t="inlineStr"/>
    </row>
    <row r="25" ht="17" customHeight="1">
      <c r="A25" s="27" t="n">
        <v>2023</v>
      </c>
      <c r="B25" s="27" t="n">
        <v>9</v>
      </c>
      <c r="C25" s="28" t="n">
        <v>18</v>
      </c>
      <c r="D25" s="9" t="n">
        <v>0.3482310956790123</v>
      </c>
      <c r="E25" s="9" t="n">
        <v>0.313804012345679</v>
      </c>
      <c r="F25" s="9" t="n">
        <v>0.6620351080246913</v>
      </c>
      <c r="G25" s="31" t="n">
        <v>0.830412510110542</v>
      </c>
      <c r="H25" s="31" t="n">
        <v>0.878414234431091</v>
      </c>
      <c r="I25" s="9" t="n">
        <v>0.9875776397515528</v>
      </c>
      <c r="J25" s="10" t="n">
        <v>770</v>
      </c>
      <c r="K25" s="11" t="n">
        <v>469</v>
      </c>
      <c r="L25" s="12" t="n">
        <v>1239</v>
      </c>
      <c r="M25" s="10" t="n">
        <v>180523</v>
      </c>
      <c r="N25" s="11" t="n">
        <v>162676</v>
      </c>
      <c r="O25" s="28" t="n">
        <v>1610</v>
      </c>
      <c r="P25" s="28" t="n">
        <v>20</v>
      </c>
      <c r="Q25" s="29" t="inlineStr"/>
    </row>
    <row r="26" ht="17" customHeight="1">
      <c r="A26" s="27" t="n">
        <v>2023</v>
      </c>
      <c r="B26" s="27" t="n">
        <v>10</v>
      </c>
      <c r="C26" s="28" t="n">
        <v>19</v>
      </c>
      <c r="D26" s="30" t="n">
        <v>0.3505610380116959</v>
      </c>
      <c r="E26" s="30" t="n">
        <v>0.2924031432748538</v>
      </c>
      <c r="F26" s="30" t="n">
        <v>0.6429641812865496</v>
      </c>
      <c r="G26" s="31" t="n">
        <v>0.8422755459692639</v>
      </c>
      <c r="H26" s="31" t="n">
        <v>0.927110972373966</v>
      </c>
      <c r="I26" s="9" t="n">
        <v>0.9867776689520078</v>
      </c>
      <c r="J26" s="10" t="n">
        <v>781</v>
      </c>
      <c r="K26" s="11" t="n">
        <v>495</v>
      </c>
      <c r="L26" s="12" t="n">
        <v>1276</v>
      </c>
      <c r="M26" s="10" t="n">
        <v>191827</v>
      </c>
      <c r="N26" s="11" t="n">
        <v>160003</v>
      </c>
      <c r="O26" s="28" t="n">
        <v>2042</v>
      </c>
      <c r="P26" s="28" t="n">
        <v>27</v>
      </c>
      <c r="Q26" s="29" t="inlineStr"/>
    </row>
    <row r="27" ht="17" customHeight="1">
      <c r="A27" s="27" t="n">
        <v>2023</v>
      </c>
      <c r="B27" s="27" t="n">
        <v>11</v>
      </c>
      <c r="C27" s="28" t="n">
        <v>22</v>
      </c>
      <c r="D27" s="30" t="n">
        <v>0.2675962752525253</v>
      </c>
      <c r="E27" s="30" t="n">
        <v>0.2540104166666667</v>
      </c>
      <c r="F27" s="30" t="n">
        <v>0.521606691919192</v>
      </c>
      <c r="G27" s="31" t="n">
        <v>0.8476678349959558</v>
      </c>
      <c r="H27" s="31" t="n">
        <v>0.7997502731387546</v>
      </c>
      <c r="I27" s="9" t="n">
        <v>0.987485779294653</v>
      </c>
      <c r="J27" s="10" t="n">
        <v>786</v>
      </c>
      <c r="K27" s="11" t="n">
        <v>427</v>
      </c>
      <c r="L27" s="12" t="n">
        <v>1213</v>
      </c>
      <c r="M27" s="10" t="n">
        <v>169549</v>
      </c>
      <c r="N27" s="11" t="n">
        <v>160941</v>
      </c>
      <c r="O27" s="28" t="n">
        <v>1758</v>
      </c>
      <c r="P27" s="28" t="n">
        <v>22</v>
      </c>
      <c r="Q27" s="29" t="inlineStr"/>
    </row>
    <row r="28" ht="17" customHeight="1">
      <c r="A28" s="32" t="n">
        <v>2023</v>
      </c>
      <c r="B28" s="32" t="n">
        <v>12</v>
      </c>
      <c r="C28" s="33" t="n">
        <v>19</v>
      </c>
      <c r="D28" s="34" t="n">
        <v>0.2862719298245614</v>
      </c>
      <c r="E28" s="34" t="n">
        <v>0.2950694444444444</v>
      </c>
      <c r="F28" s="34" t="n">
        <v>0.5813413742690059</v>
      </c>
      <c r="G28" s="35" t="n">
        <v>0.6179563224588838</v>
      </c>
      <c r="H28" s="35" t="n">
        <v>0.7978773216794132</v>
      </c>
      <c r="I28" s="22" t="n">
        <v>0.9956575682382134</v>
      </c>
      <c r="J28" s="23" t="n">
        <v>573</v>
      </c>
      <c r="K28" s="24" t="n">
        <v>426</v>
      </c>
      <c r="L28" s="25" t="n">
        <v>999</v>
      </c>
      <c r="M28" s="23" t="n">
        <v>156648</v>
      </c>
      <c r="N28" s="24" t="n">
        <v>161462</v>
      </c>
      <c r="O28" s="33" t="n">
        <v>1612</v>
      </c>
      <c r="P28" s="33" t="n">
        <v>7</v>
      </c>
      <c r="Q28" s="36" t="inlineStr"/>
    </row>
    <row r="29" ht="17" customHeight="1">
      <c r="A29" s="37" t="n">
        <v>2024</v>
      </c>
      <c r="B29" s="37" t="n">
        <v>1</v>
      </c>
      <c r="C29" s="38" t="n">
        <v>20</v>
      </c>
      <c r="D29" s="9" t="n">
        <v>0.4289826388888889</v>
      </c>
      <c r="E29" s="9" t="n">
        <v>0.3208993055555556</v>
      </c>
      <c r="F29" s="9" t="n">
        <v>0.7498819444444444</v>
      </c>
      <c r="G29" s="9" t="n">
        <v>1.061202480452952</v>
      </c>
      <c r="H29" s="9" t="n">
        <v>1.052598720149836</v>
      </c>
      <c r="I29" s="9" t="n">
        <v>0.9957939011566772</v>
      </c>
      <c r="J29" s="10" t="n">
        <v>984</v>
      </c>
      <c r="K29" s="11" t="n">
        <v>562</v>
      </c>
      <c r="L29" s="12" t="n">
        <v>1546</v>
      </c>
      <c r="M29" s="10" t="n">
        <v>247094</v>
      </c>
      <c r="N29" s="11" t="n">
        <v>184838</v>
      </c>
      <c r="O29" s="38" t="n">
        <v>1902</v>
      </c>
      <c r="P29" s="38" t="n">
        <v>8</v>
      </c>
      <c r="Q29" s="39" t="inlineStr"/>
    </row>
    <row r="30" ht="17" customHeight="1">
      <c r="A30" s="37" t="n">
        <v>2024</v>
      </c>
      <c r="B30" s="37" t="n">
        <v>2</v>
      </c>
      <c r="C30" s="38" t="n">
        <v>19</v>
      </c>
      <c r="D30" s="9" t="n">
        <v>0.3732620614035088</v>
      </c>
      <c r="E30" s="9" t="n">
        <v>0.373311403508772</v>
      </c>
      <c r="F30" s="9" t="n">
        <v>0.7465734649122807</v>
      </c>
      <c r="G30" s="9" t="n">
        <v>0.9339444594230251</v>
      </c>
      <c r="H30" s="9" t="n">
        <v>1.073201186202591</v>
      </c>
      <c r="I30" s="9" t="n">
        <v>0.9971910112359551</v>
      </c>
      <c r="J30" s="10" t="n">
        <v>866</v>
      </c>
      <c r="K30" s="11" t="n">
        <v>573</v>
      </c>
      <c r="L30" s="12" t="n">
        <v>1439</v>
      </c>
      <c r="M30" s="10" t="n">
        <v>204249</v>
      </c>
      <c r="N30" s="11" t="n">
        <v>204276</v>
      </c>
      <c r="O30" s="38" t="n">
        <v>1780</v>
      </c>
      <c r="P30" s="38" t="n">
        <v>5</v>
      </c>
      <c r="Q30" s="39" t="inlineStr"/>
    </row>
    <row r="31" ht="17" customHeight="1">
      <c r="A31" s="37" t="n">
        <v>2024</v>
      </c>
      <c r="B31" s="37" t="n">
        <v>3</v>
      </c>
      <c r="C31" s="38" t="n">
        <v>19</v>
      </c>
      <c r="D31" s="9" t="n">
        <v>0.3534265350877193</v>
      </c>
      <c r="E31" s="9" t="n">
        <v>0.3494755116959065</v>
      </c>
      <c r="F31" s="9" t="n">
        <v>0.7029020467836258</v>
      </c>
      <c r="G31" s="9" t="n">
        <v>0.9199245079536263</v>
      </c>
      <c r="H31" s="9" t="n">
        <v>1.067582331824567</v>
      </c>
      <c r="I31" s="9" t="n">
        <v>0.9953897736797989</v>
      </c>
      <c r="J31" s="10" t="n">
        <v>853</v>
      </c>
      <c r="K31" s="11" t="n">
        <v>570</v>
      </c>
      <c r="L31" s="12" t="n">
        <v>1423</v>
      </c>
      <c r="M31" s="10" t="n">
        <v>193395</v>
      </c>
      <c r="N31" s="11" t="n">
        <v>191233</v>
      </c>
      <c r="O31" s="38" t="n">
        <v>2386</v>
      </c>
      <c r="P31" s="38" t="n">
        <v>11</v>
      </c>
      <c r="Q31" s="39" t="inlineStr"/>
    </row>
    <row r="32" ht="17" customHeight="1">
      <c r="A32" s="37" t="n">
        <v>2024</v>
      </c>
      <c r="B32" s="37" t="n">
        <v>4</v>
      </c>
      <c r="C32" s="38" t="n">
        <v>20</v>
      </c>
      <c r="D32" s="40" t="n">
        <v>0.3175972222222222</v>
      </c>
      <c r="E32" s="40" t="n">
        <v>0.3275225694444445</v>
      </c>
      <c r="F32" s="40" t="n">
        <v>0.6451197916666667</v>
      </c>
      <c r="G32" s="31" t="n">
        <v>0.813157185225128</v>
      </c>
      <c r="H32" s="31" t="n">
        <v>1.114406118308101</v>
      </c>
      <c r="I32" s="17" t="n">
        <v>0.9767921609076844</v>
      </c>
      <c r="J32" s="10" t="n">
        <v>754</v>
      </c>
      <c r="K32" s="11" t="n">
        <v>595</v>
      </c>
      <c r="L32" s="12" t="n">
        <v>1349</v>
      </c>
      <c r="M32" s="10" t="n">
        <v>182936</v>
      </c>
      <c r="N32" s="11" t="n">
        <v>188653</v>
      </c>
      <c r="O32" s="38" t="n">
        <v>1939</v>
      </c>
      <c r="P32" s="38" t="n">
        <v>45</v>
      </c>
      <c r="Q32" s="39" t="inlineStr"/>
    </row>
    <row r="33" ht="17" customHeight="1">
      <c r="A33" s="37" t="n">
        <v>2024</v>
      </c>
      <c r="B33" s="37" t="n">
        <v>5</v>
      </c>
      <c r="C33" s="38" t="n">
        <v>20</v>
      </c>
      <c r="D33" s="40" t="n">
        <v>0.36025</v>
      </c>
      <c r="E33" s="40" t="n">
        <v>0.2507447916666667</v>
      </c>
      <c r="F33" s="40" t="n">
        <v>0.6109947916666667</v>
      </c>
      <c r="G33" s="31" t="n">
        <v>0.9156106767322728</v>
      </c>
      <c r="H33" s="31" t="n">
        <v>0.8278445450288747</v>
      </c>
      <c r="I33" s="9" t="n">
        <v>0.994573260976813</v>
      </c>
      <c r="J33" s="10" t="n">
        <v>849</v>
      </c>
      <c r="K33" s="11" t="n">
        <v>442</v>
      </c>
      <c r="L33" s="12" t="n">
        <v>1291</v>
      </c>
      <c r="M33" s="10" t="n">
        <v>207504</v>
      </c>
      <c r="N33" s="11" t="n">
        <v>144429</v>
      </c>
      <c r="O33" s="38" t="n">
        <v>2027</v>
      </c>
      <c r="P33" s="38" t="n">
        <v>11</v>
      </c>
      <c r="Q33" s="39" t="inlineStr"/>
    </row>
    <row r="34" ht="17" customHeight="1">
      <c r="A34" s="37" t="n">
        <v>2024</v>
      </c>
      <c r="B34" s="37" t="n">
        <v>6</v>
      </c>
      <c r="C34" s="38" t="n">
        <v>19</v>
      </c>
      <c r="D34" s="17" t="n">
        <v>0.1013870614035088</v>
      </c>
      <c r="E34" s="17" t="n">
        <v>0.08856359649122807</v>
      </c>
      <c r="F34" s="17" t="n">
        <v>0.1899506578947368</v>
      </c>
      <c r="G34" s="31" t="n">
        <v>0.721488271771367</v>
      </c>
      <c r="H34" s="31" t="n">
        <v>0.7341969720618075</v>
      </c>
      <c r="I34" s="9" t="n">
        <v>0.9901199717713479</v>
      </c>
      <c r="J34" s="10" t="n">
        <v>669</v>
      </c>
      <c r="K34" s="11" t="n">
        <v>392</v>
      </c>
      <c r="L34" s="12" t="n">
        <v>1061</v>
      </c>
      <c r="M34" s="10" t="n">
        <v>55479</v>
      </c>
      <c r="N34" s="11" t="n">
        <v>48462</v>
      </c>
      <c r="O34" s="38" t="n">
        <v>1417</v>
      </c>
      <c r="P34" s="38" t="n">
        <v>14</v>
      </c>
      <c r="Q34" s="39" t="inlineStr"/>
    </row>
    <row r="35" ht="17" customHeight="1">
      <c r="A35" s="37" t="n">
        <v>2024</v>
      </c>
      <c r="B35" s="37" t="n">
        <v>7</v>
      </c>
      <c r="C35" s="38" t="n">
        <v>21</v>
      </c>
      <c r="D35" s="17" t="n">
        <v>0.2036243386243386</v>
      </c>
      <c r="E35" s="17" t="n">
        <v>0.1220568783068783</v>
      </c>
      <c r="F35" s="17" t="n">
        <v>0.3256812169312169</v>
      </c>
      <c r="G35" s="31" t="n">
        <v>0.7053114046912915</v>
      </c>
      <c r="H35" s="31" t="n">
        <v>0.8765412829717497</v>
      </c>
      <c r="I35" s="9" t="n">
        <v>0.9910071942446043</v>
      </c>
      <c r="J35" s="10" t="n">
        <v>654</v>
      </c>
      <c r="K35" s="11" t="n">
        <v>468</v>
      </c>
      <c r="L35" s="12" t="n">
        <v>1122</v>
      </c>
      <c r="M35" s="10" t="n">
        <v>123152</v>
      </c>
      <c r="N35" s="11" t="n">
        <v>73820</v>
      </c>
      <c r="O35" s="38" t="n">
        <v>1668</v>
      </c>
      <c r="P35" s="38" t="n">
        <v>15</v>
      </c>
      <c r="Q35" s="39" t="inlineStr"/>
    </row>
    <row r="36" ht="17" customHeight="1">
      <c r="A36" s="37" t="n">
        <v>2024</v>
      </c>
      <c r="B36" s="37" t="n">
        <v>8</v>
      </c>
      <c r="C36" s="38" t="n">
        <v>18</v>
      </c>
      <c r="D36" s="17" t="n">
        <v>0.1626273148148148</v>
      </c>
      <c r="E36" s="17" t="n">
        <v>0.1186747685185185</v>
      </c>
      <c r="F36" s="17" t="n">
        <v>0.2813020833333333</v>
      </c>
      <c r="G36" s="17" t="n">
        <v>0.592073335130763</v>
      </c>
      <c r="H36" s="17" t="n">
        <v>0.9851724676135477</v>
      </c>
      <c r="I36" s="9" t="n">
        <v>0.9993434011818779</v>
      </c>
      <c r="J36" s="10" t="n">
        <v>549</v>
      </c>
      <c r="K36" s="11" t="n">
        <v>526</v>
      </c>
      <c r="L36" s="12" t="n">
        <v>1075</v>
      </c>
      <c r="M36" s="10" t="n">
        <v>84306</v>
      </c>
      <c r="N36" s="11" t="n">
        <v>61521</v>
      </c>
      <c r="O36" s="38" t="n">
        <v>1523</v>
      </c>
      <c r="P36" s="38" t="n">
        <v>1</v>
      </c>
      <c r="Q36" s="39" t="inlineStr"/>
    </row>
    <row r="37" ht="17" customHeight="1">
      <c r="A37" s="37" t="n">
        <v>2024</v>
      </c>
      <c r="B37" s="37" t="n">
        <v>9</v>
      </c>
      <c r="C37" s="38" t="n">
        <v>22</v>
      </c>
      <c r="D37" s="17" t="n">
        <v>0.1953535353535354</v>
      </c>
      <c r="E37" s="17" t="n">
        <v>0.1695628156565657</v>
      </c>
      <c r="F37" s="17" t="n">
        <v>0.364916351010101</v>
      </c>
      <c r="G37" s="31" t="n">
        <v>0.700997573469938</v>
      </c>
      <c r="H37" s="31" t="n">
        <v>0.9739347588574997</v>
      </c>
      <c r="I37" s="9" t="n">
        <v>0.9930986887508627</v>
      </c>
      <c r="J37" s="10" t="n">
        <v>650</v>
      </c>
      <c r="K37" s="11" t="n">
        <v>520</v>
      </c>
      <c r="L37" s="12" t="n">
        <v>1170</v>
      </c>
      <c r="M37" s="10" t="n">
        <v>123776</v>
      </c>
      <c r="N37" s="11" t="n">
        <v>107435</v>
      </c>
      <c r="O37" s="38" t="n">
        <v>1449</v>
      </c>
      <c r="P37" s="38" t="n">
        <v>10</v>
      </c>
      <c r="Q37" s="39" t="inlineStr"/>
    </row>
    <row r="38" ht="17" customHeight="1">
      <c r="A38" s="37" t="n">
        <v>2024</v>
      </c>
      <c r="B38" s="37" t="n">
        <v>10</v>
      </c>
      <c r="C38" s="38" t="n">
        <v>18</v>
      </c>
      <c r="D38" s="40" t="n">
        <v>0.3249826388888889</v>
      </c>
      <c r="E38" s="40" t="n">
        <v>0.28453125</v>
      </c>
      <c r="F38" s="40" t="n">
        <v>0.6095138888888889</v>
      </c>
      <c r="G38" s="31" t="n">
        <v>0.7732542464276085</v>
      </c>
      <c r="H38" s="31" t="n">
        <v>0.9027626034025286</v>
      </c>
      <c r="I38" s="9" t="n">
        <v>0.9911080711354309</v>
      </c>
      <c r="J38" s="10" t="n">
        <v>717</v>
      </c>
      <c r="K38" s="11" t="n">
        <v>482</v>
      </c>
      <c r="L38" s="12" t="n">
        <v>1199</v>
      </c>
      <c r="M38" s="10" t="n">
        <v>168471</v>
      </c>
      <c r="N38" s="11" t="n">
        <v>147501</v>
      </c>
      <c r="O38" s="38" t="n">
        <v>1462</v>
      </c>
      <c r="P38" s="38" t="n">
        <v>13</v>
      </c>
      <c r="Q38" s="39" t="inlineStr"/>
    </row>
    <row r="39" ht="17" customHeight="1">
      <c r="A39" s="37" t="n">
        <v>2024</v>
      </c>
      <c r="B39" s="37" t="n">
        <v>11</v>
      </c>
      <c r="C39" s="38" t="n">
        <v>24</v>
      </c>
      <c r="D39" s="17" t="n">
        <v>0.1636053240740741</v>
      </c>
      <c r="E39" s="17" t="n">
        <v>0.1404499421296296</v>
      </c>
      <c r="F39" s="17" t="n">
        <v>0.3040552662037037</v>
      </c>
      <c r="G39" s="31" t="n">
        <v>0.7063898624966298</v>
      </c>
      <c r="H39" s="31" t="n">
        <v>0.7772748556266584</v>
      </c>
      <c r="I39" s="9" t="n">
        <v>0.9931107578166402</v>
      </c>
      <c r="J39" s="10" t="n">
        <v>655</v>
      </c>
      <c r="K39" s="11" t="n">
        <v>415</v>
      </c>
      <c r="L39" s="12" t="n">
        <v>1070</v>
      </c>
      <c r="M39" s="10" t="n">
        <v>113084</v>
      </c>
      <c r="N39" s="11" t="n">
        <v>97079</v>
      </c>
      <c r="O39" s="38" t="n">
        <v>1887</v>
      </c>
      <c r="P39" s="38" t="n">
        <v>13</v>
      </c>
      <c r="Q39" s="39" t="inlineStr"/>
    </row>
    <row r="40" ht="17" customHeight="1">
      <c r="A40" s="41" t="n">
        <v>2024</v>
      </c>
      <c r="B40" s="41" t="n">
        <v>12</v>
      </c>
      <c r="C40" s="42" t="n">
        <v>20</v>
      </c>
      <c r="D40" s="35" t="n">
        <v>0.2498159722222222</v>
      </c>
      <c r="E40" s="35" t="n">
        <v>0.2205399305555556</v>
      </c>
      <c r="F40" s="35" t="n">
        <v>0.4703559027777778</v>
      </c>
      <c r="G40" s="21" t="n">
        <v>0.7074683203019682</v>
      </c>
      <c r="H40" s="21" t="n">
        <v>0.7004838457936632</v>
      </c>
      <c r="I40" s="22" t="n">
        <v>0.9963570127504554</v>
      </c>
      <c r="J40" s="23" t="n">
        <v>656</v>
      </c>
      <c r="K40" s="24" t="n">
        <v>374</v>
      </c>
      <c r="L40" s="25" t="n">
        <v>1030</v>
      </c>
      <c r="M40" s="23" t="n">
        <v>143894</v>
      </c>
      <c r="N40" s="24" t="n">
        <v>127031</v>
      </c>
      <c r="O40" s="42" t="n">
        <v>1647</v>
      </c>
      <c r="P40" s="42" t="n">
        <v>6</v>
      </c>
      <c r="Q40" s="43" t="inlineStr"/>
    </row>
    <row r="41" ht="17" customHeight="1">
      <c r="A41" s="44" t="n">
        <v>2025</v>
      </c>
      <c r="B41" s="44" t="n">
        <v>1</v>
      </c>
      <c r="C41" s="45" t="n">
        <v>17</v>
      </c>
      <c r="D41" s="9" t="n">
        <v>0.3893259803921569</v>
      </c>
      <c r="E41" s="9" t="n">
        <v>0.3360028594771242</v>
      </c>
      <c r="F41" s="9" t="n">
        <v>0.725328839869281</v>
      </c>
      <c r="G41" s="31" t="n">
        <v>0.7797249932596387</v>
      </c>
      <c r="H41" s="31" t="n">
        <v>0.8971437490245046</v>
      </c>
      <c r="I41" s="9" t="n">
        <v>0.9908256880733946</v>
      </c>
      <c r="J41" s="10" t="n">
        <v>723</v>
      </c>
      <c r="K41" s="11" t="n">
        <v>479</v>
      </c>
      <c r="L41" s="12" t="n">
        <v>1202</v>
      </c>
      <c r="M41" s="10" t="n">
        <v>190614</v>
      </c>
      <c r="N41" s="11" t="n">
        <v>164507</v>
      </c>
      <c r="O41" s="45" t="n">
        <v>1526</v>
      </c>
      <c r="P41" s="45" t="n">
        <v>14</v>
      </c>
      <c r="Q41" s="46" t="inlineStr"/>
    </row>
    <row r="42" ht="17" customHeight="1">
      <c r="A42" s="44" t="n">
        <v>2025</v>
      </c>
      <c r="B42" s="44" t="n">
        <v>2</v>
      </c>
      <c r="C42" s="45" t="n">
        <v>17</v>
      </c>
      <c r="D42" s="17" t="n">
        <v>0.2366789215686274</v>
      </c>
      <c r="E42" s="17" t="n">
        <v>0.2262867647058824</v>
      </c>
      <c r="F42" s="17" t="n">
        <v>0.4629656862745098</v>
      </c>
      <c r="G42" s="17" t="n">
        <v>0.5737395524400107</v>
      </c>
      <c r="H42" s="17" t="n">
        <v>0.6442953020134229</v>
      </c>
      <c r="I42" s="9" t="n">
        <v>0.9934823091247672</v>
      </c>
      <c r="J42" s="10" t="n">
        <v>532</v>
      </c>
      <c r="K42" s="11" t="n">
        <v>344</v>
      </c>
      <c r="L42" s="12" t="n">
        <v>876</v>
      </c>
      <c r="M42" s="10" t="n">
        <v>115878</v>
      </c>
      <c r="N42" s="11" t="n">
        <v>110790</v>
      </c>
      <c r="O42" s="45" t="n">
        <v>1074</v>
      </c>
      <c r="P42" s="45" t="n">
        <v>7</v>
      </c>
      <c r="Q42" s="46" t="inlineStr"/>
    </row>
    <row r="43" ht="17" customHeight="1">
      <c r="A43" s="44" t="n">
        <v>2025</v>
      </c>
      <c r="B43" s="44" t="n">
        <v>3</v>
      </c>
      <c r="C43" s="45" t="n">
        <v>18</v>
      </c>
      <c r="D43" s="47" t="n">
        <v>0.2691126543209876</v>
      </c>
      <c r="E43" s="47" t="n">
        <v>0.2799575617283951</v>
      </c>
      <c r="F43" s="47" t="n">
        <v>0.5490702160493828</v>
      </c>
      <c r="G43" s="31" t="n">
        <v>0.736586681046104</v>
      </c>
      <c r="H43" s="31" t="n">
        <v>0.764164195411269</v>
      </c>
      <c r="I43" s="9" t="n">
        <v>0.9971969166082691</v>
      </c>
      <c r="J43" s="10" t="n">
        <v>683</v>
      </c>
      <c r="K43" s="11" t="n">
        <v>408</v>
      </c>
      <c r="L43" s="12" t="n">
        <v>1091</v>
      </c>
      <c r="M43" s="10" t="n">
        <v>139508</v>
      </c>
      <c r="N43" s="11" t="n">
        <v>145130</v>
      </c>
      <c r="O43" s="45" t="n">
        <v>1427</v>
      </c>
      <c r="P43" s="45" t="n">
        <v>4</v>
      </c>
      <c r="Q43" s="46" t="inlineStr"/>
    </row>
    <row r="44" ht="17" customHeight="1">
      <c r="A44" s="44" t="n">
        <v>2025</v>
      </c>
      <c r="B44" s="44" t="n">
        <v>4</v>
      </c>
      <c r="C44" s="45" t="n">
        <v>22</v>
      </c>
      <c r="D44" s="47" t="n">
        <v>0.3346291035353535</v>
      </c>
      <c r="E44" s="47" t="n">
        <v>0.301322601010101</v>
      </c>
      <c r="F44" s="47" t="n">
        <v>0.6359517045454546</v>
      </c>
      <c r="G44" s="9" t="n">
        <v>1.022377999460771</v>
      </c>
      <c r="H44" s="9" t="n">
        <v>0.9795536132355237</v>
      </c>
      <c r="I44" s="9" t="n">
        <v>0.99375</v>
      </c>
      <c r="J44" s="10" t="n">
        <v>948</v>
      </c>
      <c r="K44" s="11" t="n">
        <v>523</v>
      </c>
      <c r="L44" s="12" t="n">
        <v>1471</v>
      </c>
      <c r="M44" s="10" t="n">
        <v>212021</v>
      </c>
      <c r="N44" s="11" t="n">
        <v>190918</v>
      </c>
      <c r="O44" s="45" t="n">
        <v>1920</v>
      </c>
      <c r="P44" s="45" t="n">
        <v>12</v>
      </c>
      <c r="Q44" s="46" t="inlineStr"/>
    </row>
    <row r="45" ht="17" customHeight="1">
      <c r="A45" s="44" t="n">
        <v>2025</v>
      </c>
      <c r="B45" s="44" t="n">
        <v>5</v>
      </c>
      <c r="C45" s="45" t="n">
        <v>18</v>
      </c>
      <c r="D45" s="17" t="n">
        <v>0.2906983024691358</v>
      </c>
      <c r="E45" s="17" t="n">
        <v>0.2061554783950617</v>
      </c>
      <c r="F45" s="17" t="n">
        <v>0.4968537808641975</v>
      </c>
      <c r="G45" s="17" t="n">
        <v>0.6999191156645996</v>
      </c>
      <c r="H45" s="17" t="n">
        <v>0.5319182144529422</v>
      </c>
      <c r="I45" s="9" t="n">
        <v>0.9949141767323586</v>
      </c>
      <c r="J45" s="10" t="n">
        <v>649</v>
      </c>
      <c r="K45" s="11" t="n">
        <v>284</v>
      </c>
      <c r="L45" s="12" t="n">
        <v>933</v>
      </c>
      <c r="M45" s="10" t="n">
        <v>150698</v>
      </c>
      <c r="N45" s="11" t="n">
        <v>106871</v>
      </c>
      <c r="O45" s="45" t="n">
        <v>1573</v>
      </c>
      <c r="P45" s="45" t="n">
        <v>8</v>
      </c>
      <c r="Q45" s="46" t="inlineStr"/>
    </row>
    <row r="46" ht="17" customHeight="1">
      <c r="A46" s="44" t="n">
        <v>2025</v>
      </c>
      <c r="B46" s="44" t="n">
        <v>6</v>
      </c>
      <c r="C46" s="45" t="n">
        <v>19</v>
      </c>
      <c r="D46" s="47" t="n">
        <v>0.4135508040935673</v>
      </c>
      <c r="E46" s="47" t="n">
        <v>0.1047843567251462</v>
      </c>
      <c r="F46" s="47" t="n">
        <v>0.5183351608187134</v>
      </c>
      <c r="G46" s="17" t="n">
        <v>0.8336478835265571</v>
      </c>
      <c r="H46" s="17" t="n">
        <v>0.3258935539253941</v>
      </c>
      <c r="I46" s="17" t="n">
        <v>0.9841509433962264</v>
      </c>
      <c r="J46" s="10" t="n">
        <v>773</v>
      </c>
      <c r="K46" s="11" t="n">
        <v>174</v>
      </c>
      <c r="L46" s="12" t="n">
        <v>947</v>
      </c>
      <c r="M46" s="10" t="n">
        <v>226295</v>
      </c>
      <c r="N46" s="11" t="n">
        <v>57338</v>
      </c>
      <c r="O46" s="45" t="n">
        <v>1325</v>
      </c>
      <c r="P46" s="45" t="n">
        <v>21</v>
      </c>
      <c r="Q46" s="46" t="inlineStr">
        <is>
          <t>* GX7 고장(3~22일)</t>
        </is>
      </c>
    </row>
    <row r="47" ht="17" customHeight="1">
      <c r="A47" s="44" t="n">
        <v>2025</v>
      </c>
      <c r="B47" s="44" t="n">
        <v>7</v>
      </c>
      <c r="C47" s="45" t="n">
        <v>21</v>
      </c>
      <c r="D47" s="9" t="n">
        <v>0.4430654761904762</v>
      </c>
      <c r="E47" s="9" t="n">
        <v>0.2840839947089947</v>
      </c>
      <c r="F47" s="9" t="n">
        <v>0.7271494708994709</v>
      </c>
      <c r="G47" s="31" t="n">
        <v>1.047182528983553</v>
      </c>
      <c r="H47" s="31" t="n">
        <v>0.824098642110192</v>
      </c>
      <c r="I47" s="9" t="n">
        <v>0.9979602243753187</v>
      </c>
      <c r="J47" s="10" t="n">
        <v>971</v>
      </c>
      <c r="K47" s="11" t="n">
        <v>440</v>
      </c>
      <c r="L47" s="12" t="n">
        <v>1411</v>
      </c>
      <c r="M47" s="10" t="n">
        <v>267966</v>
      </c>
      <c r="N47" s="11" t="n">
        <v>171814</v>
      </c>
      <c r="O47" s="45" t="n">
        <v>1961</v>
      </c>
      <c r="P47" s="45" t="n">
        <v>4</v>
      </c>
      <c r="Q47" s="46" t="inlineStr"/>
    </row>
    <row r="48" ht="17" customHeight="1">
      <c r="A48" s="44" t="n">
        <v>2025</v>
      </c>
      <c r="B48" s="44" t="n">
        <v>8</v>
      </c>
      <c r="C48" s="45" t="n">
        <v>18</v>
      </c>
      <c r="D48" s="47" t="n">
        <v>0.3266898148148148</v>
      </c>
      <c r="E48" s="47" t="n">
        <v>0.2727353395061728</v>
      </c>
      <c r="F48" s="47" t="n">
        <v>0.5994251543209876</v>
      </c>
      <c r="G48" s="31" t="n">
        <v>0.7948234025343759</v>
      </c>
      <c r="H48" s="31" t="n">
        <v>0.7379428749804902</v>
      </c>
      <c r="I48" s="9" t="n">
        <v>0.9929947460595446</v>
      </c>
      <c r="J48" s="10" t="n">
        <v>737</v>
      </c>
      <c r="K48" s="11" t="n">
        <v>394</v>
      </c>
      <c r="L48" s="12" t="n">
        <v>1131</v>
      </c>
      <c r="M48" s="10" t="n">
        <v>169356</v>
      </c>
      <c r="N48" s="11" t="n">
        <v>141386</v>
      </c>
      <c r="O48" s="45" t="n">
        <v>1713</v>
      </c>
      <c r="P48" s="45" t="n">
        <v>12</v>
      </c>
      <c r="Q48" s="46" t="inlineStr">
        <is>
          <t>* 생산량 누락</t>
        </is>
      </c>
    </row>
    <row r="49" ht="17" customHeight="1">
      <c r="A49" s="44" t="n">
        <v>2025</v>
      </c>
      <c r="B49" s="44" t="n">
        <v>9</v>
      </c>
      <c r="C49" s="45" t="n">
        <v>22</v>
      </c>
      <c r="D49" s="17" t="n">
        <v>0.2589457070707071</v>
      </c>
      <c r="E49" s="17" t="n">
        <v>0.2276231060606061</v>
      </c>
      <c r="F49" s="17" t="n">
        <v>0.4865688131313132</v>
      </c>
      <c r="G49" s="31" t="n">
        <v>0.798058775950391</v>
      </c>
      <c r="H49" s="31" t="n">
        <v>0.7379428749804902</v>
      </c>
      <c r="I49" s="9" t="n">
        <v>0.9912727272727273</v>
      </c>
      <c r="J49" s="10" t="n">
        <v>740</v>
      </c>
      <c r="K49" s="11" t="n">
        <v>394</v>
      </c>
      <c r="L49" s="12" t="n">
        <v>1134</v>
      </c>
      <c r="M49" s="10" t="n">
        <v>164068</v>
      </c>
      <c r="N49" s="11" t="n">
        <v>144222</v>
      </c>
      <c r="O49" s="45" t="n">
        <v>1375</v>
      </c>
      <c r="P49" s="45" t="n">
        <v>12</v>
      </c>
      <c r="Q49" s="46" t="inlineStr"/>
    </row>
    <row r="50" ht="17" customHeight="1">
      <c r="A50" s="44" t="n">
        <v>2025</v>
      </c>
      <c r="B50" s="44" t="n">
        <v>10</v>
      </c>
      <c r="C50" s="45" t="n">
        <v>18</v>
      </c>
      <c r="D50" s="47" t="n">
        <v>0.3210532407407408</v>
      </c>
      <c r="E50" s="47" t="n">
        <v>0.3125713734567901</v>
      </c>
      <c r="F50" s="47" t="n">
        <v>0.6336246141975309</v>
      </c>
      <c r="G50" s="31" t="n">
        <v>0.7268805607980587</v>
      </c>
      <c r="H50" s="31" t="n">
        <v>0.7903855158420479</v>
      </c>
      <c r="I50" s="9" t="n">
        <v>0.9994236311239193</v>
      </c>
      <c r="J50" s="10" t="n">
        <v>674</v>
      </c>
      <c r="K50" s="11" t="n">
        <v>422</v>
      </c>
      <c r="L50" s="12" t="n">
        <v>1096</v>
      </c>
      <c r="M50" s="10" t="n">
        <v>166434</v>
      </c>
      <c r="N50" s="11" t="n">
        <v>162037</v>
      </c>
      <c r="O50" s="45" t="n">
        <v>1735</v>
      </c>
      <c r="P50" s="45" t="n">
        <v>1</v>
      </c>
      <c r="Q50" s="46" t="inlineStr">
        <is>
          <t>* 추석(3~9일)</t>
        </is>
      </c>
    </row>
    <row r="51" ht="17" customHeight="1">
      <c r="A51" s="44" t="n">
        <v>2025</v>
      </c>
      <c r="B51" s="44" t="n">
        <v>11</v>
      </c>
      <c r="C51" s="45" t="n">
        <v>20</v>
      </c>
      <c r="D51" s="47" t="n">
        <v>0.3152152777777778</v>
      </c>
      <c r="E51" s="47" t="n">
        <v>0.3043836805555555</v>
      </c>
      <c r="F51" s="47" t="n">
        <v>0.6195989583333333</v>
      </c>
      <c r="G51" s="31" t="n">
        <v>0.7743327042329469</v>
      </c>
      <c r="H51" s="31" t="n">
        <v>0.9308568752926487</v>
      </c>
      <c r="I51" s="9" t="n">
        <v>0.9896288209606987</v>
      </c>
      <c r="J51" s="10" t="n">
        <v>718</v>
      </c>
      <c r="K51" s="11" t="n">
        <v>497</v>
      </c>
      <c r="L51" s="12" t="n">
        <v>1215</v>
      </c>
      <c r="M51" s="10" t="n">
        <v>181564</v>
      </c>
      <c r="N51" s="11" t="n">
        <v>175325</v>
      </c>
      <c r="O51" s="45" t="n">
        <v>1832</v>
      </c>
      <c r="P51" s="45" t="n">
        <v>19</v>
      </c>
      <c r="Q51" s="46" t="inlineStr"/>
    </row>
    <row r="52" ht="17" customHeight="1">
      <c r="A52" s="44" t="n">
        <v>2025</v>
      </c>
      <c r="B52" s="44" t="n">
        <v>12</v>
      </c>
      <c r="C52" s="45" t="n">
        <v>18</v>
      </c>
      <c r="D52" s="47" t="n">
        <v>0.28390625</v>
      </c>
      <c r="E52" s="47" t="n">
        <v>0.3330111882716049</v>
      </c>
      <c r="F52" s="47" t="n">
        <v>0.6169174382716049</v>
      </c>
      <c r="G52" s="31" t="n">
        <v>0.7258021029927204</v>
      </c>
      <c r="H52" s="31" t="n">
        <v>0.9832995161542064</v>
      </c>
      <c r="I52" s="9" t="n">
        <v>0.993127147766323</v>
      </c>
      <c r="J52" s="10" t="n">
        <v>673</v>
      </c>
      <c r="K52" s="11" t="n">
        <v>525</v>
      </c>
      <c r="L52" s="12" t="n">
        <v>1198</v>
      </c>
      <c r="M52" s="10" t="n">
        <v>147177</v>
      </c>
      <c r="N52" s="11" t="n">
        <v>172633</v>
      </c>
      <c r="O52" s="45" t="n">
        <v>2037</v>
      </c>
      <c r="P52" s="45" t="n">
        <v>14</v>
      </c>
      <c r="Q52" s="46" t="inlineStr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2022년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3" t="inlineStr">
        <is>
          <t>⚠️ 2022년 1~10월 가공시간 원본 기록 오류 → 설비가동율 N/A  |  출하현황 5~12월만 존재 → 1~4월 양품율 N/A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2202</v>
      </c>
      <c r="D5" s="13" t="n"/>
      <c r="E5" s="10" t="n">
        <v>576000</v>
      </c>
      <c r="F5" s="8" t="inlineStr">
        <is>
          <t>N/A</t>
        </is>
      </c>
      <c r="G5" s="9" t="n">
        <v>2.374764087355082</v>
      </c>
      <c r="H5" s="11" t="n">
        <v>1317</v>
      </c>
      <c r="I5" s="14" t="n"/>
      <c r="J5" s="8" t="inlineStr">
        <is>
          <t>N/A</t>
        </is>
      </c>
      <c r="K5" s="9" t="n">
        <v>2.466677071952552</v>
      </c>
      <c r="L5" s="12" t="n">
        <v>3519</v>
      </c>
      <c r="M5" s="8" t="inlineStr">
        <is>
          <t>N/A</t>
        </is>
      </c>
    </row>
    <row r="6" ht="18" customHeight="1">
      <c r="A6" s="52" t="n">
        <v>2</v>
      </c>
      <c r="B6" s="53" t="n">
        <v>18</v>
      </c>
      <c r="C6" s="10" t="n">
        <v>1862</v>
      </c>
      <c r="D6" s="13" t="n"/>
      <c r="E6" s="10" t="n">
        <v>518400</v>
      </c>
      <c r="F6" s="8" t="inlineStr">
        <is>
          <t>N/A</t>
        </is>
      </c>
      <c r="G6" s="9" t="n">
        <v>2.008088433540038</v>
      </c>
      <c r="H6" s="11" t="n">
        <v>1413</v>
      </c>
      <c r="I6" s="14" t="n"/>
      <c r="J6" s="8" t="inlineStr">
        <is>
          <t>N/A</t>
        </is>
      </c>
      <c r="K6" s="9" t="n">
        <v>2.646480412049321</v>
      </c>
      <c r="L6" s="12" t="n">
        <v>3275</v>
      </c>
      <c r="M6" s="8" t="inlineStr">
        <is>
          <t>N/A</t>
        </is>
      </c>
    </row>
    <row r="7" ht="18" customHeight="1">
      <c r="A7" s="52" t="n">
        <v>3</v>
      </c>
      <c r="B7" s="53" t="n">
        <v>17</v>
      </c>
      <c r="C7" s="10" t="n">
        <v>1248</v>
      </c>
      <c r="D7" s="13" t="n"/>
      <c r="E7" s="10" t="n">
        <v>489600</v>
      </c>
      <c r="F7" s="8" t="inlineStr">
        <is>
          <t>N/A</t>
        </is>
      </c>
      <c r="G7" s="9" t="n">
        <v>1.345915341062281</v>
      </c>
      <c r="H7" s="11" t="n">
        <v>777</v>
      </c>
      <c r="I7" s="14" t="n"/>
      <c r="J7" s="8" t="inlineStr">
        <is>
          <t>N/A</t>
        </is>
      </c>
      <c r="K7" s="9" t="n">
        <v>1.455283283908225</v>
      </c>
      <c r="L7" s="12" t="n">
        <v>2025</v>
      </c>
      <c r="M7" s="8" t="inlineStr">
        <is>
          <t>N/A</t>
        </is>
      </c>
    </row>
    <row r="8" ht="18" customHeight="1">
      <c r="A8" s="52" t="n">
        <v>4</v>
      </c>
      <c r="B8" s="53" t="n">
        <v>22</v>
      </c>
      <c r="C8" s="10" t="n">
        <v>1679</v>
      </c>
      <c r="D8" s="13" t="n"/>
      <c r="E8" s="10" t="n">
        <v>633600</v>
      </c>
      <c r="F8" s="8" t="inlineStr">
        <is>
          <t>N/A</t>
        </is>
      </c>
      <c r="G8" s="9" t="n">
        <v>1.810730655163117</v>
      </c>
      <c r="H8" s="11" t="n">
        <v>1131</v>
      </c>
      <c r="I8" s="14" t="n"/>
      <c r="J8" s="8" t="inlineStr">
        <is>
          <t>N/A</t>
        </is>
      </c>
      <c r="K8" s="9" t="n">
        <v>2.118308100515062</v>
      </c>
      <c r="L8" s="12" t="n">
        <v>2810</v>
      </c>
      <c r="M8" s="8" t="inlineStr">
        <is>
          <t>N/A</t>
        </is>
      </c>
    </row>
    <row r="9" ht="18" customHeight="1">
      <c r="A9" s="52" t="n">
        <v>5</v>
      </c>
      <c r="B9" s="53" t="n">
        <v>22</v>
      </c>
      <c r="C9" s="10" t="n">
        <v>1952</v>
      </c>
      <c r="D9" s="13" t="n"/>
      <c r="E9" s="10" t="n">
        <v>633600</v>
      </c>
      <c r="F9" s="8" t="inlineStr">
        <is>
          <t>N/A</t>
        </is>
      </c>
      <c r="G9" s="9" t="n">
        <v>2.105149636020491</v>
      </c>
      <c r="H9" s="11" t="n">
        <v>1157</v>
      </c>
      <c r="I9" s="14" t="n"/>
      <c r="J9" s="8" t="inlineStr">
        <is>
          <t>N/A</t>
        </is>
      </c>
      <c r="K9" s="9" t="n">
        <v>2.167004838457937</v>
      </c>
      <c r="L9" s="12" t="n">
        <v>3109</v>
      </c>
      <c r="M9" s="9" t="n">
        <v>0.9939024390243902</v>
      </c>
    </row>
    <row r="10" ht="18" customHeight="1">
      <c r="A10" s="52" t="n">
        <v>6</v>
      </c>
      <c r="B10" s="53" t="n">
        <v>20</v>
      </c>
      <c r="C10" s="10" t="n">
        <v>1240</v>
      </c>
      <c r="D10" s="13" t="n"/>
      <c r="E10" s="10" t="n">
        <v>576000</v>
      </c>
      <c r="F10" s="8" t="inlineStr">
        <is>
          <t>N/A</t>
        </is>
      </c>
      <c r="G10" s="9" t="n">
        <v>1.337287678619574</v>
      </c>
      <c r="H10" s="11" t="n">
        <v>752</v>
      </c>
      <c r="I10" s="14" t="n"/>
      <c r="J10" s="8" t="inlineStr">
        <is>
          <t>N/A</t>
        </is>
      </c>
      <c r="K10" s="9" t="n">
        <v>1.408459497424692</v>
      </c>
      <c r="L10" s="12" t="n">
        <v>1992</v>
      </c>
      <c r="M10" s="9" t="n">
        <v>0.9898456539398862</v>
      </c>
    </row>
    <row r="11" ht="18" customHeight="1">
      <c r="A11" s="52" t="n">
        <v>7</v>
      </c>
      <c r="B11" s="53" t="n">
        <v>21</v>
      </c>
      <c r="C11" s="10" t="n">
        <v>1315</v>
      </c>
      <c r="D11" s="13" t="n"/>
      <c r="E11" s="10" t="n">
        <v>604800</v>
      </c>
      <c r="F11" s="8" t="inlineStr">
        <is>
          <t>N/A</t>
        </is>
      </c>
      <c r="G11" s="9" t="n">
        <v>1.418172014019951</v>
      </c>
      <c r="H11" s="11" t="n">
        <v>831</v>
      </c>
      <c r="I11" s="14" t="n"/>
      <c r="J11" s="8" t="inlineStr">
        <is>
          <t>N/A</t>
        </is>
      </c>
      <c r="K11" s="9" t="n">
        <v>1.556422662712658</v>
      </c>
      <c r="L11" s="12" t="n">
        <v>2146</v>
      </c>
      <c r="M11" s="17" t="n">
        <v>0.9741242038216561</v>
      </c>
    </row>
    <row r="12" ht="18" customHeight="1">
      <c r="A12" s="52" t="n">
        <v>8</v>
      </c>
      <c r="B12" s="53" t="n">
        <v>19</v>
      </c>
      <c r="C12" s="10" t="n">
        <v>1107</v>
      </c>
      <c r="D12" s="13" t="n"/>
      <c r="E12" s="10" t="n">
        <v>547200</v>
      </c>
      <c r="F12" s="8" t="inlineStr">
        <is>
          <t>N/A</t>
        </is>
      </c>
      <c r="G12" s="9" t="n">
        <v>1.193852790509571</v>
      </c>
      <c r="H12" s="11" t="n">
        <v>665</v>
      </c>
      <c r="I12" s="14" t="n"/>
      <c r="J12" s="8" t="inlineStr">
        <is>
          <t>N/A</t>
        </is>
      </c>
      <c r="K12" s="9" t="n">
        <v>1.245512720461995</v>
      </c>
      <c r="L12" s="12" t="n">
        <v>1772</v>
      </c>
      <c r="M12" s="9" t="n">
        <v>0.9905862216516902</v>
      </c>
    </row>
    <row r="13" ht="18" customHeight="1">
      <c r="A13" s="52" t="n">
        <v>9</v>
      </c>
      <c r="B13" s="53" t="n">
        <v>19</v>
      </c>
      <c r="C13" s="10" t="n">
        <v>889</v>
      </c>
      <c r="D13" s="13" t="n"/>
      <c r="E13" s="10" t="n">
        <v>547200</v>
      </c>
      <c r="F13" s="8" t="inlineStr">
        <is>
          <t>N/A</t>
        </is>
      </c>
      <c r="G13" s="9" t="n">
        <v>0.9587489889458075</v>
      </c>
      <c r="H13" s="11" t="n">
        <v>552</v>
      </c>
      <c r="I13" s="14" t="n"/>
      <c r="J13" s="8" t="inlineStr">
        <is>
          <t>N/A</t>
        </is>
      </c>
      <c r="K13" s="9" t="n">
        <v>1.033869205556423</v>
      </c>
      <c r="L13" s="12" t="n">
        <v>1441</v>
      </c>
      <c r="M13" s="9" t="n">
        <v>0.9967948717948718</v>
      </c>
    </row>
    <row r="14" ht="18" customHeight="1">
      <c r="A14" s="52" t="n">
        <v>10</v>
      </c>
      <c r="B14" s="53" t="n">
        <v>18</v>
      </c>
      <c r="C14" s="10" t="n">
        <v>1108</v>
      </c>
      <c r="D14" s="13" t="n"/>
      <c r="E14" s="10" t="n">
        <v>518400</v>
      </c>
      <c r="F14" s="8" t="inlineStr">
        <is>
          <t>N/A</t>
        </is>
      </c>
      <c r="G14" s="9" t="n">
        <v>1.19493124831491</v>
      </c>
      <c r="H14" s="11" t="n">
        <v>781</v>
      </c>
      <c r="I14" s="14" t="n"/>
      <c r="J14" s="8" t="inlineStr">
        <is>
          <t>N/A</t>
        </is>
      </c>
      <c r="K14" s="9" t="n">
        <v>1.462775089745591</v>
      </c>
      <c r="L14" s="12" t="n">
        <v>1889</v>
      </c>
      <c r="M14" s="9" t="n">
        <v>0.9905020352781547</v>
      </c>
    </row>
    <row r="15" ht="18" customHeight="1">
      <c r="A15" s="52" t="n">
        <v>11</v>
      </c>
      <c r="B15" s="53" t="n">
        <v>22</v>
      </c>
      <c r="C15" s="10" t="n">
        <v>1224</v>
      </c>
      <c r="D15" s="10" t="n">
        <v>299600</v>
      </c>
      <c r="E15" s="10" t="n">
        <v>633600</v>
      </c>
      <c r="F15" s="9" t="n">
        <v>0.4728535353535354</v>
      </c>
      <c r="G15" s="9" t="n">
        <v>1.32003235373416</v>
      </c>
      <c r="H15" s="11" t="n">
        <v>724</v>
      </c>
      <c r="I15" s="11" t="n">
        <v>225020</v>
      </c>
      <c r="J15" s="9" t="n">
        <v>0.355145202020202</v>
      </c>
      <c r="K15" s="9" t="n">
        <v>1.356016856563134</v>
      </c>
      <c r="L15" s="12" t="n">
        <v>1948</v>
      </c>
      <c r="M15" s="17" t="n">
        <v>0.9813451153657339</v>
      </c>
    </row>
    <row r="16" ht="18" customHeight="1">
      <c r="A16" s="52" t="n">
        <v>12</v>
      </c>
      <c r="B16" s="53" t="n">
        <v>22</v>
      </c>
      <c r="C16" s="10" t="n">
        <v>769</v>
      </c>
      <c r="D16" s="10" t="n">
        <v>199540</v>
      </c>
      <c r="E16" s="10" t="n">
        <v>633600</v>
      </c>
      <c r="F16" s="54" t="n">
        <v>0.3149305555555555</v>
      </c>
      <c r="G16" s="54" t="n">
        <v>0.8293340523052035</v>
      </c>
      <c r="H16" s="11" t="n">
        <v>499</v>
      </c>
      <c r="I16" s="11" t="n">
        <v>152660</v>
      </c>
      <c r="J16" s="9" t="n">
        <v>0.2409406565656566</v>
      </c>
      <c r="K16" s="9" t="n">
        <v>0.9346027782113314</v>
      </c>
      <c r="L16" s="12" t="n">
        <v>1268</v>
      </c>
      <c r="M16" s="9" t="n">
        <v>0.9881593110871906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AVERAGE(D15,D16)</f>
        <v/>
      </c>
      <c r="E17" s="57">
        <f>AVERAGE(E5:E16)</f>
        <v/>
      </c>
      <c r="F17" s="58">
        <f>AVERAGE(F15,F16)</f>
        <v/>
      </c>
      <c r="G17" s="58">
        <f>AVERAGE(G5:G16)</f>
        <v/>
      </c>
      <c r="H17" s="57">
        <f>SUM(H5:H16)</f>
        <v/>
      </c>
      <c r="I17" s="57">
        <f>AVERAGE(I15,I16)</f>
        <v/>
      </c>
      <c r="J17" s="58">
        <f>AVERAGE(J15,J16)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2023년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18</v>
      </c>
      <c r="C5" s="10" t="n">
        <v>894</v>
      </c>
      <c r="D5" s="10" t="n">
        <v>246200</v>
      </c>
      <c r="E5" s="10" t="n">
        <v>518400</v>
      </c>
      <c r="F5" s="9" t="n">
        <v>0.4749228395061729</v>
      </c>
      <c r="G5" s="9" t="n">
        <v>0.9641412779724994</v>
      </c>
      <c r="H5" s="11" t="n">
        <v>645</v>
      </c>
      <c r="I5" s="11" t="n">
        <v>162580</v>
      </c>
      <c r="J5" s="9" t="n">
        <v>0.3136188271604938</v>
      </c>
      <c r="K5" s="9" t="n">
        <v>1.208053691275168</v>
      </c>
      <c r="L5" s="12" t="n">
        <v>1539</v>
      </c>
      <c r="M5" s="17" t="n">
        <v>0.9757160647571607</v>
      </c>
    </row>
    <row r="6" ht="18" customHeight="1">
      <c r="A6" s="52" t="n">
        <v>2</v>
      </c>
      <c r="B6" s="53" t="n">
        <v>20</v>
      </c>
      <c r="C6" s="10" t="n">
        <v>1533</v>
      </c>
      <c r="D6" s="10" t="n">
        <v>393630</v>
      </c>
      <c r="E6" s="10" t="n">
        <v>576000</v>
      </c>
      <c r="F6" s="9" t="n">
        <v>0.6833854166666666</v>
      </c>
      <c r="G6" s="9" t="n">
        <v>1.653275815583715</v>
      </c>
      <c r="H6" s="11" t="n">
        <v>846</v>
      </c>
      <c r="I6" s="11" t="n">
        <v>268120</v>
      </c>
      <c r="J6" s="9" t="n">
        <v>0.4654861111111111</v>
      </c>
      <c r="K6" s="9" t="n">
        <v>1.584516934602778</v>
      </c>
      <c r="L6" s="12" t="n">
        <v>2379</v>
      </c>
      <c r="M6" s="9" t="n">
        <v>0.9899224806201551</v>
      </c>
    </row>
    <row r="7" ht="18" customHeight="1">
      <c r="A7" s="52" t="n">
        <v>3</v>
      </c>
      <c r="B7" s="53" t="n">
        <v>21</v>
      </c>
      <c r="C7" s="10" t="n">
        <v>996</v>
      </c>
      <c r="D7" s="10" t="n">
        <v>254160</v>
      </c>
      <c r="E7" s="10" t="n">
        <v>604800</v>
      </c>
      <c r="F7" s="9" t="n">
        <v>0.4202380952380952</v>
      </c>
      <c r="G7" s="9" t="n">
        <v>1.074143974117013</v>
      </c>
      <c r="H7" s="11" t="n">
        <v>659</v>
      </c>
      <c r="I7" s="11" t="n">
        <v>225970</v>
      </c>
      <c r="J7" s="9" t="n">
        <v>0.3736276455026455</v>
      </c>
      <c r="K7" s="9" t="n">
        <v>1.234275011705947</v>
      </c>
      <c r="L7" s="12" t="n">
        <v>1655</v>
      </c>
      <c r="M7" s="17" t="n">
        <v>0.9764948453608248</v>
      </c>
    </row>
    <row r="8" ht="18" customHeight="1">
      <c r="A8" s="52" t="n">
        <v>4</v>
      </c>
      <c r="B8" s="53" t="n">
        <v>22</v>
      </c>
      <c r="C8" s="10" t="n">
        <v>1092</v>
      </c>
      <c r="D8" s="10" t="n">
        <v>230340</v>
      </c>
      <c r="E8" s="10" t="n">
        <v>633600</v>
      </c>
      <c r="F8" s="9" t="n">
        <v>0.3635416666666667</v>
      </c>
      <c r="G8" s="9" t="n">
        <v>1.177675923429496</v>
      </c>
      <c r="H8" s="11" t="n">
        <v>559</v>
      </c>
      <c r="I8" s="11" t="n">
        <v>177400</v>
      </c>
      <c r="J8" s="9" t="n">
        <v>0.2799873737373738</v>
      </c>
      <c r="K8" s="9" t="n">
        <v>1.046979865771812</v>
      </c>
      <c r="L8" s="12" t="n">
        <v>1651</v>
      </c>
      <c r="M8" s="9" t="n">
        <v>0.9911807937285644</v>
      </c>
    </row>
    <row r="9" ht="18" customHeight="1">
      <c r="A9" s="52" t="n">
        <v>5</v>
      </c>
      <c r="B9" s="53" t="n">
        <v>20</v>
      </c>
      <c r="C9" s="10" t="n">
        <v>774</v>
      </c>
      <c r="D9" s="10" t="n">
        <v>181092</v>
      </c>
      <c r="E9" s="10" t="n">
        <v>576000</v>
      </c>
      <c r="F9" s="54" t="n">
        <v>0.3143958333333333</v>
      </c>
      <c r="G9" s="54" t="n">
        <v>0.8347263413318954</v>
      </c>
      <c r="H9" s="11" t="n">
        <v>481</v>
      </c>
      <c r="I9" s="11" t="n">
        <v>166966</v>
      </c>
      <c r="J9" s="9" t="n">
        <v>0.2898715277777778</v>
      </c>
      <c r="K9" s="9" t="n">
        <v>0.9008896519431872</v>
      </c>
      <c r="L9" s="12" t="n">
        <v>1255</v>
      </c>
      <c r="M9" s="17" t="n">
        <v>0.9762803234501348</v>
      </c>
    </row>
    <row r="10" ht="18" customHeight="1">
      <c r="A10" s="52" t="n">
        <v>6</v>
      </c>
      <c r="B10" s="53" t="n">
        <v>21</v>
      </c>
      <c r="C10" s="10" t="n">
        <v>1217</v>
      </c>
      <c r="D10" s="10" t="n">
        <v>254190</v>
      </c>
      <c r="E10" s="10" t="n">
        <v>604800</v>
      </c>
      <c r="F10" s="9" t="n">
        <v>0.4202876984126984</v>
      </c>
      <c r="G10" s="9" t="n">
        <v>1.312483149096792</v>
      </c>
      <c r="H10" s="11" t="n">
        <v>520</v>
      </c>
      <c r="I10" s="11" t="n">
        <v>177161</v>
      </c>
      <c r="J10" s="9" t="n">
        <v>0.2929249338624338</v>
      </c>
      <c r="K10" s="9" t="n">
        <v>0.9739347588574997</v>
      </c>
      <c r="L10" s="12" t="n">
        <v>1737</v>
      </c>
      <c r="M10" s="17" t="n">
        <v>0.9839797639123102</v>
      </c>
    </row>
    <row r="11" ht="18" customHeight="1">
      <c r="A11" s="52" t="n">
        <v>7</v>
      </c>
      <c r="B11" s="53" t="n">
        <v>18</v>
      </c>
      <c r="C11" s="10" t="n">
        <v>617</v>
      </c>
      <c r="D11" s="10" t="n">
        <v>134468</v>
      </c>
      <c r="E11" s="10" t="n">
        <v>518400</v>
      </c>
      <c r="F11" s="54" t="n">
        <v>0.2593904320987654</v>
      </c>
      <c r="G11" s="54" t="n">
        <v>0.6654084658937719</v>
      </c>
      <c r="H11" s="11" t="n">
        <v>306</v>
      </c>
      <c r="I11" s="11" t="n">
        <v>97363</v>
      </c>
      <c r="J11" s="17" t="n">
        <v>0.1878144290123457</v>
      </c>
      <c r="K11" s="17" t="n">
        <v>0.5731231465584518</v>
      </c>
      <c r="L11" s="12" t="n">
        <v>923</v>
      </c>
      <c r="M11" s="17" t="n">
        <v>0.9602689486552567</v>
      </c>
    </row>
    <row r="12" ht="18" customHeight="1">
      <c r="A12" s="52" t="n">
        <v>8</v>
      </c>
      <c r="B12" s="53" t="n">
        <v>21</v>
      </c>
      <c r="C12" s="10" t="n">
        <v>1141</v>
      </c>
      <c r="D12" s="10" t="n">
        <v>273634</v>
      </c>
      <c r="E12" s="10" t="n">
        <v>604800</v>
      </c>
      <c r="F12" s="9" t="n">
        <v>0.4524371693121693</v>
      </c>
      <c r="G12" s="9" t="n">
        <v>1.230520355891076</v>
      </c>
      <c r="H12" s="11" t="n">
        <v>527</v>
      </c>
      <c r="I12" s="11" t="n">
        <v>173734</v>
      </c>
      <c r="J12" s="9" t="n">
        <v>0.2872585978835979</v>
      </c>
      <c r="K12" s="9" t="n">
        <v>0.9870454190728891</v>
      </c>
      <c r="L12" s="12" t="n">
        <v>1668</v>
      </c>
      <c r="M12" s="17" t="n">
        <v>0.9741833508956796</v>
      </c>
    </row>
    <row r="13" ht="18" customHeight="1">
      <c r="A13" s="52" t="n">
        <v>9</v>
      </c>
      <c r="B13" s="53" t="n">
        <v>18</v>
      </c>
      <c r="C13" s="10" t="n">
        <v>770</v>
      </c>
      <c r="D13" s="10" t="n">
        <v>180523</v>
      </c>
      <c r="E13" s="10" t="n">
        <v>518400</v>
      </c>
      <c r="F13" s="54" t="n">
        <v>0.3482310956790123</v>
      </c>
      <c r="G13" s="54" t="n">
        <v>0.830412510110542</v>
      </c>
      <c r="H13" s="11" t="n">
        <v>469</v>
      </c>
      <c r="I13" s="11" t="n">
        <v>162676</v>
      </c>
      <c r="J13" s="9" t="n">
        <v>0.313804012345679</v>
      </c>
      <c r="K13" s="9" t="n">
        <v>0.878414234431091</v>
      </c>
      <c r="L13" s="12" t="n">
        <v>1239</v>
      </c>
      <c r="M13" s="9" t="n">
        <v>0.9875776397515528</v>
      </c>
    </row>
    <row r="14" ht="18" customHeight="1">
      <c r="A14" s="52" t="n">
        <v>10</v>
      </c>
      <c r="B14" s="53" t="n">
        <v>19</v>
      </c>
      <c r="C14" s="10" t="n">
        <v>781</v>
      </c>
      <c r="D14" s="10" t="n">
        <v>191827</v>
      </c>
      <c r="E14" s="10" t="n">
        <v>547200</v>
      </c>
      <c r="F14" s="9" t="n">
        <v>0.3505610380116959</v>
      </c>
      <c r="G14" s="54" t="n">
        <v>0.8422755459692639</v>
      </c>
      <c r="H14" s="11" t="n">
        <v>495</v>
      </c>
      <c r="I14" s="11" t="n">
        <v>160003</v>
      </c>
      <c r="J14" s="9" t="n">
        <v>0.2924031432748538</v>
      </c>
      <c r="K14" s="9" t="n">
        <v>0.927110972373966</v>
      </c>
      <c r="L14" s="12" t="n">
        <v>1276</v>
      </c>
      <c r="M14" s="9" t="n">
        <v>0.9867776689520078</v>
      </c>
    </row>
    <row r="15" ht="18" customHeight="1">
      <c r="A15" s="52" t="n">
        <v>11</v>
      </c>
      <c r="B15" s="53" t="n">
        <v>22</v>
      </c>
      <c r="C15" s="10" t="n">
        <v>786</v>
      </c>
      <c r="D15" s="10" t="n">
        <v>169549</v>
      </c>
      <c r="E15" s="10" t="n">
        <v>633600</v>
      </c>
      <c r="F15" s="54" t="n">
        <v>0.2675962752525253</v>
      </c>
      <c r="G15" s="54" t="n">
        <v>0.8476678349959558</v>
      </c>
      <c r="H15" s="11" t="n">
        <v>427</v>
      </c>
      <c r="I15" s="11" t="n">
        <v>160941</v>
      </c>
      <c r="J15" s="9" t="n">
        <v>0.2540104166666667</v>
      </c>
      <c r="K15" s="9" t="n">
        <v>0.7997502731387546</v>
      </c>
      <c r="L15" s="12" t="n">
        <v>1213</v>
      </c>
      <c r="M15" s="9" t="n">
        <v>0.987485779294653</v>
      </c>
    </row>
    <row r="16" ht="18" customHeight="1">
      <c r="A16" s="52" t="n">
        <v>12</v>
      </c>
      <c r="B16" s="53" t="n">
        <v>19</v>
      </c>
      <c r="C16" s="10" t="n">
        <v>573</v>
      </c>
      <c r="D16" s="10" t="n">
        <v>156648</v>
      </c>
      <c r="E16" s="10" t="n">
        <v>547200</v>
      </c>
      <c r="F16" s="54" t="n">
        <v>0.2862719298245614</v>
      </c>
      <c r="G16" s="17" t="n">
        <v>0.6179563224588838</v>
      </c>
      <c r="H16" s="11" t="n">
        <v>426</v>
      </c>
      <c r="I16" s="11" t="n">
        <v>161462</v>
      </c>
      <c r="J16" s="9" t="n">
        <v>0.2950694444444444</v>
      </c>
      <c r="K16" s="9" t="n">
        <v>0.7978773216794132</v>
      </c>
      <c r="L16" s="12" t="n">
        <v>999</v>
      </c>
      <c r="M16" s="9" t="n">
        <v>0.9956575682382134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2024년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5" customHeight="1">
      <c r="A3" s="60" t="inlineStr">
        <is>
          <t>⚠️ 근무일수: 작업일지 가동일수 기준 (2024년은 참조파일 사용)</t>
        </is>
      </c>
    </row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20</v>
      </c>
      <c r="C5" s="10" t="n">
        <v>984</v>
      </c>
      <c r="D5" s="10" t="n">
        <v>247094</v>
      </c>
      <c r="E5" s="10" t="n">
        <v>576000</v>
      </c>
      <c r="F5" s="9" t="n">
        <v>0.4289826388888889</v>
      </c>
      <c r="G5" s="9" t="n">
        <v>1.061202480452952</v>
      </c>
      <c r="H5" s="11" t="n">
        <v>562</v>
      </c>
      <c r="I5" s="11" t="n">
        <v>184838</v>
      </c>
      <c r="J5" s="9" t="n">
        <v>0.3208993055555556</v>
      </c>
      <c r="K5" s="9" t="n">
        <v>1.052598720149836</v>
      </c>
      <c r="L5" s="12" t="n">
        <v>1546</v>
      </c>
      <c r="M5" s="9" t="n">
        <v>0.9957939011566772</v>
      </c>
    </row>
    <row r="6" ht="18" customHeight="1">
      <c r="A6" s="52" t="n">
        <v>2</v>
      </c>
      <c r="B6" s="53" t="n">
        <v>19</v>
      </c>
      <c r="C6" s="10" t="n">
        <v>866</v>
      </c>
      <c r="D6" s="10" t="n">
        <v>204249</v>
      </c>
      <c r="E6" s="10" t="n">
        <v>547200</v>
      </c>
      <c r="F6" s="9" t="n">
        <v>0.3732620614035088</v>
      </c>
      <c r="G6" s="9" t="n">
        <v>0.9339444594230251</v>
      </c>
      <c r="H6" s="11" t="n">
        <v>573</v>
      </c>
      <c r="I6" s="11" t="n">
        <v>204276</v>
      </c>
      <c r="J6" s="9" t="n">
        <v>0.373311403508772</v>
      </c>
      <c r="K6" s="9" t="n">
        <v>1.073201186202591</v>
      </c>
      <c r="L6" s="12" t="n">
        <v>1439</v>
      </c>
      <c r="M6" s="9" t="n">
        <v>0.9971910112359551</v>
      </c>
    </row>
    <row r="7" ht="18" customHeight="1">
      <c r="A7" s="52" t="n">
        <v>3</v>
      </c>
      <c r="B7" s="53" t="n">
        <v>19</v>
      </c>
      <c r="C7" s="10" t="n">
        <v>853</v>
      </c>
      <c r="D7" s="10" t="n">
        <v>193395</v>
      </c>
      <c r="E7" s="10" t="n">
        <v>547200</v>
      </c>
      <c r="F7" s="9" t="n">
        <v>0.3534265350877193</v>
      </c>
      <c r="G7" s="9" t="n">
        <v>0.9199245079536263</v>
      </c>
      <c r="H7" s="11" t="n">
        <v>570</v>
      </c>
      <c r="I7" s="11" t="n">
        <v>191233</v>
      </c>
      <c r="J7" s="9" t="n">
        <v>0.3494755116959065</v>
      </c>
      <c r="K7" s="9" t="n">
        <v>1.067582331824567</v>
      </c>
      <c r="L7" s="12" t="n">
        <v>1423</v>
      </c>
      <c r="M7" s="9" t="n">
        <v>0.9953897736797989</v>
      </c>
    </row>
    <row r="8" ht="18" customHeight="1">
      <c r="A8" s="52" t="n">
        <v>4</v>
      </c>
      <c r="B8" s="53" t="n">
        <v>20</v>
      </c>
      <c r="C8" s="10" t="n">
        <v>754</v>
      </c>
      <c r="D8" s="10" t="n">
        <v>182936</v>
      </c>
      <c r="E8" s="10" t="n">
        <v>576000</v>
      </c>
      <c r="F8" s="54" t="n">
        <v>0.3175972222222222</v>
      </c>
      <c r="G8" s="54" t="n">
        <v>0.813157185225128</v>
      </c>
      <c r="H8" s="11" t="n">
        <v>595</v>
      </c>
      <c r="I8" s="11" t="n">
        <v>188653</v>
      </c>
      <c r="J8" s="9" t="n">
        <v>0.3275225694444445</v>
      </c>
      <c r="K8" s="9" t="n">
        <v>1.114406118308101</v>
      </c>
      <c r="L8" s="12" t="n">
        <v>1349</v>
      </c>
      <c r="M8" s="17" t="n">
        <v>0.9767921609076844</v>
      </c>
    </row>
    <row r="9" ht="18" customHeight="1">
      <c r="A9" s="52" t="n">
        <v>5</v>
      </c>
      <c r="B9" s="53" t="n">
        <v>20</v>
      </c>
      <c r="C9" s="10" t="n">
        <v>849</v>
      </c>
      <c r="D9" s="10" t="n">
        <v>207504</v>
      </c>
      <c r="E9" s="10" t="n">
        <v>576000</v>
      </c>
      <c r="F9" s="9" t="n">
        <v>0.36025</v>
      </c>
      <c r="G9" s="9" t="n">
        <v>0.9156106767322728</v>
      </c>
      <c r="H9" s="11" t="n">
        <v>442</v>
      </c>
      <c r="I9" s="11" t="n">
        <v>144429</v>
      </c>
      <c r="J9" s="9" t="n">
        <v>0.2507447916666667</v>
      </c>
      <c r="K9" s="9" t="n">
        <v>0.8278445450288747</v>
      </c>
      <c r="L9" s="12" t="n">
        <v>1291</v>
      </c>
      <c r="M9" s="9" t="n">
        <v>0.994573260976813</v>
      </c>
    </row>
    <row r="10" ht="18" customHeight="1">
      <c r="A10" s="52" t="n">
        <v>6</v>
      </c>
      <c r="B10" s="53" t="n">
        <v>19</v>
      </c>
      <c r="C10" s="10" t="n">
        <v>669</v>
      </c>
      <c r="D10" s="10" t="n">
        <v>55479</v>
      </c>
      <c r="E10" s="10" t="n">
        <v>547200</v>
      </c>
      <c r="F10" s="17" t="n">
        <v>0.1013870614035088</v>
      </c>
      <c r="G10" s="54" t="n">
        <v>0.721488271771367</v>
      </c>
      <c r="H10" s="11" t="n">
        <v>392</v>
      </c>
      <c r="I10" s="11" t="n">
        <v>48462</v>
      </c>
      <c r="J10" s="17" t="n">
        <v>0.08856359649122807</v>
      </c>
      <c r="K10" s="9" t="n">
        <v>0.7341969720618075</v>
      </c>
      <c r="L10" s="12" t="n">
        <v>1061</v>
      </c>
      <c r="M10" s="9" t="n">
        <v>0.9901199717713479</v>
      </c>
    </row>
    <row r="11" ht="18" customHeight="1">
      <c r="A11" s="52" t="n">
        <v>7</v>
      </c>
      <c r="B11" s="53" t="n">
        <v>21</v>
      </c>
      <c r="C11" s="10" t="n">
        <v>654</v>
      </c>
      <c r="D11" s="10" t="n">
        <v>123152</v>
      </c>
      <c r="E11" s="10" t="n">
        <v>604800</v>
      </c>
      <c r="F11" s="17" t="n">
        <v>0.2036243386243386</v>
      </c>
      <c r="G11" s="54" t="n">
        <v>0.7053114046912915</v>
      </c>
      <c r="H11" s="11" t="n">
        <v>468</v>
      </c>
      <c r="I11" s="11" t="n">
        <v>73820</v>
      </c>
      <c r="J11" s="17" t="n">
        <v>0.1220568783068783</v>
      </c>
      <c r="K11" s="9" t="n">
        <v>0.8765412829717497</v>
      </c>
      <c r="L11" s="12" t="n">
        <v>1122</v>
      </c>
      <c r="M11" s="9" t="n">
        <v>0.9910071942446043</v>
      </c>
    </row>
    <row r="12" ht="18" customHeight="1">
      <c r="A12" s="52" t="n">
        <v>8</v>
      </c>
      <c r="B12" s="53" t="n">
        <v>18</v>
      </c>
      <c r="C12" s="10" t="n">
        <v>549</v>
      </c>
      <c r="D12" s="10" t="n">
        <v>84306</v>
      </c>
      <c r="E12" s="10" t="n">
        <v>518400</v>
      </c>
      <c r="F12" s="17" t="n">
        <v>0.1626273148148148</v>
      </c>
      <c r="G12" s="17" t="n">
        <v>0.592073335130763</v>
      </c>
      <c r="H12" s="11" t="n">
        <v>526</v>
      </c>
      <c r="I12" s="11" t="n">
        <v>61521</v>
      </c>
      <c r="J12" s="17" t="n">
        <v>0.1186747685185185</v>
      </c>
      <c r="K12" s="9" t="n">
        <v>0.9851724676135477</v>
      </c>
      <c r="L12" s="12" t="n">
        <v>1075</v>
      </c>
      <c r="M12" s="9" t="n">
        <v>0.9993434011818779</v>
      </c>
    </row>
    <row r="13" ht="18" customHeight="1">
      <c r="A13" s="52" t="n">
        <v>9</v>
      </c>
      <c r="B13" s="53" t="n">
        <v>22</v>
      </c>
      <c r="C13" s="10" t="n">
        <v>650</v>
      </c>
      <c r="D13" s="10" t="n">
        <v>123776</v>
      </c>
      <c r="E13" s="10" t="n">
        <v>633600</v>
      </c>
      <c r="F13" s="17" t="n">
        <v>0.1953535353535354</v>
      </c>
      <c r="G13" s="54" t="n">
        <v>0.700997573469938</v>
      </c>
      <c r="H13" s="11" t="n">
        <v>520</v>
      </c>
      <c r="I13" s="11" t="n">
        <v>107435</v>
      </c>
      <c r="J13" s="17" t="n">
        <v>0.1695628156565657</v>
      </c>
      <c r="K13" s="9" t="n">
        <v>0.9739347588574997</v>
      </c>
      <c r="L13" s="12" t="n">
        <v>1170</v>
      </c>
      <c r="M13" s="9" t="n">
        <v>0.9930986887508627</v>
      </c>
    </row>
    <row r="14" ht="18" customHeight="1">
      <c r="A14" s="52" t="n">
        <v>10</v>
      </c>
      <c r="B14" s="53" t="n">
        <v>18</v>
      </c>
      <c r="C14" s="10" t="n">
        <v>717</v>
      </c>
      <c r="D14" s="10" t="n">
        <v>168471</v>
      </c>
      <c r="E14" s="10" t="n">
        <v>518400</v>
      </c>
      <c r="F14" s="54" t="n">
        <v>0.3249826388888889</v>
      </c>
      <c r="G14" s="54" t="n">
        <v>0.7732542464276085</v>
      </c>
      <c r="H14" s="11" t="n">
        <v>482</v>
      </c>
      <c r="I14" s="11" t="n">
        <v>147501</v>
      </c>
      <c r="J14" s="9" t="n">
        <v>0.28453125</v>
      </c>
      <c r="K14" s="9" t="n">
        <v>0.9027626034025286</v>
      </c>
      <c r="L14" s="12" t="n">
        <v>1199</v>
      </c>
      <c r="M14" s="9" t="n">
        <v>0.9911080711354309</v>
      </c>
    </row>
    <row r="15" ht="18" customHeight="1">
      <c r="A15" s="52" t="n">
        <v>11</v>
      </c>
      <c r="B15" s="53" t="n">
        <v>24</v>
      </c>
      <c r="C15" s="10" t="n">
        <v>655</v>
      </c>
      <c r="D15" s="10" t="n">
        <v>113084</v>
      </c>
      <c r="E15" s="10" t="n">
        <v>691200</v>
      </c>
      <c r="F15" s="17" t="n">
        <v>0.1636053240740741</v>
      </c>
      <c r="G15" s="54" t="n">
        <v>0.7063898624966298</v>
      </c>
      <c r="H15" s="11" t="n">
        <v>415</v>
      </c>
      <c r="I15" s="11" t="n">
        <v>97079</v>
      </c>
      <c r="J15" s="17" t="n">
        <v>0.1404499421296296</v>
      </c>
      <c r="K15" s="9" t="n">
        <v>0.7772748556266584</v>
      </c>
      <c r="L15" s="12" t="n">
        <v>1070</v>
      </c>
      <c r="M15" s="9" t="n">
        <v>0.9931107578166402</v>
      </c>
    </row>
    <row r="16" ht="18" customHeight="1">
      <c r="A16" s="52" t="n">
        <v>12</v>
      </c>
      <c r="B16" s="53" t="n">
        <v>20</v>
      </c>
      <c r="C16" s="10" t="n">
        <v>656</v>
      </c>
      <c r="D16" s="10" t="n">
        <v>143894</v>
      </c>
      <c r="E16" s="10" t="n">
        <v>576000</v>
      </c>
      <c r="F16" s="17" t="n">
        <v>0.2498159722222222</v>
      </c>
      <c r="G16" s="54" t="n">
        <v>0.7074683203019682</v>
      </c>
      <c r="H16" s="11" t="n">
        <v>374</v>
      </c>
      <c r="I16" s="11" t="n">
        <v>127031</v>
      </c>
      <c r="J16" s="9" t="n">
        <v>0.2205399305555556</v>
      </c>
      <c r="K16" s="9" t="n">
        <v>0.7004838457936632</v>
      </c>
      <c r="L16" s="12" t="n">
        <v>1030</v>
      </c>
      <c r="M16" s="9" t="n">
        <v>0.9963570127504554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9" t="inlineStr">
        <is>
          <t>N/A</t>
        </is>
      </c>
    </row>
  </sheetData>
  <mergeCells count="3">
    <mergeCell ref="I2:M2"/>
    <mergeCell ref="A3:M3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2" customWidth="1" min="3" max="3"/>
    <col width="13" customWidth="1" min="4" max="4"/>
    <col width="13" customWidth="1" min="5" max="5"/>
    <col width="11" customWidth="1" min="6" max="6"/>
    <col width="11" customWidth="1" min="7" max="7"/>
    <col width="12" customWidth="1" min="8" max="8"/>
    <col width="13" customWidth="1" min="9" max="9"/>
    <col width="11" customWidth="1" min="10" max="10"/>
    <col width="11" customWidth="1" min="11" max="11"/>
    <col width="12" customWidth="1" min="12" max="12"/>
    <col width="10" customWidth="1" min="13" max="13"/>
  </cols>
  <sheetData>
    <row r="1" ht="22" customHeight="1">
      <c r="A1" s="1" t="inlineStr">
        <is>
          <t>2025년 재연마 KPI 상세  —  설비가동율 · 작업효율 · 양품율</t>
        </is>
      </c>
    </row>
    <row r="2" ht="18" customHeight="1">
      <c r="A2" s="48" t="inlineStr">
        <is>
          <t>FG 표준생산량</t>
        </is>
      </c>
      <c r="B2" s="49" t="n">
        <v>927.25</v>
      </c>
      <c r="C2" s="50" t="inlineStr">
        <is>
          <t>개/월</t>
        </is>
      </c>
      <c r="E2" s="48" t="inlineStr">
        <is>
          <t>GX7 표준생산량</t>
        </is>
      </c>
      <c r="F2" s="49" t="n">
        <v>533.9166666666666</v>
      </c>
      <c r="G2" s="50" t="inlineStr">
        <is>
          <t>개/월</t>
        </is>
      </c>
      <c r="I2" s="51" t="inlineStr">
        <is>
          <t>출처: 25년 월별 생산 실적.xlsx (2025~2026년 15개월 평균)</t>
        </is>
      </c>
    </row>
    <row r="3" ht="14" customHeight="1"/>
    <row r="4" ht="28" customHeight="1">
      <c r="A4" s="4" t="inlineStr">
        <is>
          <t>월</t>
        </is>
      </c>
      <c r="B4" s="4" t="inlineStr">
        <is>
          <t>근무일</t>
        </is>
      </c>
      <c r="C4" s="5" t="inlineStr">
        <is>
          <t>FG 생산수량</t>
        </is>
      </c>
      <c r="D4" s="5" t="inlineStr">
        <is>
          <t>FG 가공시간(초)</t>
        </is>
      </c>
      <c r="E4" s="5" t="inlineStr">
        <is>
          <t>FG 근무시간(초)</t>
        </is>
      </c>
      <c r="F4" s="5" t="inlineStr">
        <is>
          <t>FG 설비가동율</t>
        </is>
      </c>
      <c r="G4" s="5" t="inlineStr">
        <is>
          <t>FG 작업효율</t>
        </is>
      </c>
      <c r="H4" s="5" t="inlineStr">
        <is>
          <t>GX7 생산수량</t>
        </is>
      </c>
      <c r="I4" s="5" t="inlineStr">
        <is>
          <t>GX7 가공시간(초)</t>
        </is>
      </c>
      <c r="J4" s="5" t="inlineStr">
        <is>
          <t>GX7 가동율</t>
        </is>
      </c>
      <c r="K4" s="5" t="inlineStr">
        <is>
          <t>GX7 작업효율</t>
        </is>
      </c>
      <c r="L4" s="4" t="inlineStr">
        <is>
          <t>합계 생산수량</t>
        </is>
      </c>
      <c r="M4" s="4" t="inlineStr">
        <is>
          <t>양품율</t>
        </is>
      </c>
    </row>
    <row r="5" ht="18" customHeight="1">
      <c r="A5" s="52" t="n">
        <v>1</v>
      </c>
      <c r="B5" s="53" t="n">
        <v>17</v>
      </c>
      <c r="C5" s="10" t="n">
        <v>723</v>
      </c>
      <c r="D5" s="10" t="n">
        <v>190614</v>
      </c>
      <c r="E5" s="10" t="n">
        <v>489600</v>
      </c>
      <c r="F5" s="9" t="n">
        <v>0.3893259803921569</v>
      </c>
      <c r="G5" s="54" t="n">
        <v>0.7797249932596387</v>
      </c>
      <c r="H5" s="11" t="n">
        <v>479</v>
      </c>
      <c r="I5" s="11" t="n">
        <v>164507</v>
      </c>
      <c r="J5" s="9" t="n">
        <v>0.3360028594771242</v>
      </c>
      <c r="K5" s="9" t="n">
        <v>0.8971437490245046</v>
      </c>
      <c r="L5" s="12" t="n">
        <v>1202</v>
      </c>
      <c r="M5" s="9" t="n">
        <v>0.9908256880733946</v>
      </c>
    </row>
    <row r="6" ht="18" customHeight="1">
      <c r="A6" s="52" t="n">
        <v>2</v>
      </c>
      <c r="B6" s="53" t="n">
        <v>17</v>
      </c>
      <c r="C6" s="10" t="n">
        <v>532</v>
      </c>
      <c r="D6" s="10" t="n">
        <v>115878</v>
      </c>
      <c r="E6" s="10" t="n">
        <v>489600</v>
      </c>
      <c r="F6" s="17" t="n">
        <v>0.2366789215686274</v>
      </c>
      <c r="G6" s="17" t="n">
        <v>0.5737395524400107</v>
      </c>
      <c r="H6" s="11" t="n">
        <v>344</v>
      </c>
      <c r="I6" s="11" t="n">
        <v>110790</v>
      </c>
      <c r="J6" s="9" t="n">
        <v>0.2262867647058824</v>
      </c>
      <c r="K6" s="17" t="n">
        <v>0.6442953020134229</v>
      </c>
      <c r="L6" s="12" t="n">
        <v>876</v>
      </c>
      <c r="M6" s="9" t="n">
        <v>0.9934823091247672</v>
      </c>
    </row>
    <row r="7" ht="18" customHeight="1">
      <c r="A7" s="52" t="n">
        <v>3</v>
      </c>
      <c r="B7" s="53" t="n">
        <v>18</v>
      </c>
      <c r="C7" s="10" t="n">
        <v>683</v>
      </c>
      <c r="D7" s="10" t="n">
        <v>139508</v>
      </c>
      <c r="E7" s="10" t="n">
        <v>518400</v>
      </c>
      <c r="F7" s="54" t="n">
        <v>0.2691126543209876</v>
      </c>
      <c r="G7" s="54" t="n">
        <v>0.736586681046104</v>
      </c>
      <c r="H7" s="11" t="n">
        <v>408</v>
      </c>
      <c r="I7" s="11" t="n">
        <v>145130</v>
      </c>
      <c r="J7" s="9" t="n">
        <v>0.2799575617283951</v>
      </c>
      <c r="K7" s="9" t="n">
        <v>0.764164195411269</v>
      </c>
      <c r="L7" s="12" t="n">
        <v>1091</v>
      </c>
      <c r="M7" s="9" t="n">
        <v>0.9971969166082691</v>
      </c>
    </row>
    <row r="8" ht="18" customHeight="1">
      <c r="A8" s="52" t="n">
        <v>4</v>
      </c>
      <c r="B8" s="53" t="n">
        <v>22</v>
      </c>
      <c r="C8" s="10" t="n">
        <v>948</v>
      </c>
      <c r="D8" s="10" t="n">
        <v>212021</v>
      </c>
      <c r="E8" s="10" t="n">
        <v>633600</v>
      </c>
      <c r="F8" s="54" t="n">
        <v>0.3346291035353535</v>
      </c>
      <c r="G8" s="9" t="n">
        <v>1.022377999460771</v>
      </c>
      <c r="H8" s="11" t="n">
        <v>523</v>
      </c>
      <c r="I8" s="11" t="n">
        <v>190918</v>
      </c>
      <c r="J8" s="9" t="n">
        <v>0.301322601010101</v>
      </c>
      <c r="K8" s="9" t="n">
        <v>0.9795536132355237</v>
      </c>
      <c r="L8" s="12" t="n">
        <v>1471</v>
      </c>
      <c r="M8" s="9" t="n">
        <v>0.99375</v>
      </c>
    </row>
    <row r="9" ht="18" customHeight="1">
      <c r="A9" s="52" t="n">
        <v>5</v>
      </c>
      <c r="B9" s="53" t="n">
        <v>18</v>
      </c>
      <c r="C9" s="10" t="n">
        <v>649</v>
      </c>
      <c r="D9" s="10" t="n">
        <v>150698</v>
      </c>
      <c r="E9" s="10" t="n">
        <v>518400</v>
      </c>
      <c r="F9" s="54" t="n">
        <v>0.2906983024691358</v>
      </c>
      <c r="G9" s="54" t="n">
        <v>0.6999191156645996</v>
      </c>
      <c r="H9" s="11" t="n">
        <v>284</v>
      </c>
      <c r="I9" s="11" t="n">
        <v>106871</v>
      </c>
      <c r="J9" s="9" t="n">
        <v>0.2061554783950617</v>
      </c>
      <c r="K9" s="17" t="n">
        <v>0.5319182144529422</v>
      </c>
      <c r="L9" s="12" t="n">
        <v>933</v>
      </c>
      <c r="M9" s="9" t="n">
        <v>0.9949141767323586</v>
      </c>
    </row>
    <row r="10" ht="18" customHeight="1">
      <c r="A10" s="52" t="n">
        <v>6</v>
      </c>
      <c r="B10" s="53" t="n">
        <v>19</v>
      </c>
      <c r="C10" s="10" t="n">
        <v>773</v>
      </c>
      <c r="D10" s="10" t="n">
        <v>226295</v>
      </c>
      <c r="E10" s="10" t="n">
        <v>547200</v>
      </c>
      <c r="F10" s="9" t="n">
        <v>0.4135508040935673</v>
      </c>
      <c r="G10" s="54" t="n">
        <v>0.8336478835265571</v>
      </c>
      <c r="H10" s="11" t="n">
        <v>174</v>
      </c>
      <c r="I10" s="11" t="n">
        <v>57338</v>
      </c>
      <c r="J10" s="17" t="n">
        <v>0.1047843567251462</v>
      </c>
      <c r="K10" s="17" t="n">
        <v>0.3258935539253941</v>
      </c>
      <c r="L10" s="12" t="n">
        <v>947</v>
      </c>
      <c r="M10" s="17" t="n">
        <v>0.9841509433962264</v>
      </c>
    </row>
    <row r="11" ht="18" customHeight="1">
      <c r="A11" s="52" t="n">
        <v>7</v>
      </c>
      <c r="B11" s="53" t="n">
        <v>21</v>
      </c>
      <c r="C11" s="10" t="n">
        <v>971</v>
      </c>
      <c r="D11" s="10" t="n">
        <v>267966</v>
      </c>
      <c r="E11" s="10" t="n">
        <v>604800</v>
      </c>
      <c r="F11" s="9" t="n">
        <v>0.4430654761904762</v>
      </c>
      <c r="G11" s="9" t="n">
        <v>1.047182528983553</v>
      </c>
      <c r="H11" s="11" t="n">
        <v>440</v>
      </c>
      <c r="I11" s="11" t="n">
        <v>171814</v>
      </c>
      <c r="J11" s="9" t="n">
        <v>0.2840839947089947</v>
      </c>
      <c r="K11" s="9" t="n">
        <v>0.824098642110192</v>
      </c>
      <c r="L11" s="12" t="n">
        <v>1411</v>
      </c>
      <c r="M11" s="9" t="n">
        <v>0.9979602243753187</v>
      </c>
    </row>
    <row r="12" ht="18" customHeight="1">
      <c r="A12" s="52" t="n">
        <v>8</v>
      </c>
      <c r="B12" s="53" t="n">
        <v>18</v>
      </c>
      <c r="C12" s="10" t="n">
        <v>737</v>
      </c>
      <c r="D12" s="10" t="n">
        <v>169356</v>
      </c>
      <c r="E12" s="10" t="n">
        <v>518400</v>
      </c>
      <c r="F12" s="54" t="n">
        <v>0.3266898148148148</v>
      </c>
      <c r="G12" s="54" t="n">
        <v>0.7948234025343759</v>
      </c>
      <c r="H12" s="11" t="n">
        <v>394</v>
      </c>
      <c r="I12" s="11" t="n">
        <v>141386</v>
      </c>
      <c r="J12" s="9" t="n">
        <v>0.2727353395061728</v>
      </c>
      <c r="K12" s="9" t="n">
        <v>0.7379428749804902</v>
      </c>
      <c r="L12" s="12" t="n">
        <v>1131</v>
      </c>
      <c r="M12" s="9" t="n">
        <v>0.9929947460595446</v>
      </c>
    </row>
    <row r="13" ht="18" customHeight="1">
      <c r="A13" s="52" t="n">
        <v>9</v>
      </c>
      <c r="B13" s="53" t="n">
        <v>22</v>
      </c>
      <c r="C13" s="10" t="n">
        <v>740</v>
      </c>
      <c r="D13" s="10" t="n">
        <v>164068</v>
      </c>
      <c r="E13" s="10" t="n">
        <v>633600</v>
      </c>
      <c r="F13" s="54" t="n">
        <v>0.2589457070707071</v>
      </c>
      <c r="G13" s="54" t="n">
        <v>0.798058775950391</v>
      </c>
      <c r="H13" s="11" t="n">
        <v>394</v>
      </c>
      <c r="I13" s="11" t="n">
        <v>144222</v>
      </c>
      <c r="J13" s="9" t="n">
        <v>0.2276231060606061</v>
      </c>
      <c r="K13" s="9" t="n">
        <v>0.7379428749804902</v>
      </c>
      <c r="L13" s="12" t="n">
        <v>1134</v>
      </c>
      <c r="M13" s="9" t="n">
        <v>0.9912727272727273</v>
      </c>
    </row>
    <row r="14" ht="18" customHeight="1">
      <c r="A14" s="52" t="n">
        <v>10</v>
      </c>
      <c r="B14" s="53" t="n">
        <v>18</v>
      </c>
      <c r="C14" s="10" t="n">
        <v>674</v>
      </c>
      <c r="D14" s="10" t="n">
        <v>166434</v>
      </c>
      <c r="E14" s="10" t="n">
        <v>518400</v>
      </c>
      <c r="F14" s="54" t="n">
        <v>0.3210532407407408</v>
      </c>
      <c r="G14" s="54" t="n">
        <v>0.7268805607980587</v>
      </c>
      <c r="H14" s="11" t="n">
        <v>422</v>
      </c>
      <c r="I14" s="11" t="n">
        <v>162037</v>
      </c>
      <c r="J14" s="9" t="n">
        <v>0.3125713734567901</v>
      </c>
      <c r="K14" s="9" t="n">
        <v>0.7903855158420479</v>
      </c>
      <c r="L14" s="12" t="n">
        <v>1096</v>
      </c>
      <c r="M14" s="9" t="n">
        <v>0.9994236311239193</v>
      </c>
    </row>
    <row r="15" ht="18" customHeight="1">
      <c r="A15" s="52" t="n">
        <v>11</v>
      </c>
      <c r="B15" s="53" t="n">
        <v>20</v>
      </c>
      <c r="C15" s="10" t="n">
        <v>718</v>
      </c>
      <c r="D15" s="10" t="n">
        <v>181564</v>
      </c>
      <c r="E15" s="10" t="n">
        <v>576000</v>
      </c>
      <c r="F15" s="54" t="n">
        <v>0.3152152777777778</v>
      </c>
      <c r="G15" s="54" t="n">
        <v>0.7743327042329469</v>
      </c>
      <c r="H15" s="11" t="n">
        <v>497</v>
      </c>
      <c r="I15" s="11" t="n">
        <v>175325</v>
      </c>
      <c r="J15" s="9" t="n">
        <v>0.3043836805555555</v>
      </c>
      <c r="K15" s="9" t="n">
        <v>0.9308568752926487</v>
      </c>
      <c r="L15" s="12" t="n">
        <v>1215</v>
      </c>
      <c r="M15" s="9" t="n">
        <v>0.9896288209606987</v>
      </c>
    </row>
    <row r="16" ht="18" customHeight="1">
      <c r="A16" s="52" t="n">
        <v>12</v>
      </c>
      <c r="B16" s="53" t="n">
        <v>18</v>
      </c>
      <c r="C16" s="10" t="n">
        <v>673</v>
      </c>
      <c r="D16" s="10" t="n">
        <v>147177</v>
      </c>
      <c r="E16" s="10" t="n">
        <v>518400</v>
      </c>
      <c r="F16" s="54" t="n">
        <v>0.28390625</v>
      </c>
      <c r="G16" s="54" t="n">
        <v>0.7258021029927204</v>
      </c>
      <c r="H16" s="11" t="n">
        <v>525</v>
      </c>
      <c r="I16" s="11" t="n">
        <v>172633</v>
      </c>
      <c r="J16" s="9" t="n">
        <v>0.3330111882716049</v>
      </c>
      <c r="K16" s="9" t="n">
        <v>0.9832995161542064</v>
      </c>
      <c r="L16" s="12" t="n">
        <v>1198</v>
      </c>
      <c r="M16" s="9" t="n">
        <v>0.993127147766323</v>
      </c>
    </row>
    <row r="17" ht="18" customHeight="1">
      <c r="A17" s="55" t="inlineStr">
        <is>
          <t>연간 평균</t>
        </is>
      </c>
      <c r="B17" s="56">
        <f>AVERAGE(B5:B16)</f>
        <v/>
      </c>
      <c r="C17" s="57">
        <f>SUM(C5:C16)</f>
        <v/>
      </c>
      <c r="D17" s="57">
        <f>AVERAGE(D5,D6,D7,D8,D9,D10,D11,D12,D13,D14,D15,D16)</f>
        <v/>
      </c>
      <c r="E17" s="57">
        <f>AVERAGE(E5:E16)</f>
        <v/>
      </c>
      <c r="F17" s="58">
        <f>AVERAGE(F5,F6,F7,F8,F9,F10,F11,F12,F13,F14,F15,F16)</f>
        <v/>
      </c>
      <c r="G17" s="58">
        <f>AVERAGE(G5:G16)</f>
        <v/>
      </c>
      <c r="H17" s="57">
        <f>SUM(H5:H16)</f>
        <v/>
      </c>
      <c r="I17" s="57">
        <f>AVERAGE(I5,I6,I7,I8,I9,I10,I11,I12,I13,I14,I15,I16)</f>
        <v/>
      </c>
      <c r="J17" s="58">
        <f>AVERAGE(J5,J6,J7,J8,J9,J10,J11,J12,J13,J14,J15,J16)</f>
        <v/>
      </c>
      <c r="K17" s="58">
        <f>AVERAGE(K5:K16)</f>
        <v/>
      </c>
      <c r="L17" s="57">
        <f>SUM(L5:L16)</f>
        <v/>
      </c>
      <c r="M17" s="58">
        <f>AVERAGE(M5:M16)</f>
        <v/>
      </c>
    </row>
  </sheetData>
  <mergeCells count="2">
    <mergeCell ref="I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22" customHeight="1">
      <c r="A1" s="1" t="inlineStr">
        <is>
          <t>2022~2025년 연간 KPI 트렌드 요약</t>
        </is>
      </c>
    </row>
    <row r="2" ht="15" customHeight="1">
      <c r="A2" s="3" t="inlineStr">
        <is>
          <t>⚠️ 2022년 설비가동율은 11~12월(2개월)만 유효  |  2022년 양품율은 5~12월(8개월) 평균  |  2023~2025년은 전체 12개월</t>
        </is>
      </c>
    </row>
    <row r="3" ht="28" customHeight="1">
      <c r="A3" s="4" t="inlineStr">
        <is>
          <t>연도</t>
        </is>
      </c>
      <c r="B3" s="4" t="inlineStr">
        <is>
          <t>FG 연간생산</t>
        </is>
      </c>
      <c r="C3" s="4" t="inlineStr">
        <is>
          <t>GX7 연간생산</t>
        </is>
      </c>
      <c r="D3" s="4" t="inlineStr">
        <is>
          <t>합계 생산</t>
        </is>
      </c>
      <c r="E3" s="4" t="inlineStr">
        <is>
          <t>FG 작업효율</t>
        </is>
      </c>
      <c r="F3" s="4" t="inlineStr">
        <is>
          <t>GX7 작업효율</t>
        </is>
      </c>
      <c r="G3" s="4" t="inlineStr">
        <is>
          <t>FG 설비가동율(유효월)</t>
        </is>
      </c>
      <c r="H3" s="4" t="inlineStr">
        <is>
          <t>GX7 설비가동율(유효월)</t>
        </is>
      </c>
      <c r="I3" s="4" t="inlineStr">
        <is>
          <t>양품율</t>
        </is>
      </c>
      <c r="J3" s="4" t="inlineStr">
        <is>
          <t>비고</t>
        </is>
      </c>
    </row>
    <row r="4" ht="20" customHeight="1">
      <c r="A4" s="61" t="n">
        <v>2022</v>
      </c>
      <c r="B4" s="10" t="n">
        <v>16595</v>
      </c>
      <c r="C4" s="11" t="n">
        <v>10599</v>
      </c>
      <c r="D4" s="12" t="n">
        <v>27194</v>
      </c>
      <c r="E4" s="9" t="n">
        <v>1.491417273299182</v>
      </c>
      <c r="F4" s="9" t="n">
        <v>1.654284376463243</v>
      </c>
      <c r="G4" s="9" t="n">
        <v>0.3938920454545455</v>
      </c>
      <c r="H4" s="62" t="n">
        <v>0.2980429292929293</v>
      </c>
      <c r="I4" s="9" t="n">
        <v>0.9881574814954467</v>
      </c>
      <c r="J4" s="16" t="inlineStr">
        <is>
          <t>가동율: 1~10월 기록오류 N/A / 11~12월만 유효 / 양품율: 5~12월</t>
        </is>
      </c>
    </row>
    <row r="5" ht="20" customHeight="1">
      <c r="A5" s="63" t="n">
        <v>2023</v>
      </c>
      <c r="B5" s="10" t="n">
        <v>11174</v>
      </c>
      <c r="C5" s="11" t="n">
        <v>6360</v>
      </c>
      <c r="D5" s="12" t="n">
        <v>17534</v>
      </c>
      <c r="E5" s="9" t="n">
        <v>1.004223959737575</v>
      </c>
      <c r="F5" s="9" t="n">
        <v>0.992664273450913</v>
      </c>
      <c r="G5" s="9" t="n">
        <v>0.3867716241668636</v>
      </c>
      <c r="H5" s="9" t="n">
        <v>0.3038230385649519</v>
      </c>
      <c r="I5" s="17" t="n">
        <v>0.9821271023013761</v>
      </c>
      <c r="J5" s="29" t="inlineStr">
        <is>
          <t>가동율+양품율 모두 유효(전체 12개월)</t>
        </is>
      </c>
    </row>
    <row r="6" ht="20" customHeight="1">
      <c r="A6" s="64" t="n">
        <v>2024</v>
      </c>
      <c r="B6" s="10" t="n">
        <v>8856</v>
      </c>
      <c r="C6" s="11" t="n">
        <v>5919</v>
      </c>
      <c r="D6" s="12" t="n">
        <v>14775</v>
      </c>
      <c r="E6" s="31" t="n">
        <v>0.7959018603397142</v>
      </c>
      <c r="F6" s="9" t="n">
        <v>0.9238333073201186</v>
      </c>
      <c r="G6" s="62" t="n">
        <v>0.2695762202486435</v>
      </c>
      <c r="H6" s="62" t="n">
        <v>0.2305277302941434</v>
      </c>
      <c r="I6" s="9" t="n">
        <v>0.9928237671340123</v>
      </c>
      <c r="J6" s="39" t="inlineStr">
        <is>
          <t>가동율+양품율 모두 유효(전체 12개월)</t>
        </is>
      </c>
    </row>
    <row r="7" ht="20" customHeight="1">
      <c r="A7" s="65" t="n">
        <v>2025</v>
      </c>
      <c r="B7" s="10" t="n">
        <v>8821</v>
      </c>
      <c r="C7" s="11" t="n">
        <v>4884</v>
      </c>
      <c r="D7" s="12" t="n">
        <v>13705</v>
      </c>
      <c r="E7" s="31" t="n">
        <v>0.7927563584074773</v>
      </c>
      <c r="F7" s="31" t="n">
        <v>0.7622912439519276</v>
      </c>
      <c r="G7" s="62" t="n">
        <v>0.3235726277478621</v>
      </c>
      <c r="H7" s="62" t="n">
        <v>0.2657431920501196</v>
      </c>
      <c r="I7" s="9" t="n">
        <v>0.9932272776244623</v>
      </c>
      <c r="J7" s="46" t="inlineStr">
        <is>
          <t>가동율+양품율 모두 유효(전체 12개월)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2026-05-31T23:36:27Z</dcterms:created>
  <dcterms:modified xsi:type="dcterms:W3CDTF">2026-05-31T23:36:27Z</dcterms:modified>
</cp:coreProperties>
</file>