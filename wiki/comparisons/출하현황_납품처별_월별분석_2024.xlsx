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1월" sheetId="2" state="visible" r:id="rId2"/>
    <sheet name="2월" sheetId="3" state="visible" r:id="rId3"/>
    <sheet name="3월" sheetId="4" state="visible" r:id="rId4"/>
    <sheet name="4월" sheetId="5" state="visible" r:id="rId5"/>
    <sheet name="5월" sheetId="6" state="visible" r:id="rId6"/>
    <sheet name="6월" sheetId="7" state="visible" r:id="rId7"/>
    <sheet name="7월" sheetId="8" state="visible" r:id="rId8"/>
    <sheet name="8월" sheetId="9" state="visible" r:id="rId9"/>
    <sheet name="9월" sheetId="10" state="visible" r:id="rId10"/>
    <sheet name="10월" sheetId="11" state="visible" r:id="rId11"/>
    <sheet name="11월" sheetId="12" state="visible" r:id="rId12"/>
    <sheet name="12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9" customWidth="1" min="16" max="16"/>
  </cols>
  <sheetData>
    <row r="1" ht="18" customHeight="1">
      <c r="A1" s="1" t="inlineStr">
        <is>
          <t>2024년 출하현황 — 납품처별 월별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1월</t>
        </is>
      </c>
      <c r="D2" s="2" t="inlineStr">
        <is>
          <t>2월</t>
        </is>
      </c>
      <c r="E2" s="2" t="inlineStr">
        <is>
          <t>3월</t>
        </is>
      </c>
      <c r="F2" s="2" t="inlineStr">
        <is>
          <t>4월</t>
        </is>
      </c>
      <c r="G2" s="2" t="inlineStr">
        <is>
          <t>5월</t>
        </is>
      </c>
      <c r="H2" s="2" t="inlineStr">
        <is>
          <t>6월</t>
        </is>
      </c>
      <c r="I2" s="2" t="inlineStr">
        <is>
          <t>7월</t>
        </is>
      </c>
      <c r="J2" s="2" t="inlineStr">
        <is>
          <t>8월</t>
        </is>
      </c>
      <c r="K2" s="2" t="inlineStr">
        <is>
          <t>9월</t>
        </is>
      </c>
      <c r="L2" s="2" t="inlineStr">
        <is>
          <t>10월</t>
        </is>
      </c>
      <c r="M2" s="2" t="inlineStr">
        <is>
          <t>11월</t>
        </is>
      </c>
      <c r="N2" s="2" t="inlineStr">
        <is>
          <t>12월</t>
        </is>
      </c>
      <c r="O2" s="2" t="inlineStr">
        <is>
          <t>연간합계</t>
        </is>
      </c>
      <c r="P2" s="2" t="inlineStr">
        <is>
          <t>비율(%)</t>
        </is>
      </c>
    </row>
    <row r="3">
      <c r="A3" s="4" t="n">
        <v>1</v>
      </c>
      <c r="B3" s="5" t="inlineStr">
        <is>
          <t>원영공구(구,원영상사)</t>
        </is>
      </c>
      <c r="C3" s="6" t="n">
        <v>333</v>
      </c>
      <c r="D3" s="6" t="n">
        <v>195</v>
      </c>
      <c r="E3" s="6" t="n">
        <v>610</v>
      </c>
      <c r="F3" s="6" t="n">
        <v>41</v>
      </c>
      <c r="G3" s="6" t="n">
        <v>280</v>
      </c>
      <c r="H3" s="6" t="n">
        <v>71</v>
      </c>
      <c r="I3" s="6" t="n">
        <v>241</v>
      </c>
      <c r="J3" s="6" t="n">
        <v>165</v>
      </c>
      <c r="K3" s="6" t="n">
        <v>50</v>
      </c>
      <c r="L3" s="6" t="n">
        <v>230</v>
      </c>
      <c r="M3" s="6" t="n">
        <v>77</v>
      </c>
      <c r="N3" s="6" t="n">
        <v>101</v>
      </c>
      <c r="O3" s="7">
        <f>SUM(C3:N3)</f>
        <v/>
      </c>
      <c r="P3" s="8">
        <f>O3/O$77</f>
        <v/>
      </c>
    </row>
    <row r="4">
      <c r="A4" s="4" t="n">
        <v>2</v>
      </c>
      <c r="B4" s="5" t="inlineStr">
        <is>
          <t>초경툴(구,성민TOOL)-코고툴</t>
        </is>
      </c>
      <c r="C4" s="6" t="n">
        <v>197</v>
      </c>
      <c r="D4" s="6" t="n">
        <v>137</v>
      </c>
      <c r="E4" s="6" t="n">
        <v>145</v>
      </c>
      <c r="F4" s="6" t="n">
        <v>289</v>
      </c>
      <c r="G4" s="6" t="n">
        <v>311</v>
      </c>
      <c r="H4" s="6" t="n">
        <v>150</v>
      </c>
      <c r="I4" s="6" t="n">
        <v>151</v>
      </c>
      <c r="J4" s="6" t="n">
        <v>148</v>
      </c>
      <c r="K4" s="6" t="n">
        <v>150</v>
      </c>
      <c r="L4" s="6" t="n">
        <v>178</v>
      </c>
      <c r="M4" s="6" t="n">
        <v>170</v>
      </c>
      <c r="N4" s="6" t="n">
        <v>150</v>
      </c>
      <c r="O4" s="7">
        <f>SUM(C4:N4)</f>
        <v/>
      </c>
      <c r="P4" s="8">
        <f>O4/O$77</f>
        <v/>
      </c>
    </row>
    <row r="5">
      <c r="A5" s="4" t="n">
        <v>3</v>
      </c>
      <c r="B5" s="5" t="inlineStr">
        <is>
          <t>강민툴링(비봉)</t>
        </is>
      </c>
      <c r="C5" s="6" t="n">
        <v>347</v>
      </c>
      <c r="D5" s="6" t="n">
        <v>100</v>
      </c>
      <c r="E5" s="6" t="n">
        <v>45</v>
      </c>
      <c r="F5" s="6" t="n">
        <v>18</v>
      </c>
      <c r="G5" s="6" t="n">
        <v>45</v>
      </c>
      <c r="H5" s="6" t="n">
        <v>184</v>
      </c>
      <c r="I5" s="6" t="n">
        <v>258</v>
      </c>
      <c r="J5" s="6" t="n">
        <v>41</v>
      </c>
      <c r="K5" s="6" t="n">
        <v>346</v>
      </c>
      <c r="L5" s="6" t="n">
        <v>41</v>
      </c>
      <c r="M5" s="6" t="n">
        <v>64</v>
      </c>
      <c r="N5" s="6" t="n">
        <v>130</v>
      </c>
      <c r="O5" s="7">
        <f>SUM(C5:N5)</f>
        <v/>
      </c>
      <c r="P5" s="8">
        <f>O5/O$77</f>
        <v/>
      </c>
    </row>
    <row r="6">
      <c r="A6" s="4" t="n">
        <v>4</v>
      </c>
      <c r="B6" s="5" t="inlineStr">
        <is>
          <t>창성툴(코고툴)</t>
        </is>
      </c>
      <c r="C6" s="6" t="n">
        <v>77</v>
      </c>
      <c r="D6" s="6" t="n">
        <v>185</v>
      </c>
      <c r="E6" s="6" t="n">
        <v>262</v>
      </c>
      <c r="F6" s="6" t="n">
        <v>205</v>
      </c>
      <c r="G6" s="6" t="n">
        <v>165</v>
      </c>
      <c r="H6" s="6" t="n">
        <v>158</v>
      </c>
      <c r="I6" s="6" t="n">
        <v>91</v>
      </c>
      <c r="J6" s="6" t="n">
        <v>102</v>
      </c>
      <c r="K6" s="6" t="n">
        <v>75</v>
      </c>
      <c r="L6" s="6" t="n">
        <v>61</v>
      </c>
      <c r="M6" s="6" t="n">
        <v>0</v>
      </c>
      <c r="N6" s="6" t="n">
        <v>0</v>
      </c>
      <c r="O6" s="7">
        <f>SUM(C6:N6)</f>
        <v/>
      </c>
      <c r="P6" s="8">
        <f>O6/O$77</f>
        <v/>
      </c>
    </row>
    <row r="7">
      <c r="A7" s="4" t="n">
        <v>5</v>
      </c>
      <c r="B7" s="5" t="inlineStr">
        <is>
          <t>유비툴</t>
        </is>
      </c>
      <c r="C7" s="6" t="n">
        <v>91</v>
      </c>
      <c r="D7" s="6" t="n">
        <v>211</v>
      </c>
      <c r="E7" s="6" t="n">
        <v>53</v>
      </c>
      <c r="F7" s="6" t="n">
        <v>96</v>
      </c>
      <c r="G7" s="6" t="n">
        <v>41</v>
      </c>
      <c r="H7" s="6" t="n">
        <v>97</v>
      </c>
      <c r="I7" s="6" t="n">
        <v>61</v>
      </c>
      <c r="J7" s="6" t="n">
        <v>113</v>
      </c>
      <c r="K7" s="6" t="n">
        <v>106</v>
      </c>
      <c r="L7" s="6" t="n">
        <v>87</v>
      </c>
      <c r="M7" s="6" t="n">
        <v>184</v>
      </c>
      <c r="N7" s="6" t="n">
        <v>90</v>
      </c>
      <c r="O7" s="7">
        <f>SUM(C7:N7)</f>
        <v/>
      </c>
      <c r="P7" s="8">
        <f>O7/O$77</f>
        <v/>
      </c>
    </row>
    <row r="8">
      <c r="A8" s="9" t="n">
        <v>6</v>
      </c>
      <c r="B8" s="10" t="inlineStr">
        <is>
          <t>아이티공구</t>
        </is>
      </c>
      <c r="C8" s="11" t="n">
        <v>22</v>
      </c>
      <c r="D8" s="11" t="n">
        <v>49</v>
      </c>
      <c r="E8" s="11" t="n">
        <v>33</v>
      </c>
      <c r="F8" s="11" t="n">
        <v>192</v>
      </c>
      <c r="G8" s="11" t="n">
        <v>48</v>
      </c>
      <c r="H8" s="11" t="n">
        <v>2</v>
      </c>
      <c r="I8" s="11" t="n">
        <v>169</v>
      </c>
      <c r="J8" s="11" t="n">
        <v>7</v>
      </c>
      <c r="K8" s="11" t="n">
        <v>122</v>
      </c>
      <c r="L8" s="11" t="n">
        <v>75</v>
      </c>
      <c r="M8" s="11" t="n">
        <v>110</v>
      </c>
      <c r="N8" s="11" t="n">
        <v>241</v>
      </c>
      <c r="O8" s="12">
        <f>SUM(C8:N8)</f>
        <v/>
      </c>
      <c r="P8" s="13">
        <f>O8/O$77</f>
        <v/>
      </c>
    </row>
    <row r="9">
      <c r="A9" s="9" t="n">
        <v>7</v>
      </c>
      <c r="B9" s="10" t="inlineStr">
        <is>
          <t>덕원통상(사용금지)-덕원종합상사로 처리해주세요</t>
        </is>
      </c>
      <c r="C9" s="11" t="n">
        <v>81</v>
      </c>
      <c r="D9" s="11" t="n">
        <v>69</v>
      </c>
      <c r="E9" s="11" t="n">
        <v>193</v>
      </c>
      <c r="F9" s="11" t="n">
        <v>211</v>
      </c>
      <c r="G9" s="11" t="n">
        <v>66</v>
      </c>
      <c r="H9" s="11" t="n">
        <v>66</v>
      </c>
      <c r="I9" s="11" t="n">
        <v>95</v>
      </c>
      <c r="J9" s="11" t="n">
        <v>36</v>
      </c>
      <c r="K9" s="11" t="n">
        <v>115</v>
      </c>
      <c r="L9" s="11" t="n">
        <v>126</v>
      </c>
      <c r="M9" s="11" t="n">
        <v>0</v>
      </c>
      <c r="N9" s="11" t="n">
        <v>0</v>
      </c>
      <c r="O9" s="12">
        <f>SUM(C9:N9)</f>
        <v/>
      </c>
      <c r="P9" s="13">
        <f>O9/O$77</f>
        <v/>
      </c>
    </row>
    <row r="10">
      <c r="A10" s="9" t="n">
        <v>8</v>
      </c>
      <c r="B10" s="10" t="inlineStr">
        <is>
          <t>(주)공화공구</t>
        </is>
      </c>
      <c r="C10" s="11" t="n">
        <v>160</v>
      </c>
      <c r="D10" s="11" t="n">
        <v>65</v>
      </c>
      <c r="E10" s="11" t="n">
        <v>13</v>
      </c>
      <c r="F10" s="11" t="n">
        <v>124</v>
      </c>
      <c r="G10" s="11" t="n">
        <v>78</v>
      </c>
      <c r="H10" s="11" t="n">
        <v>41</v>
      </c>
      <c r="I10" s="11" t="n">
        <v>100</v>
      </c>
      <c r="J10" s="11" t="n">
        <v>40</v>
      </c>
      <c r="K10" s="11" t="n">
        <v>41</v>
      </c>
      <c r="L10" s="11" t="n">
        <v>112</v>
      </c>
      <c r="M10" s="11" t="n">
        <v>59</v>
      </c>
      <c r="N10" s="11" t="n">
        <v>105</v>
      </c>
      <c r="O10" s="12">
        <f>SUM(C10:N10)</f>
        <v/>
      </c>
      <c r="P10" s="13">
        <f>O10/O$77</f>
        <v/>
      </c>
    </row>
    <row r="11">
      <c r="A11" s="9" t="n">
        <v>9</v>
      </c>
      <c r="B11" s="10" t="inlineStr">
        <is>
          <t>대우툴링</t>
        </is>
      </c>
      <c r="C11" s="11" t="n">
        <v>80</v>
      </c>
      <c r="D11" s="11" t="n">
        <v>20</v>
      </c>
      <c r="E11" s="11" t="n">
        <v>75</v>
      </c>
      <c r="F11" s="11" t="n">
        <v>0</v>
      </c>
      <c r="G11" s="11" t="n">
        <v>64</v>
      </c>
      <c r="H11" s="11" t="n">
        <v>0</v>
      </c>
      <c r="I11" s="11" t="n">
        <v>102</v>
      </c>
      <c r="J11" s="11" t="n">
        <v>146</v>
      </c>
      <c r="K11" s="11" t="n">
        <v>31</v>
      </c>
      <c r="L11" s="11" t="n">
        <v>60</v>
      </c>
      <c r="M11" s="11" t="n">
        <v>89</v>
      </c>
      <c r="N11" s="11" t="n">
        <v>69</v>
      </c>
      <c r="O11" s="12">
        <f>SUM(C11:N11)</f>
        <v/>
      </c>
      <c r="P11" s="13">
        <f>O11/O$77</f>
        <v/>
      </c>
    </row>
    <row r="12">
      <c r="A12" s="9" t="n">
        <v>10</v>
      </c>
      <c r="B12" s="10" t="inlineStr">
        <is>
          <t>케이엠툴링</t>
        </is>
      </c>
      <c r="C12" s="11" t="n">
        <v>64</v>
      </c>
      <c r="D12" s="11" t="n">
        <v>90</v>
      </c>
      <c r="E12" s="11" t="n">
        <v>215</v>
      </c>
      <c r="F12" s="11" t="n">
        <v>82</v>
      </c>
      <c r="G12" s="11" t="n">
        <v>60</v>
      </c>
      <c r="H12" s="11" t="n">
        <v>0</v>
      </c>
      <c r="I12" s="11" t="n">
        <v>0</v>
      </c>
      <c r="J12" s="11" t="n">
        <v>0</v>
      </c>
      <c r="K12" s="11" t="n">
        <v>80</v>
      </c>
      <c r="L12" s="11" t="n">
        <v>65</v>
      </c>
      <c r="M12" s="11" t="n">
        <v>2</v>
      </c>
      <c r="N12" s="11" t="n">
        <v>0</v>
      </c>
      <c r="O12" s="12">
        <f>SUM(C12:N12)</f>
        <v/>
      </c>
      <c r="P12" s="13">
        <f>O12/O$77</f>
        <v/>
      </c>
    </row>
    <row r="13">
      <c r="A13" s="14" t="n">
        <v>11</v>
      </c>
      <c r="B13" s="15" t="inlineStr">
        <is>
          <t>연성기공(주)</t>
        </is>
      </c>
      <c r="C13" s="16" t="n">
        <v>100</v>
      </c>
      <c r="D13" s="16" t="n">
        <v>0</v>
      </c>
      <c r="E13" s="16" t="n">
        <v>68</v>
      </c>
      <c r="F13" s="16" t="n">
        <v>156</v>
      </c>
      <c r="G13" s="16" t="n">
        <v>170</v>
      </c>
      <c r="H13" s="16" t="n">
        <v>100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17">
        <f>SUM(C13:N13)</f>
        <v/>
      </c>
      <c r="P13" s="18">
        <f>O13/O$77</f>
        <v/>
      </c>
    </row>
    <row r="14">
      <c r="A14" s="14" t="n">
        <v>12</v>
      </c>
      <c r="B14" s="15" t="inlineStr">
        <is>
          <t>동명ENG-코고툴(재연마)</t>
        </is>
      </c>
      <c r="C14" s="16" t="n">
        <v>0</v>
      </c>
      <c r="D14" s="16" t="n">
        <v>0</v>
      </c>
      <c r="E14" s="16" t="n">
        <v>98</v>
      </c>
      <c r="F14" s="16" t="n">
        <v>0</v>
      </c>
      <c r="G14" s="16" t="n">
        <v>0</v>
      </c>
      <c r="H14" s="16" t="n">
        <v>70</v>
      </c>
      <c r="I14" s="16" t="n">
        <v>0</v>
      </c>
      <c r="J14" s="16" t="n">
        <v>66</v>
      </c>
      <c r="K14" s="16" t="n">
        <v>0</v>
      </c>
      <c r="L14" s="16" t="n">
        <v>0</v>
      </c>
      <c r="M14" s="16" t="n">
        <v>222</v>
      </c>
      <c r="N14" s="16" t="n">
        <v>129</v>
      </c>
      <c r="O14" s="17">
        <f>SUM(C14:N14)</f>
        <v/>
      </c>
      <c r="P14" s="18">
        <f>O14/O$77</f>
        <v/>
      </c>
    </row>
    <row r="15">
      <c r="A15" s="14" t="n">
        <v>13</v>
      </c>
      <c r="B15" s="15" t="inlineStr">
        <is>
          <t>반석공구</t>
        </is>
      </c>
      <c r="C15" s="16" t="n">
        <v>0</v>
      </c>
      <c r="D15" s="16" t="n">
        <v>30</v>
      </c>
      <c r="E15" s="16" t="n">
        <v>39</v>
      </c>
      <c r="F15" s="16" t="n">
        <v>85</v>
      </c>
      <c r="G15" s="16" t="n">
        <v>49</v>
      </c>
      <c r="H15" s="16" t="n">
        <v>48</v>
      </c>
      <c r="I15" s="16" t="n">
        <v>50</v>
      </c>
      <c r="J15" s="16" t="n">
        <v>94</v>
      </c>
      <c r="K15" s="16" t="n">
        <v>39</v>
      </c>
      <c r="L15" s="16" t="n">
        <v>27</v>
      </c>
      <c r="M15" s="16" t="n">
        <v>18</v>
      </c>
      <c r="N15" s="16" t="n">
        <v>10</v>
      </c>
      <c r="O15" s="17">
        <f>SUM(C15:N15)</f>
        <v/>
      </c>
      <c r="P15" s="18">
        <f>O15/O$77</f>
        <v/>
      </c>
    </row>
    <row r="16">
      <c r="A16" s="14" t="n">
        <v>14</v>
      </c>
      <c r="B16" s="15" t="inlineStr">
        <is>
          <t>신우툴링(남동)</t>
        </is>
      </c>
      <c r="C16" s="16" t="n">
        <v>63</v>
      </c>
      <c r="D16" s="16" t="n">
        <v>130</v>
      </c>
      <c r="E16" s="16" t="n">
        <v>0</v>
      </c>
      <c r="F16" s="16" t="n">
        <v>0</v>
      </c>
      <c r="G16" s="16" t="n">
        <v>70</v>
      </c>
      <c r="H16" s="16" t="n">
        <v>0</v>
      </c>
      <c r="I16" s="16" t="n">
        <v>0</v>
      </c>
      <c r="J16" s="16" t="n">
        <v>0</v>
      </c>
      <c r="K16" s="16" t="n">
        <v>90</v>
      </c>
      <c r="L16" s="16" t="n">
        <v>31</v>
      </c>
      <c r="M16" s="16" t="n">
        <v>0</v>
      </c>
      <c r="N16" s="16" t="n">
        <v>60</v>
      </c>
      <c r="O16" s="17">
        <f>SUM(C16:N16)</f>
        <v/>
      </c>
      <c r="P16" s="18">
        <f>O16/O$77</f>
        <v/>
      </c>
    </row>
    <row r="17">
      <c r="A17" s="14" t="n">
        <v>15</v>
      </c>
      <c r="B17" s="15" t="inlineStr">
        <is>
          <t>유진상사(문래)</t>
        </is>
      </c>
      <c r="C17" s="16" t="n">
        <v>11</v>
      </c>
      <c r="D17" s="16" t="n">
        <v>25</v>
      </c>
      <c r="E17" s="16" t="n">
        <v>117</v>
      </c>
      <c r="F17" s="16" t="n">
        <v>0</v>
      </c>
      <c r="G17" s="16" t="n">
        <v>195</v>
      </c>
      <c r="H17" s="16" t="n">
        <v>8</v>
      </c>
      <c r="I17" s="16" t="n">
        <v>6</v>
      </c>
      <c r="J17" s="16" t="n">
        <v>4</v>
      </c>
      <c r="K17" s="16" t="n">
        <v>0</v>
      </c>
      <c r="L17" s="16" t="n">
        <v>64</v>
      </c>
      <c r="M17" s="16" t="n">
        <v>0</v>
      </c>
      <c r="N17" s="16" t="n">
        <v>2</v>
      </c>
      <c r="O17" s="17">
        <f>SUM(C17:N17)</f>
        <v/>
      </c>
      <c r="P17" s="18">
        <f>O17/O$77</f>
        <v/>
      </c>
    </row>
    <row r="18">
      <c r="A18" s="14" t="n">
        <v>16</v>
      </c>
      <c r="B18" s="15" t="inlineStr">
        <is>
          <t>영우툴링-코고툴</t>
        </is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317</v>
      </c>
      <c r="N18" s="16" t="n">
        <v>0</v>
      </c>
      <c r="O18" s="17">
        <f>SUM(C18:N18)</f>
        <v/>
      </c>
      <c r="P18" s="18">
        <f>O18/O$77</f>
        <v/>
      </c>
    </row>
    <row r="19">
      <c r="A19" s="14" t="n">
        <v>17</v>
      </c>
      <c r="B19" s="15" t="inlineStr">
        <is>
          <t>덕원종합상사</t>
        </is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140</v>
      </c>
      <c r="N19" s="16" t="n">
        <v>168</v>
      </c>
      <c r="O19" s="17">
        <f>SUM(C19:N19)</f>
        <v/>
      </c>
      <c r="P19" s="18">
        <f>O19/O$77</f>
        <v/>
      </c>
    </row>
    <row r="20">
      <c r="A20" s="14" t="n">
        <v>18</v>
      </c>
      <c r="B20" s="15" t="inlineStr">
        <is>
          <t>아신상사</t>
        </is>
      </c>
      <c r="C20" s="16" t="n">
        <v>4</v>
      </c>
      <c r="D20" s="16" t="n">
        <v>0</v>
      </c>
      <c r="E20" s="16" t="n">
        <v>30</v>
      </c>
      <c r="F20" s="16" t="n">
        <v>0</v>
      </c>
      <c r="G20" s="16" t="n">
        <v>87</v>
      </c>
      <c r="H20" s="16" t="n">
        <v>0</v>
      </c>
      <c r="I20" s="16" t="n">
        <v>42</v>
      </c>
      <c r="J20" s="16" t="n">
        <v>107</v>
      </c>
      <c r="K20" s="16" t="n">
        <v>1</v>
      </c>
      <c r="L20" s="16" t="n">
        <v>0</v>
      </c>
      <c r="M20" s="16" t="n">
        <v>34</v>
      </c>
      <c r="N20" s="16" t="n">
        <v>0</v>
      </c>
      <c r="O20" s="17">
        <f>SUM(C20:N20)</f>
        <v/>
      </c>
      <c r="P20" s="18">
        <f>O20/O$77</f>
        <v/>
      </c>
    </row>
    <row r="21">
      <c r="A21" s="14" t="n">
        <v>19</v>
      </c>
      <c r="B21" s="15" t="inlineStr">
        <is>
          <t>왕삼아공구</t>
        </is>
      </c>
      <c r="C21" s="16" t="n">
        <v>15</v>
      </c>
      <c r="D21" s="16" t="n">
        <v>99</v>
      </c>
      <c r="E21" s="16" t="n">
        <v>6</v>
      </c>
      <c r="F21" s="16" t="n">
        <v>17</v>
      </c>
      <c r="G21" s="16" t="n">
        <v>4</v>
      </c>
      <c r="H21" s="16" t="n">
        <v>0</v>
      </c>
      <c r="I21" s="16" t="n">
        <v>19</v>
      </c>
      <c r="J21" s="16" t="n">
        <v>120</v>
      </c>
      <c r="K21" s="16" t="n">
        <v>0</v>
      </c>
      <c r="L21" s="16" t="n">
        <v>0</v>
      </c>
      <c r="M21" s="16" t="n">
        <v>11</v>
      </c>
      <c r="N21" s="16" t="n">
        <v>12</v>
      </c>
      <c r="O21" s="17">
        <f>SUM(C21:N21)</f>
        <v/>
      </c>
      <c r="P21" s="18">
        <f>O21/O$77</f>
        <v/>
      </c>
    </row>
    <row r="22">
      <c r="A22" s="14" t="n">
        <v>20</v>
      </c>
      <c r="B22" s="15" t="inlineStr">
        <is>
          <t>(주)코리아테크닉스</t>
        </is>
      </c>
      <c r="C22" s="16" t="n">
        <v>0</v>
      </c>
      <c r="D22" s="16" t="n">
        <v>0</v>
      </c>
      <c r="E22" s="16" t="n">
        <v>77</v>
      </c>
      <c r="F22" s="16" t="n">
        <v>43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0</v>
      </c>
      <c r="L22" s="16" t="n">
        <v>101</v>
      </c>
      <c r="M22" s="16" t="n">
        <v>0</v>
      </c>
      <c r="N22" s="16" t="n">
        <v>31</v>
      </c>
      <c r="O22" s="17">
        <f>SUM(C22:N22)</f>
        <v/>
      </c>
      <c r="P22" s="18">
        <f>O22/O$77</f>
        <v/>
      </c>
    </row>
    <row r="23">
      <c r="A23" s="14" t="n">
        <v>21</v>
      </c>
      <c r="B23" s="15" t="inlineStr">
        <is>
          <t>대현상사</t>
        </is>
      </c>
      <c r="C23" s="16" t="n">
        <v>0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245</v>
      </c>
      <c r="K23" s="16" t="n">
        <v>0</v>
      </c>
      <c r="L23" s="16" t="n">
        <v>0</v>
      </c>
      <c r="M23" s="16" t="n">
        <v>0</v>
      </c>
      <c r="N23" s="16" t="n">
        <v>0</v>
      </c>
      <c r="O23" s="17">
        <f>SUM(C23:N23)</f>
        <v/>
      </c>
      <c r="P23" s="18">
        <f>O23/O$77</f>
        <v/>
      </c>
    </row>
    <row r="24">
      <c r="A24" s="14" t="n">
        <v>22</v>
      </c>
      <c r="B24" s="15" t="inlineStr">
        <is>
          <t>공구백화점(미산동)</t>
        </is>
      </c>
      <c r="C24" s="16" t="n">
        <v>33</v>
      </c>
      <c r="D24" s="16" t="n">
        <v>20</v>
      </c>
      <c r="E24" s="16" t="n">
        <v>46</v>
      </c>
      <c r="F24" s="16" t="n">
        <v>5</v>
      </c>
      <c r="G24" s="16" t="n">
        <v>24</v>
      </c>
      <c r="H24" s="16" t="n">
        <v>29</v>
      </c>
      <c r="I24" s="16" t="n">
        <v>17</v>
      </c>
      <c r="J24" s="16" t="n">
        <v>0</v>
      </c>
      <c r="K24" s="16" t="n">
        <v>7</v>
      </c>
      <c r="L24" s="16" t="n">
        <v>24</v>
      </c>
      <c r="M24" s="16" t="n">
        <v>3</v>
      </c>
      <c r="N24" s="16" t="n">
        <v>31</v>
      </c>
      <c r="O24" s="17">
        <f>SUM(C24:N24)</f>
        <v/>
      </c>
      <c r="P24" s="18">
        <f>O24/O$77</f>
        <v/>
      </c>
    </row>
    <row r="25">
      <c r="A25" s="14" t="n">
        <v>23</v>
      </c>
      <c r="B25" s="15" t="inlineStr">
        <is>
          <t>예일공구상사</t>
        </is>
      </c>
      <c r="C25" s="16" t="n">
        <v>0</v>
      </c>
      <c r="D25" s="16" t="n">
        <v>0</v>
      </c>
      <c r="E25" s="16" t="n">
        <v>23</v>
      </c>
      <c r="F25" s="16" t="n">
        <v>14</v>
      </c>
      <c r="G25" s="16" t="n">
        <v>41</v>
      </c>
      <c r="H25" s="16" t="n">
        <v>0</v>
      </c>
      <c r="I25" s="16" t="n">
        <v>14</v>
      </c>
      <c r="J25" s="16" t="n">
        <v>0</v>
      </c>
      <c r="K25" s="16" t="n">
        <v>45</v>
      </c>
      <c r="L25" s="16" t="n">
        <v>0</v>
      </c>
      <c r="M25" s="16" t="n">
        <v>68</v>
      </c>
      <c r="N25" s="16" t="n">
        <v>0</v>
      </c>
      <c r="O25" s="17">
        <f>SUM(C25:N25)</f>
        <v/>
      </c>
      <c r="P25" s="18">
        <f>O25/O$77</f>
        <v/>
      </c>
    </row>
    <row r="26">
      <c r="A26" s="14" t="n">
        <v>24</v>
      </c>
      <c r="B26" s="15" t="inlineStr">
        <is>
          <t>태영종합공구</t>
        </is>
      </c>
      <c r="C26" s="16" t="n">
        <v>30</v>
      </c>
      <c r="D26" s="16" t="n">
        <v>65</v>
      </c>
      <c r="E26" s="16" t="n">
        <v>1</v>
      </c>
      <c r="F26" s="16" t="n">
        <v>24</v>
      </c>
      <c r="G26" s="16" t="n">
        <v>34</v>
      </c>
      <c r="H26" s="16" t="n">
        <v>23</v>
      </c>
      <c r="I26" s="16" t="n">
        <v>27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7">
        <f>SUM(C26:N26)</f>
        <v/>
      </c>
      <c r="P26" s="18">
        <f>O26/O$77</f>
        <v/>
      </c>
    </row>
    <row r="27">
      <c r="A27" s="14" t="n">
        <v>25</v>
      </c>
      <c r="B27" s="15" t="inlineStr">
        <is>
          <t>상신툴링(병점)</t>
        </is>
      </c>
      <c r="C27" s="16" t="n">
        <v>0</v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98</v>
      </c>
      <c r="I27" s="16" t="n">
        <v>0</v>
      </c>
      <c r="J27" s="16" t="n">
        <v>0</v>
      </c>
      <c r="K27" s="16" t="n">
        <v>0</v>
      </c>
      <c r="L27" s="16" t="n">
        <v>68</v>
      </c>
      <c r="M27" s="16" t="n">
        <v>0</v>
      </c>
      <c r="N27" s="16" t="n">
        <v>36</v>
      </c>
      <c r="O27" s="17">
        <f>SUM(C27:N27)</f>
        <v/>
      </c>
      <c r="P27" s="18">
        <f>O27/O$77</f>
        <v/>
      </c>
    </row>
    <row r="28">
      <c r="A28" s="14" t="n">
        <v>26</v>
      </c>
      <c r="B28" s="15" t="inlineStr">
        <is>
          <t>(주)세종종합상사(미산동)</t>
        </is>
      </c>
      <c r="C28" s="16" t="n">
        <v>0</v>
      </c>
      <c r="D28" s="16" t="n">
        <v>0</v>
      </c>
      <c r="E28" s="16" t="n">
        <v>65</v>
      </c>
      <c r="F28" s="16" t="n">
        <v>0</v>
      </c>
      <c r="G28" s="16" t="n">
        <v>0</v>
      </c>
      <c r="H28" s="16" t="n">
        <v>0</v>
      </c>
      <c r="I28" s="16" t="n">
        <v>30</v>
      </c>
      <c r="J28" s="16" t="n">
        <v>0</v>
      </c>
      <c r="K28" s="16" t="n">
        <v>0</v>
      </c>
      <c r="L28" s="16" t="n">
        <v>0</v>
      </c>
      <c r="M28" s="16" t="n">
        <v>106</v>
      </c>
      <c r="N28" s="16" t="n">
        <v>0</v>
      </c>
      <c r="O28" s="17">
        <f>SUM(C28:N28)</f>
        <v/>
      </c>
      <c r="P28" s="18">
        <f>O28/O$77</f>
        <v/>
      </c>
    </row>
    <row r="29">
      <c r="A29" s="14" t="n">
        <v>27</v>
      </c>
      <c r="B29" s="15" t="inlineStr">
        <is>
          <t>코끼리공구</t>
        </is>
      </c>
      <c r="C29" s="16" t="n">
        <v>54</v>
      </c>
      <c r="D29" s="16" t="n">
        <v>49</v>
      </c>
      <c r="E29" s="16" t="n">
        <v>15</v>
      </c>
      <c r="F29" s="16" t="n">
        <v>40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3</v>
      </c>
      <c r="M29" s="16" t="n">
        <v>0</v>
      </c>
      <c r="N29" s="16" t="n">
        <v>35</v>
      </c>
      <c r="O29" s="17">
        <f>SUM(C29:N29)</f>
        <v/>
      </c>
      <c r="P29" s="18">
        <f>O29/O$77</f>
        <v/>
      </c>
    </row>
    <row r="30">
      <c r="A30" s="14" t="n">
        <v>28</v>
      </c>
      <c r="B30" s="15" t="inlineStr">
        <is>
          <t>대륙기계공구</t>
        </is>
      </c>
      <c r="C30" s="16" t="n">
        <v>20</v>
      </c>
      <c r="D30" s="16" t="n">
        <v>0</v>
      </c>
      <c r="E30" s="16" t="n">
        <v>0</v>
      </c>
      <c r="F30" s="16" t="n">
        <v>6</v>
      </c>
      <c r="G30" s="16" t="n">
        <v>52</v>
      </c>
      <c r="H30" s="16" t="n">
        <v>0</v>
      </c>
      <c r="I30" s="16" t="n">
        <v>9</v>
      </c>
      <c r="J30" s="16" t="n">
        <v>10</v>
      </c>
      <c r="K30" s="16" t="n">
        <v>29</v>
      </c>
      <c r="L30" s="16" t="n">
        <v>28</v>
      </c>
      <c r="M30" s="16" t="n">
        <v>18</v>
      </c>
      <c r="N30" s="16" t="n">
        <v>16</v>
      </c>
      <c r="O30" s="17">
        <f>SUM(C30:N30)</f>
        <v/>
      </c>
      <c r="P30" s="18">
        <f>O30/O$77</f>
        <v/>
      </c>
    </row>
    <row r="31">
      <c r="A31" s="14" t="n">
        <v>29</v>
      </c>
      <c r="B31" s="15" t="inlineStr">
        <is>
          <t>(주)금형티에스</t>
        </is>
      </c>
      <c r="C31" s="16" t="n">
        <v>0</v>
      </c>
      <c r="D31" s="16" t="n">
        <v>7</v>
      </c>
      <c r="E31" s="16" t="n">
        <v>23</v>
      </c>
      <c r="F31" s="16" t="n">
        <v>83</v>
      </c>
      <c r="G31" s="16" t="n">
        <v>12</v>
      </c>
      <c r="H31" s="16" t="n">
        <v>0</v>
      </c>
      <c r="I31" s="16" t="n">
        <v>23</v>
      </c>
      <c r="J31" s="16" t="n">
        <v>0</v>
      </c>
      <c r="K31" s="16" t="n">
        <v>6</v>
      </c>
      <c r="L31" s="16" t="n">
        <v>17</v>
      </c>
      <c r="M31" s="16" t="n">
        <v>0</v>
      </c>
      <c r="N31" s="16" t="n">
        <v>0</v>
      </c>
      <c r="O31" s="17">
        <f>SUM(C31:N31)</f>
        <v/>
      </c>
      <c r="P31" s="18">
        <f>O31/O$77</f>
        <v/>
      </c>
    </row>
    <row r="32">
      <c r="A32" s="14" t="n">
        <v>30</v>
      </c>
      <c r="B32" s="15" t="inlineStr">
        <is>
          <t>(주)태성피앤티</t>
        </is>
      </c>
      <c r="C32" s="16" t="n">
        <v>28</v>
      </c>
      <c r="D32" s="16" t="n">
        <v>77</v>
      </c>
      <c r="E32" s="16" t="n">
        <v>50</v>
      </c>
      <c r="F32" s="16" t="n">
        <v>0</v>
      </c>
      <c r="G32" s="16" t="n">
        <v>0</v>
      </c>
      <c r="H32" s="16" t="n">
        <v>0</v>
      </c>
      <c r="I32" s="16" t="n">
        <v>0</v>
      </c>
      <c r="J32" s="16" t="n">
        <v>0</v>
      </c>
      <c r="K32" s="16" t="n">
        <v>0</v>
      </c>
      <c r="L32" s="16" t="n">
        <v>0</v>
      </c>
      <c r="M32" s="16" t="n">
        <v>0</v>
      </c>
      <c r="N32" s="16" t="n">
        <v>0</v>
      </c>
      <c r="O32" s="17">
        <f>SUM(C32:N32)</f>
        <v/>
      </c>
      <c r="P32" s="18">
        <f>O32/O$77</f>
        <v/>
      </c>
    </row>
    <row r="33">
      <c r="A33" s="14" t="n">
        <v>31</v>
      </c>
      <c r="B33" s="15" t="inlineStr">
        <is>
          <t>(주)일등정밀공구(안산)</t>
        </is>
      </c>
      <c r="C33" s="16" t="n">
        <v>0</v>
      </c>
      <c r="D33" s="16" t="n">
        <v>6</v>
      </c>
      <c r="E33" s="16" t="n">
        <v>0</v>
      </c>
      <c r="F33" s="16" t="n">
        <v>5</v>
      </c>
      <c r="G33" s="16" t="n">
        <v>44</v>
      </c>
      <c r="H33" s="16" t="n">
        <v>0</v>
      </c>
      <c r="I33" s="16" t="n">
        <v>0</v>
      </c>
      <c r="J33" s="16" t="n">
        <v>5</v>
      </c>
      <c r="K33" s="16" t="n">
        <v>15</v>
      </c>
      <c r="L33" s="16" t="n">
        <v>18</v>
      </c>
      <c r="M33" s="16" t="n">
        <v>2</v>
      </c>
      <c r="N33" s="16" t="n">
        <v>25</v>
      </c>
      <c r="O33" s="17">
        <f>SUM(C33:N33)</f>
        <v/>
      </c>
      <c r="P33" s="18">
        <f>O33/O$77</f>
        <v/>
      </c>
    </row>
    <row r="34">
      <c r="A34" s="14" t="n">
        <v>32</v>
      </c>
      <c r="B34" s="15" t="inlineStr">
        <is>
          <t>(주)툴앤텍</t>
        </is>
      </c>
      <c r="C34" s="16" t="n">
        <v>0</v>
      </c>
      <c r="D34" s="16" t="n">
        <v>0</v>
      </c>
      <c r="E34" s="16" t="n">
        <v>0</v>
      </c>
      <c r="F34" s="16" t="n">
        <v>0</v>
      </c>
      <c r="G34" s="16" t="n">
        <v>0</v>
      </c>
      <c r="H34" s="16" t="n">
        <v>97</v>
      </c>
      <c r="I34" s="16" t="n">
        <v>21</v>
      </c>
      <c r="J34" s="16" t="n">
        <v>0</v>
      </c>
      <c r="K34" s="16" t="n">
        <v>0</v>
      </c>
      <c r="L34" s="16" t="n">
        <v>0</v>
      </c>
      <c r="M34" s="16" t="n">
        <v>0</v>
      </c>
      <c r="N34" s="16" t="n">
        <v>0</v>
      </c>
      <c r="O34" s="17">
        <f>SUM(C34:N34)</f>
        <v/>
      </c>
      <c r="P34" s="18">
        <f>O34/O$77</f>
        <v/>
      </c>
    </row>
    <row r="35">
      <c r="A35" s="14" t="n">
        <v>33</v>
      </c>
      <c r="B35" s="15" t="inlineStr">
        <is>
          <t>이엠티(EMT)</t>
        </is>
      </c>
      <c r="C35" s="16" t="n">
        <v>20</v>
      </c>
      <c r="D35" s="16" t="n">
        <v>0</v>
      </c>
      <c r="E35" s="16" t="n">
        <v>38</v>
      </c>
      <c r="F35" s="16" t="n">
        <v>3</v>
      </c>
      <c r="G35" s="16" t="n">
        <v>10</v>
      </c>
      <c r="H35" s="16" t="n">
        <v>0</v>
      </c>
      <c r="I35" s="16" t="n">
        <v>0</v>
      </c>
      <c r="J35" s="16" t="n">
        <v>0</v>
      </c>
      <c r="K35" s="16" t="n">
        <v>4</v>
      </c>
      <c r="L35" s="16" t="n">
        <v>0</v>
      </c>
      <c r="M35" s="16" t="n">
        <v>20</v>
      </c>
      <c r="N35" s="16" t="n">
        <v>17</v>
      </c>
      <c r="O35" s="17">
        <f>SUM(C35:N35)</f>
        <v/>
      </c>
      <c r="P35" s="18">
        <f>O35/O$77</f>
        <v/>
      </c>
    </row>
    <row r="36">
      <c r="A36" s="14" t="n">
        <v>34</v>
      </c>
      <c r="B36" s="15" t="inlineStr">
        <is>
          <t>유성상공사</t>
        </is>
      </c>
      <c r="C36" s="16" t="n">
        <v>23</v>
      </c>
      <c r="D36" s="16" t="n">
        <v>10</v>
      </c>
      <c r="E36" s="16" t="n">
        <v>2</v>
      </c>
      <c r="F36" s="16" t="n">
        <v>18</v>
      </c>
      <c r="G36" s="16" t="n">
        <v>2</v>
      </c>
      <c r="H36" s="16" t="n">
        <v>9</v>
      </c>
      <c r="I36" s="16" t="n">
        <v>31</v>
      </c>
      <c r="J36" s="16" t="n">
        <v>2</v>
      </c>
      <c r="K36" s="16" t="n">
        <v>2</v>
      </c>
      <c r="L36" s="16" t="n">
        <v>8</v>
      </c>
      <c r="M36" s="16" t="n">
        <v>4</v>
      </c>
      <c r="N36" s="16" t="n">
        <v>0</v>
      </c>
      <c r="O36" s="17">
        <f>SUM(C36:N36)</f>
        <v/>
      </c>
      <c r="P36" s="18">
        <f>O36/O$77</f>
        <v/>
      </c>
    </row>
    <row r="37">
      <c r="A37" s="14" t="n">
        <v>35</v>
      </c>
      <c r="B37" s="15" t="inlineStr">
        <is>
          <t>영우툴링(창성툴)</t>
        </is>
      </c>
      <c r="C37" s="16" t="n">
        <v>0</v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102</v>
      </c>
      <c r="O37" s="17">
        <f>SUM(C37:N37)</f>
        <v/>
      </c>
      <c r="P37" s="18">
        <f>O37/O$77</f>
        <v/>
      </c>
    </row>
    <row r="38">
      <c r="A38" s="14" t="n">
        <v>36</v>
      </c>
      <c r="B38" s="15" t="inlineStr">
        <is>
          <t>영창툴링</t>
        </is>
      </c>
      <c r="C38" s="16" t="n">
        <v>0</v>
      </c>
      <c r="D38" s="16" t="n">
        <v>0</v>
      </c>
      <c r="E38" s="16" t="n">
        <v>0</v>
      </c>
      <c r="F38" s="16" t="n">
        <v>0</v>
      </c>
      <c r="G38" s="16" t="n">
        <v>0</v>
      </c>
      <c r="H38" s="16" t="n">
        <v>8</v>
      </c>
      <c r="I38" s="16" t="n">
        <v>6</v>
      </c>
      <c r="J38" s="16" t="n">
        <v>13</v>
      </c>
      <c r="K38" s="16" t="n">
        <v>0</v>
      </c>
      <c r="L38" s="16" t="n">
        <v>0</v>
      </c>
      <c r="M38" s="16" t="n">
        <v>72</v>
      </c>
      <c r="N38" s="16" t="n">
        <v>0</v>
      </c>
      <c r="O38" s="17">
        <f>SUM(C38:N38)</f>
        <v/>
      </c>
      <c r="P38" s="18">
        <f>O38/O$77</f>
        <v/>
      </c>
    </row>
    <row r="39">
      <c r="A39" s="14" t="n">
        <v>37</v>
      </c>
      <c r="B39" s="15" t="inlineStr">
        <is>
          <t>세진테크</t>
        </is>
      </c>
      <c r="C39" s="16" t="n">
        <v>0</v>
      </c>
      <c r="D39" s="16" t="n">
        <v>0</v>
      </c>
      <c r="E39" s="16" t="n">
        <v>21</v>
      </c>
      <c r="F39" s="16" t="n">
        <v>0</v>
      </c>
      <c r="G39" s="16" t="n">
        <v>0</v>
      </c>
      <c r="H39" s="16" t="n">
        <v>29</v>
      </c>
      <c r="I39" s="16" t="n">
        <v>0</v>
      </c>
      <c r="J39" s="16" t="n">
        <v>0</v>
      </c>
      <c r="K39" s="16" t="n">
        <v>0</v>
      </c>
      <c r="L39" s="16" t="n">
        <v>23</v>
      </c>
      <c r="M39" s="16" t="n">
        <v>23</v>
      </c>
      <c r="N39" s="16" t="n">
        <v>0</v>
      </c>
      <c r="O39" s="17">
        <f>SUM(C39:N39)</f>
        <v/>
      </c>
      <c r="P39" s="18">
        <f>O39/O$77</f>
        <v/>
      </c>
    </row>
    <row r="40">
      <c r="A40" s="14" t="n">
        <v>38</v>
      </c>
      <c r="B40" s="15" t="inlineStr">
        <is>
          <t>유성종합공구</t>
        </is>
      </c>
      <c r="C40" s="16" t="n">
        <v>16</v>
      </c>
      <c r="D40" s="16" t="n">
        <v>7</v>
      </c>
      <c r="E40" s="16" t="n">
        <v>0</v>
      </c>
      <c r="F40" s="16" t="n">
        <v>14</v>
      </c>
      <c r="G40" s="16" t="n">
        <v>2</v>
      </c>
      <c r="H40" s="16" t="n">
        <v>7</v>
      </c>
      <c r="I40" s="16" t="n">
        <v>26</v>
      </c>
      <c r="J40" s="16" t="n">
        <v>6</v>
      </c>
      <c r="K40" s="16" t="n">
        <v>0</v>
      </c>
      <c r="L40" s="16" t="n">
        <v>0</v>
      </c>
      <c r="M40" s="16" t="n">
        <v>1</v>
      </c>
      <c r="N40" s="16" t="n">
        <v>9</v>
      </c>
      <c r="O40" s="17">
        <f>SUM(C40:N40)</f>
        <v/>
      </c>
      <c r="P40" s="18">
        <f>O40/O$77</f>
        <v/>
      </c>
    </row>
    <row r="41">
      <c r="A41" s="14" t="n">
        <v>39</v>
      </c>
      <c r="B41" s="15" t="inlineStr">
        <is>
          <t>(주)성환공구</t>
        </is>
      </c>
      <c r="C41" s="16" t="n">
        <v>7</v>
      </c>
      <c r="D41" s="16" t="n">
        <v>2</v>
      </c>
      <c r="E41" s="16" t="n">
        <v>0</v>
      </c>
      <c r="F41" s="16" t="n">
        <v>1</v>
      </c>
      <c r="G41" s="16" t="n">
        <v>3</v>
      </c>
      <c r="H41" s="16" t="n">
        <v>10</v>
      </c>
      <c r="I41" s="16" t="n">
        <v>1</v>
      </c>
      <c r="J41" s="16" t="n">
        <v>41</v>
      </c>
      <c r="K41" s="16" t="n">
        <v>2</v>
      </c>
      <c r="L41" s="16" t="n">
        <v>2</v>
      </c>
      <c r="M41" s="16" t="n">
        <v>1</v>
      </c>
      <c r="N41" s="16" t="n">
        <v>0</v>
      </c>
      <c r="O41" s="17">
        <f>SUM(C41:N41)</f>
        <v/>
      </c>
      <c r="P41" s="18">
        <f>O41/O$77</f>
        <v/>
      </c>
    </row>
    <row r="42">
      <c r="A42" s="14" t="n">
        <v>40</v>
      </c>
      <c r="B42" s="15" t="inlineStr">
        <is>
          <t>세운상사</t>
        </is>
      </c>
      <c r="C42" s="16" t="n">
        <v>0</v>
      </c>
      <c r="D42" s="16" t="n">
        <v>9</v>
      </c>
      <c r="E42" s="16" t="n">
        <v>0</v>
      </c>
      <c r="F42" s="16" t="n">
        <v>0</v>
      </c>
      <c r="G42" s="16" t="n">
        <v>0</v>
      </c>
      <c r="H42" s="16" t="n">
        <v>8</v>
      </c>
      <c r="I42" s="16" t="n">
        <v>12</v>
      </c>
      <c r="J42" s="16" t="n">
        <v>0</v>
      </c>
      <c r="K42" s="16" t="n">
        <v>0</v>
      </c>
      <c r="L42" s="16" t="n">
        <v>0</v>
      </c>
      <c r="M42" s="16" t="n">
        <v>0</v>
      </c>
      <c r="N42" s="16" t="n">
        <v>38</v>
      </c>
      <c r="O42" s="17">
        <f>SUM(C42:N42)</f>
        <v/>
      </c>
      <c r="P42" s="18">
        <f>O42/O$77</f>
        <v/>
      </c>
    </row>
    <row r="43">
      <c r="A43" s="14" t="n">
        <v>41</v>
      </c>
      <c r="B43" s="15" t="inlineStr">
        <is>
          <t>E-tech(이테크)</t>
        </is>
      </c>
      <c r="C43" s="16" t="n">
        <v>0</v>
      </c>
      <c r="D43" s="16" t="n">
        <v>29</v>
      </c>
      <c r="E43" s="16" t="n">
        <v>0</v>
      </c>
      <c r="F43" s="16" t="n">
        <v>36</v>
      </c>
      <c r="G43" s="16" t="n">
        <v>0</v>
      </c>
      <c r="H43" s="16" t="n">
        <v>0</v>
      </c>
      <c r="I43" s="16" t="n">
        <v>0</v>
      </c>
      <c r="J43" s="16" t="n">
        <v>0</v>
      </c>
      <c r="K43" s="16" t="n">
        <v>0</v>
      </c>
      <c r="L43" s="16" t="n">
        <v>0</v>
      </c>
      <c r="M43" s="16" t="n">
        <v>0</v>
      </c>
      <c r="N43" s="16" t="n">
        <v>0</v>
      </c>
      <c r="O43" s="17">
        <f>SUM(C43:N43)</f>
        <v/>
      </c>
      <c r="P43" s="18">
        <f>O43/O$77</f>
        <v/>
      </c>
    </row>
    <row r="44">
      <c r="A44" s="14" t="n">
        <v>42</v>
      </c>
      <c r="B44" s="15" t="inlineStr">
        <is>
          <t>서림툴링</t>
        </is>
      </c>
      <c r="C44" s="16" t="n">
        <v>0</v>
      </c>
      <c r="D44" s="16" t="n">
        <v>0</v>
      </c>
      <c r="E44" s="16" t="n">
        <v>0</v>
      </c>
      <c r="F44" s="16" t="n">
        <v>0</v>
      </c>
      <c r="G44" s="16" t="n">
        <v>0</v>
      </c>
      <c r="H44" s="16" t="n">
        <v>0</v>
      </c>
      <c r="I44" s="16" t="n">
        <v>22</v>
      </c>
      <c r="J44" s="16" t="n">
        <v>0</v>
      </c>
      <c r="K44" s="16" t="n">
        <v>5</v>
      </c>
      <c r="L44" s="16" t="n">
        <v>13</v>
      </c>
      <c r="M44" s="16" t="n">
        <v>6</v>
      </c>
      <c r="N44" s="16" t="n">
        <v>15</v>
      </c>
      <c r="O44" s="17">
        <f>SUM(C44:N44)</f>
        <v/>
      </c>
      <c r="P44" s="18">
        <f>O44/O$77</f>
        <v/>
      </c>
    </row>
    <row r="45">
      <c r="A45" s="14" t="n">
        <v>43</v>
      </c>
      <c r="B45" s="15" t="inlineStr">
        <is>
          <t>(주)전진공구</t>
        </is>
      </c>
      <c r="C45" s="16" t="n">
        <v>0</v>
      </c>
      <c r="D45" s="16" t="n">
        <v>0</v>
      </c>
      <c r="E45" s="16" t="n">
        <v>0</v>
      </c>
      <c r="F45" s="16" t="n">
        <v>60</v>
      </c>
      <c r="G45" s="16" t="n">
        <v>0</v>
      </c>
      <c r="H45" s="16" t="n">
        <v>0</v>
      </c>
      <c r="I45" s="16" t="n">
        <v>0</v>
      </c>
      <c r="J45" s="16" t="n">
        <v>0</v>
      </c>
      <c r="K45" s="16" t="n">
        <v>0</v>
      </c>
      <c r="L45" s="16" t="n">
        <v>0</v>
      </c>
      <c r="M45" s="16" t="n">
        <v>0</v>
      </c>
      <c r="N45" s="16" t="n">
        <v>0</v>
      </c>
      <c r="O45" s="17">
        <f>SUM(C45:N45)</f>
        <v/>
      </c>
      <c r="P45" s="18">
        <f>O45/O$77</f>
        <v/>
      </c>
    </row>
    <row r="46">
      <c r="A46" s="14" t="n">
        <v>44</v>
      </c>
      <c r="B46" s="15" t="inlineStr">
        <is>
          <t>핫몰드엔지니어링주식회사-코고툴(재연마)</t>
        </is>
      </c>
      <c r="C46" s="16" t="n">
        <v>10</v>
      </c>
      <c r="D46" s="16" t="n">
        <v>0</v>
      </c>
      <c r="E46" s="16" t="n">
        <v>0</v>
      </c>
      <c r="F46" s="16" t="n">
        <v>0</v>
      </c>
      <c r="G46" s="16" t="n">
        <v>19</v>
      </c>
      <c r="H46" s="16" t="n">
        <v>0</v>
      </c>
      <c r="I46" s="16" t="n">
        <v>13</v>
      </c>
      <c r="J46" s="16" t="n">
        <v>0</v>
      </c>
      <c r="K46" s="16" t="n">
        <v>0</v>
      </c>
      <c r="L46" s="16" t="n">
        <v>0</v>
      </c>
      <c r="M46" s="16" t="n">
        <v>17</v>
      </c>
      <c r="N46" s="16" t="n">
        <v>0</v>
      </c>
      <c r="O46" s="17">
        <f>SUM(C46:N46)</f>
        <v/>
      </c>
      <c r="P46" s="18">
        <f>O46/O$77</f>
        <v/>
      </c>
    </row>
    <row r="47">
      <c r="A47" s="14" t="n">
        <v>45</v>
      </c>
      <c r="B47" s="15" t="inlineStr">
        <is>
          <t>다원정보통신</t>
        </is>
      </c>
      <c r="C47" s="16" t="n">
        <v>0</v>
      </c>
      <c r="D47" s="16" t="n">
        <v>0</v>
      </c>
      <c r="E47" s="16" t="n">
        <v>0</v>
      </c>
      <c r="F47" s="16" t="n">
        <v>0</v>
      </c>
      <c r="G47" s="16" t="n">
        <v>0</v>
      </c>
      <c r="H47" s="16" t="n">
        <v>57</v>
      </c>
      <c r="I47" s="16" t="n">
        <v>0</v>
      </c>
      <c r="J47" s="16" t="n">
        <v>0</v>
      </c>
      <c r="K47" s="16" t="n">
        <v>0</v>
      </c>
      <c r="L47" s="16" t="n">
        <v>0</v>
      </c>
      <c r="M47" s="16" t="n">
        <v>0</v>
      </c>
      <c r="N47" s="16" t="n">
        <v>0</v>
      </c>
      <c r="O47" s="17">
        <f>SUM(C47:N47)</f>
        <v/>
      </c>
      <c r="P47" s="18">
        <f>O47/O$77</f>
        <v/>
      </c>
    </row>
    <row r="48">
      <c r="A48" s="14" t="n">
        <v>46</v>
      </c>
      <c r="B48" s="15" t="inlineStr">
        <is>
          <t>금성툴테크</t>
        </is>
      </c>
      <c r="C48" s="16" t="n">
        <v>0</v>
      </c>
      <c r="D48" s="16" t="n">
        <v>0</v>
      </c>
      <c r="E48" s="16" t="n">
        <v>7</v>
      </c>
      <c r="F48" s="16" t="n">
        <v>3</v>
      </c>
      <c r="G48" s="16" t="n">
        <v>10</v>
      </c>
      <c r="H48" s="16" t="n">
        <v>20</v>
      </c>
      <c r="I48" s="16" t="n">
        <v>10</v>
      </c>
      <c r="J48" s="16" t="n">
        <v>5</v>
      </c>
      <c r="K48" s="16" t="n">
        <v>0</v>
      </c>
      <c r="L48" s="16" t="n">
        <v>0</v>
      </c>
      <c r="M48" s="16" t="n">
        <v>0</v>
      </c>
      <c r="N48" s="16" t="n">
        <v>0</v>
      </c>
      <c r="O48" s="17">
        <f>SUM(C48:N48)</f>
        <v/>
      </c>
      <c r="P48" s="18">
        <f>O48/O$77</f>
        <v/>
      </c>
    </row>
    <row r="49">
      <c r="A49" s="14" t="n">
        <v>47</v>
      </c>
      <c r="B49" s="15" t="inlineStr">
        <is>
          <t>태화상사</t>
        </is>
      </c>
      <c r="C49" s="16" t="n">
        <v>0</v>
      </c>
      <c r="D49" s="16" t="n">
        <v>0</v>
      </c>
      <c r="E49" s="16" t="n">
        <v>0</v>
      </c>
      <c r="F49" s="16" t="n">
        <v>0</v>
      </c>
      <c r="G49" s="16" t="n">
        <v>0</v>
      </c>
      <c r="H49" s="16" t="n">
        <v>0</v>
      </c>
      <c r="I49" s="16" t="n">
        <v>0</v>
      </c>
      <c r="J49" s="16" t="n">
        <v>0</v>
      </c>
      <c r="K49" s="16" t="n">
        <v>53</v>
      </c>
      <c r="L49" s="16" t="n">
        <v>0</v>
      </c>
      <c r="M49" s="16" t="n">
        <v>0</v>
      </c>
      <c r="N49" s="16" t="n">
        <v>0</v>
      </c>
      <c r="O49" s="17">
        <f>SUM(C49:N49)</f>
        <v/>
      </c>
      <c r="P49" s="18">
        <f>O49/O$77</f>
        <v/>
      </c>
    </row>
    <row r="50">
      <c r="A50" s="14" t="n">
        <v>48</v>
      </c>
      <c r="B50" s="15" t="inlineStr">
        <is>
          <t>(주)경성종합공구</t>
        </is>
      </c>
      <c r="C50" s="16" t="n">
        <v>0</v>
      </c>
      <c r="D50" s="16" t="n">
        <v>12</v>
      </c>
      <c r="E50" s="16" t="n">
        <v>0</v>
      </c>
      <c r="F50" s="16" t="n">
        <v>0</v>
      </c>
      <c r="G50" s="16" t="n">
        <v>40</v>
      </c>
      <c r="H50" s="16" t="n">
        <v>0</v>
      </c>
      <c r="I50" s="16" t="n">
        <v>0</v>
      </c>
      <c r="J50" s="16" t="n">
        <v>0</v>
      </c>
      <c r="K50" s="16" t="n">
        <v>0</v>
      </c>
      <c r="L50" s="16" t="n">
        <v>0</v>
      </c>
      <c r="M50" s="16" t="n">
        <v>0</v>
      </c>
      <c r="N50" s="16" t="n">
        <v>0</v>
      </c>
      <c r="O50" s="17">
        <f>SUM(C50:N50)</f>
        <v/>
      </c>
      <c r="P50" s="18">
        <f>O50/O$77</f>
        <v/>
      </c>
    </row>
    <row r="51">
      <c r="A51" s="14" t="n">
        <v>49</v>
      </c>
      <c r="B51" s="15" t="inlineStr">
        <is>
          <t>(주)창성정밀-코고툴(재연마)</t>
        </is>
      </c>
      <c r="C51" s="16" t="n">
        <v>0</v>
      </c>
      <c r="D51" s="16" t="n">
        <v>45</v>
      </c>
      <c r="E51" s="16" t="n">
        <v>0</v>
      </c>
      <c r="F51" s="16" t="n">
        <v>0</v>
      </c>
      <c r="G51" s="16" t="n">
        <v>0</v>
      </c>
      <c r="H51" s="16" t="n">
        <v>0</v>
      </c>
      <c r="I51" s="16" t="n">
        <v>0</v>
      </c>
      <c r="J51" s="16" t="n">
        <v>0</v>
      </c>
      <c r="K51" s="16" t="n">
        <v>0</v>
      </c>
      <c r="L51" s="16" t="n">
        <v>0</v>
      </c>
      <c r="M51" s="16" t="n">
        <v>0</v>
      </c>
      <c r="N51" s="16" t="n">
        <v>0</v>
      </c>
      <c r="O51" s="17">
        <f>SUM(C51:N51)</f>
        <v/>
      </c>
      <c r="P51" s="18">
        <f>O51/O$77</f>
        <v/>
      </c>
    </row>
    <row r="52">
      <c r="A52" s="14" t="n">
        <v>50</v>
      </c>
      <c r="B52" s="15" t="inlineStr">
        <is>
          <t>대성테크</t>
        </is>
      </c>
      <c r="C52" s="16" t="n">
        <v>0</v>
      </c>
      <c r="D52" s="16" t="n">
        <v>0</v>
      </c>
      <c r="E52" s="16" t="n">
        <v>0</v>
      </c>
      <c r="F52" s="16" t="n">
        <v>0</v>
      </c>
      <c r="G52" s="16" t="n">
        <v>0</v>
      </c>
      <c r="H52" s="16" t="n">
        <v>0</v>
      </c>
      <c r="I52" s="16" t="n">
        <v>0</v>
      </c>
      <c r="J52" s="16" t="n">
        <v>0</v>
      </c>
      <c r="K52" s="16" t="n">
        <v>30</v>
      </c>
      <c r="L52" s="16" t="n">
        <v>0</v>
      </c>
      <c r="M52" s="16" t="n">
        <v>14</v>
      </c>
      <c r="N52" s="16" t="n">
        <v>0</v>
      </c>
      <c r="O52" s="17">
        <f>SUM(C52:N52)</f>
        <v/>
      </c>
      <c r="P52" s="18">
        <f>O52/O$77</f>
        <v/>
      </c>
    </row>
    <row r="53">
      <c r="A53" s="14" t="n">
        <v>51</v>
      </c>
      <c r="B53" s="15" t="inlineStr">
        <is>
          <t>대명종합공구-코고툴(재연마)</t>
        </is>
      </c>
      <c r="C53" s="16" t="n">
        <v>0</v>
      </c>
      <c r="D53" s="16" t="n">
        <v>0</v>
      </c>
      <c r="E53" s="16" t="n">
        <v>10</v>
      </c>
      <c r="F53" s="16" t="n">
        <v>0</v>
      </c>
      <c r="G53" s="16" t="n">
        <v>0</v>
      </c>
      <c r="H53" s="16" t="n">
        <v>16</v>
      </c>
      <c r="I53" s="16" t="n">
        <v>0</v>
      </c>
      <c r="J53" s="16" t="n">
        <v>0</v>
      </c>
      <c r="K53" s="16" t="n">
        <v>0</v>
      </c>
      <c r="L53" s="16" t="n">
        <v>0</v>
      </c>
      <c r="M53" s="16" t="n">
        <v>0</v>
      </c>
      <c r="N53" s="16" t="n">
        <v>18</v>
      </c>
      <c r="O53" s="17">
        <f>SUM(C53:N53)</f>
        <v/>
      </c>
      <c r="P53" s="18">
        <f>O53/O$77</f>
        <v/>
      </c>
    </row>
    <row r="54">
      <c r="A54" s="14" t="n">
        <v>52</v>
      </c>
      <c r="B54" s="15" t="inlineStr">
        <is>
          <t>뉴툴(New tool)</t>
        </is>
      </c>
      <c r="C54" s="16" t="n">
        <v>0</v>
      </c>
      <c r="D54" s="16" t="n">
        <v>0</v>
      </c>
      <c r="E54" s="16" t="n">
        <v>0</v>
      </c>
      <c r="F54" s="16" t="n">
        <v>32</v>
      </c>
      <c r="G54" s="16" t="n">
        <v>0</v>
      </c>
      <c r="H54" s="16" t="n">
        <v>0</v>
      </c>
      <c r="I54" s="16" t="n">
        <v>0</v>
      </c>
      <c r="J54" s="16" t="n">
        <v>0</v>
      </c>
      <c r="K54" s="16" t="n">
        <v>0</v>
      </c>
      <c r="L54" s="16" t="n">
        <v>0</v>
      </c>
      <c r="M54" s="16" t="n">
        <v>9</v>
      </c>
      <c r="N54" s="16" t="n">
        <v>0</v>
      </c>
      <c r="O54" s="17">
        <f>SUM(C54:N54)</f>
        <v/>
      </c>
      <c r="P54" s="18">
        <f>O54/O$77</f>
        <v/>
      </c>
    </row>
    <row r="55">
      <c r="A55" s="14" t="n">
        <v>53</v>
      </c>
      <c r="B55" s="15" t="inlineStr">
        <is>
          <t>대성이앤비-코고툴(재연마)</t>
        </is>
      </c>
      <c r="C55" s="16" t="n">
        <v>0</v>
      </c>
      <c r="D55" s="16" t="n">
        <v>16</v>
      </c>
      <c r="E55" s="16" t="n">
        <v>0</v>
      </c>
      <c r="F55" s="16" t="n">
        <v>0</v>
      </c>
      <c r="G55" s="16" t="n">
        <v>0</v>
      </c>
      <c r="H55" s="16" t="n">
        <v>0</v>
      </c>
      <c r="I55" s="16" t="n">
        <v>20</v>
      </c>
      <c r="J55" s="16" t="n">
        <v>0</v>
      </c>
      <c r="K55" s="16" t="n">
        <v>0</v>
      </c>
      <c r="L55" s="16" t="n">
        <v>0</v>
      </c>
      <c r="M55" s="16" t="n">
        <v>0</v>
      </c>
      <c r="N55" s="16" t="n">
        <v>0</v>
      </c>
      <c r="O55" s="17">
        <f>SUM(C55:N55)</f>
        <v/>
      </c>
      <c r="P55" s="18">
        <f>O55/O$77</f>
        <v/>
      </c>
    </row>
    <row r="56">
      <c r="A56" s="14" t="n">
        <v>54</v>
      </c>
      <c r="B56" s="15" t="inlineStr">
        <is>
          <t>(주)대성금형공구사</t>
        </is>
      </c>
      <c r="C56" s="16" t="n">
        <v>30</v>
      </c>
      <c r="D56" s="16" t="n">
        <v>0</v>
      </c>
      <c r="E56" s="16" t="n">
        <v>0</v>
      </c>
      <c r="F56" s="16" t="n">
        <v>0</v>
      </c>
      <c r="G56" s="16" t="n">
        <v>0</v>
      </c>
      <c r="H56" s="16" t="n">
        <v>0</v>
      </c>
      <c r="I56" s="16" t="n">
        <v>0</v>
      </c>
      <c r="J56" s="16" t="n">
        <v>0</v>
      </c>
      <c r="K56" s="16" t="n">
        <v>0</v>
      </c>
      <c r="L56" s="16" t="n">
        <v>0</v>
      </c>
      <c r="M56" s="16" t="n">
        <v>0</v>
      </c>
      <c r="N56" s="16" t="n">
        <v>0</v>
      </c>
      <c r="O56" s="17">
        <f>SUM(C56:N56)</f>
        <v/>
      </c>
      <c r="P56" s="18">
        <f>O56/O$77</f>
        <v/>
      </c>
    </row>
    <row r="57">
      <c r="A57" s="14" t="n">
        <v>55</v>
      </c>
      <c r="B57" s="15" t="inlineStr">
        <is>
          <t>미래상사</t>
        </is>
      </c>
      <c r="C57" s="16" t="n">
        <v>0</v>
      </c>
      <c r="D57" s="16" t="n">
        <v>0</v>
      </c>
      <c r="E57" s="16" t="n">
        <v>0</v>
      </c>
      <c r="F57" s="16" t="n">
        <v>17</v>
      </c>
      <c r="G57" s="16" t="n">
        <v>0</v>
      </c>
      <c r="H57" s="16" t="n">
        <v>0</v>
      </c>
      <c r="I57" s="16" t="n">
        <v>0</v>
      </c>
      <c r="J57" s="16" t="n">
        <v>0</v>
      </c>
      <c r="K57" s="16" t="n">
        <v>0</v>
      </c>
      <c r="L57" s="16" t="n">
        <v>0</v>
      </c>
      <c r="M57" s="16" t="n">
        <v>2</v>
      </c>
      <c r="N57" s="16" t="n">
        <v>0</v>
      </c>
      <c r="O57" s="17">
        <f>SUM(C57:N57)</f>
        <v/>
      </c>
      <c r="P57" s="18">
        <f>O57/O$77</f>
        <v/>
      </c>
    </row>
    <row r="58">
      <c r="A58" s="14" t="n">
        <v>56</v>
      </c>
      <c r="B58" s="15" t="inlineStr">
        <is>
          <t>유성테크</t>
        </is>
      </c>
      <c r="C58" s="16" t="n">
        <v>0</v>
      </c>
      <c r="D58" s="16" t="n">
        <v>6</v>
      </c>
      <c r="E58" s="16" t="n">
        <v>0</v>
      </c>
      <c r="F58" s="16" t="n">
        <v>0</v>
      </c>
      <c r="G58" s="16" t="n">
        <v>0</v>
      </c>
      <c r="H58" s="16" t="n">
        <v>9</v>
      </c>
      <c r="I58" s="16" t="n">
        <v>0</v>
      </c>
      <c r="J58" s="16" t="n">
        <v>0</v>
      </c>
      <c r="K58" s="16" t="n">
        <v>3</v>
      </c>
      <c r="L58" s="16" t="n">
        <v>0</v>
      </c>
      <c r="M58" s="16" t="n">
        <v>0</v>
      </c>
      <c r="N58" s="16" t="n">
        <v>0</v>
      </c>
      <c r="O58" s="17">
        <f>SUM(C58:N58)</f>
        <v/>
      </c>
      <c r="P58" s="18">
        <f>O58/O$77</f>
        <v/>
      </c>
    </row>
    <row r="59">
      <c r="A59" s="14" t="n">
        <v>57</v>
      </c>
      <c r="B59" s="15" t="inlineStr">
        <is>
          <t>대양공구(인천)</t>
        </is>
      </c>
      <c r="C59" s="16" t="n">
        <v>0</v>
      </c>
      <c r="D59" s="16" t="n">
        <v>0</v>
      </c>
      <c r="E59" s="16" t="n">
        <v>0</v>
      </c>
      <c r="F59" s="16" t="n">
        <v>0</v>
      </c>
      <c r="G59" s="16" t="n">
        <v>0</v>
      </c>
      <c r="H59" s="16" t="n">
        <v>0</v>
      </c>
      <c r="I59" s="16" t="n">
        <v>0</v>
      </c>
      <c r="J59" s="16" t="n">
        <v>0</v>
      </c>
      <c r="K59" s="16" t="n">
        <v>0</v>
      </c>
      <c r="L59" s="16" t="n">
        <v>0</v>
      </c>
      <c r="M59" s="16" t="n">
        <v>15</v>
      </c>
      <c r="N59" s="16" t="n">
        <v>0</v>
      </c>
      <c r="O59" s="17">
        <f>SUM(C59:N59)</f>
        <v/>
      </c>
      <c r="P59" s="18">
        <f>O59/O$77</f>
        <v/>
      </c>
    </row>
    <row r="60">
      <c r="A60" s="14" t="n">
        <v>58</v>
      </c>
      <c r="B60" s="15" t="inlineStr">
        <is>
          <t>(주)동영툴링</t>
        </is>
      </c>
      <c r="C60" s="16" t="n">
        <v>0</v>
      </c>
      <c r="D60" s="16" t="n">
        <v>12</v>
      </c>
      <c r="E60" s="16" t="n">
        <v>0</v>
      </c>
      <c r="F60" s="16" t="n">
        <v>0</v>
      </c>
      <c r="G60" s="16" t="n">
        <v>0</v>
      </c>
      <c r="H60" s="16" t="n">
        <v>0</v>
      </c>
      <c r="I60" s="16" t="n">
        <v>0</v>
      </c>
      <c r="J60" s="16" t="n">
        <v>0</v>
      </c>
      <c r="K60" s="16" t="n">
        <v>0</v>
      </c>
      <c r="L60" s="16" t="n">
        <v>0</v>
      </c>
      <c r="M60" s="16" t="n">
        <v>0</v>
      </c>
      <c r="N60" s="16" t="n">
        <v>0</v>
      </c>
      <c r="O60" s="17">
        <f>SUM(C60:N60)</f>
        <v/>
      </c>
      <c r="P60" s="18">
        <f>O60/O$77</f>
        <v/>
      </c>
    </row>
    <row r="61">
      <c r="A61" s="14" t="n">
        <v>59</v>
      </c>
      <c r="B61" s="15" t="inlineStr">
        <is>
          <t>대한초경공구</t>
        </is>
      </c>
      <c r="C61" s="16" t="n">
        <v>0</v>
      </c>
      <c r="D61" s="16" t="n">
        <v>3</v>
      </c>
      <c r="E61" s="16" t="n">
        <v>0</v>
      </c>
      <c r="F61" s="16" t="n">
        <v>1</v>
      </c>
      <c r="G61" s="16" t="n">
        <v>1</v>
      </c>
      <c r="H61" s="16" t="n">
        <v>0</v>
      </c>
      <c r="I61" s="16" t="n">
        <v>1</v>
      </c>
      <c r="J61" s="16" t="n">
        <v>0</v>
      </c>
      <c r="K61" s="16" t="n">
        <v>0</v>
      </c>
      <c r="L61" s="16" t="n">
        <v>0</v>
      </c>
      <c r="M61" s="16" t="n">
        <v>0</v>
      </c>
      <c r="N61" s="16" t="n">
        <v>4</v>
      </c>
      <c r="O61" s="17">
        <f>SUM(C61:N61)</f>
        <v/>
      </c>
      <c r="P61" s="18">
        <f>O61/O$77</f>
        <v/>
      </c>
    </row>
    <row r="62">
      <c r="A62" s="14" t="n">
        <v>60</v>
      </c>
      <c r="B62" s="15" t="inlineStr">
        <is>
          <t>N.T.S(엔티에스)-코고툴</t>
        </is>
      </c>
      <c r="C62" s="16" t="n">
        <v>0</v>
      </c>
      <c r="D62" s="16" t="n">
        <v>0</v>
      </c>
      <c r="E62" s="16" t="n">
        <v>0</v>
      </c>
      <c r="F62" s="16" t="n">
        <v>7</v>
      </c>
      <c r="G62" s="16" t="n">
        <v>0</v>
      </c>
      <c r="H62" s="16" t="n">
        <v>2</v>
      </c>
      <c r="I62" s="16" t="n">
        <v>0</v>
      </c>
      <c r="J62" s="16" t="n">
        <v>0</v>
      </c>
      <c r="K62" s="16" t="n">
        <v>0</v>
      </c>
      <c r="L62" s="16" t="n">
        <v>0</v>
      </c>
      <c r="M62" s="16" t="n">
        <v>0</v>
      </c>
      <c r="N62" s="16" t="n">
        <v>0</v>
      </c>
      <c r="O62" s="17">
        <f>SUM(C62:N62)</f>
        <v/>
      </c>
      <c r="P62" s="18">
        <f>O62/O$77</f>
        <v/>
      </c>
    </row>
    <row r="63">
      <c r="A63" s="14" t="n">
        <v>61</v>
      </c>
      <c r="B63" s="15" t="inlineStr">
        <is>
          <t>(주)한길툴링-코고툴</t>
        </is>
      </c>
      <c r="C63" s="16" t="n">
        <v>0</v>
      </c>
      <c r="D63" s="16" t="n">
        <v>0</v>
      </c>
      <c r="E63" s="16" t="n">
        <v>0</v>
      </c>
      <c r="F63" s="16" t="n">
        <v>9</v>
      </c>
      <c r="G63" s="16" t="n">
        <v>0</v>
      </c>
      <c r="H63" s="16" t="n">
        <v>0</v>
      </c>
      <c r="I63" s="16" t="n">
        <v>0</v>
      </c>
      <c r="J63" s="16" t="n">
        <v>0</v>
      </c>
      <c r="K63" s="16" t="n">
        <v>0</v>
      </c>
      <c r="L63" s="16" t="n">
        <v>0</v>
      </c>
      <c r="M63" s="16" t="n">
        <v>0</v>
      </c>
      <c r="N63" s="16" t="n">
        <v>0</v>
      </c>
      <c r="O63" s="17">
        <f>SUM(C63:N63)</f>
        <v/>
      </c>
      <c r="P63" s="18">
        <f>O63/O$77</f>
        <v/>
      </c>
    </row>
    <row r="64">
      <c r="A64" s="14" t="n">
        <v>62</v>
      </c>
      <c r="B64" s="15" t="inlineStr">
        <is>
          <t>하나테크</t>
        </is>
      </c>
      <c r="C64" s="16" t="n">
        <v>0</v>
      </c>
      <c r="D64" s="16" t="n">
        <v>0</v>
      </c>
      <c r="E64" s="16" t="n">
        <v>6</v>
      </c>
      <c r="F64" s="16" t="n">
        <v>0</v>
      </c>
      <c r="G64" s="16" t="n">
        <v>0</v>
      </c>
      <c r="H64" s="16" t="n">
        <v>0</v>
      </c>
      <c r="I64" s="16" t="n">
        <v>0</v>
      </c>
      <c r="J64" s="16" t="n">
        <v>0</v>
      </c>
      <c r="K64" s="16" t="n">
        <v>0</v>
      </c>
      <c r="L64" s="16" t="n">
        <v>0</v>
      </c>
      <c r="M64" s="16" t="n">
        <v>0</v>
      </c>
      <c r="N64" s="16" t="n">
        <v>0</v>
      </c>
      <c r="O64" s="17">
        <f>SUM(C64:N64)</f>
        <v/>
      </c>
      <c r="P64" s="18">
        <f>O64/O$77</f>
        <v/>
      </c>
    </row>
    <row r="65">
      <c r="A65" s="14" t="n">
        <v>63</v>
      </c>
      <c r="B65" s="15" t="inlineStr">
        <is>
          <t>(주)성신툴링</t>
        </is>
      </c>
      <c r="C65" s="16" t="n">
        <v>0</v>
      </c>
      <c r="D65" s="16" t="n">
        <v>0</v>
      </c>
      <c r="E65" s="16" t="n">
        <v>0</v>
      </c>
      <c r="F65" s="16" t="n">
        <v>0</v>
      </c>
      <c r="G65" s="16" t="n">
        <v>0</v>
      </c>
      <c r="H65" s="16" t="n">
        <v>0</v>
      </c>
      <c r="I65" s="16" t="n">
        <v>0</v>
      </c>
      <c r="J65" s="16" t="n">
        <v>2</v>
      </c>
      <c r="K65" s="16" t="n">
        <v>0</v>
      </c>
      <c r="L65" s="16" t="n">
        <v>0</v>
      </c>
      <c r="M65" s="16" t="n">
        <v>4</v>
      </c>
      <c r="N65" s="16" t="n">
        <v>0</v>
      </c>
      <c r="O65" s="17">
        <f>SUM(C65:N65)</f>
        <v/>
      </c>
      <c r="P65" s="18">
        <f>O65/O$77</f>
        <v/>
      </c>
    </row>
    <row r="66">
      <c r="A66" s="14" t="n">
        <v>64</v>
      </c>
      <c r="B66" s="15" t="inlineStr">
        <is>
          <t>(주)상신툴링(오산)</t>
        </is>
      </c>
      <c r="C66" s="16" t="n">
        <v>0</v>
      </c>
      <c r="D66" s="16" t="n">
        <v>0</v>
      </c>
      <c r="E66" s="16" t="n">
        <v>0</v>
      </c>
      <c r="F66" s="16" t="n">
        <v>0</v>
      </c>
      <c r="G66" s="16" t="n">
        <v>0</v>
      </c>
      <c r="H66" s="16" t="n">
        <v>0</v>
      </c>
      <c r="I66" s="16" t="n">
        <v>0</v>
      </c>
      <c r="J66" s="16" t="n">
        <v>0</v>
      </c>
      <c r="K66" s="16" t="n">
        <v>0</v>
      </c>
      <c r="L66" s="16" t="n">
        <v>0</v>
      </c>
      <c r="M66" s="16" t="n">
        <v>0</v>
      </c>
      <c r="N66" s="16" t="n">
        <v>3</v>
      </c>
      <c r="O66" s="17">
        <f>SUM(C66:N66)</f>
        <v/>
      </c>
      <c r="P66" s="18">
        <f>O66/O$77</f>
        <v/>
      </c>
    </row>
    <row r="67">
      <c r="A67" s="14" t="n">
        <v>65</v>
      </c>
      <c r="B67" s="15" t="inlineStr">
        <is>
          <t>금아기공</t>
        </is>
      </c>
      <c r="C67" s="16" t="n">
        <v>0</v>
      </c>
      <c r="D67" s="16" t="n">
        <v>0</v>
      </c>
      <c r="E67" s="16" t="n">
        <v>0</v>
      </c>
      <c r="F67" s="16" t="n">
        <v>0</v>
      </c>
      <c r="G67" s="16" t="n">
        <v>0</v>
      </c>
      <c r="H67" s="16" t="n">
        <v>0</v>
      </c>
      <c r="I67" s="16" t="n">
        <v>0</v>
      </c>
      <c r="J67" s="16" t="n">
        <v>0</v>
      </c>
      <c r="K67" s="16" t="n">
        <v>0</v>
      </c>
      <c r="L67" s="16" t="n">
        <v>0</v>
      </c>
      <c r="M67" s="16" t="n">
        <v>3</v>
      </c>
      <c r="N67" s="16" t="n">
        <v>0</v>
      </c>
      <c r="O67" s="17">
        <f>SUM(C67:N67)</f>
        <v/>
      </c>
      <c r="P67" s="18">
        <f>O67/O$77</f>
        <v/>
      </c>
    </row>
    <row r="68">
      <c r="A68" s="14" t="n">
        <v>66</v>
      </c>
      <c r="B68" s="15" t="inlineStr">
        <is>
          <t>(주)삼진기공</t>
        </is>
      </c>
      <c r="C68" s="16" t="n">
        <v>0</v>
      </c>
      <c r="D68" s="16" t="n">
        <v>0</v>
      </c>
      <c r="E68" s="16" t="n">
        <v>0</v>
      </c>
      <c r="F68" s="16" t="n">
        <v>0</v>
      </c>
      <c r="G68" s="16" t="n">
        <v>0</v>
      </c>
      <c r="H68" s="16" t="n">
        <v>0</v>
      </c>
      <c r="I68" s="16" t="n">
        <v>0</v>
      </c>
      <c r="J68" s="16" t="n">
        <v>2</v>
      </c>
      <c r="K68" s="16" t="n">
        <v>0</v>
      </c>
      <c r="L68" s="16" t="n">
        <v>0</v>
      </c>
      <c r="M68" s="16" t="n">
        <v>0</v>
      </c>
      <c r="N68" s="16" t="n">
        <v>0</v>
      </c>
      <c r="O68" s="17">
        <f>SUM(C68:N68)</f>
        <v/>
      </c>
      <c r="P68" s="18">
        <f>O68/O$77</f>
        <v/>
      </c>
    </row>
    <row r="69">
      <c r="A69" s="14" t="n">
        <v>67</v>
      </c>
      <c r="B69" s="15" t="inlineStr">
        <is>
          <t>라온텍</t>
        </is>
      </c>
      <c r="C69" s="16" t="n">
        <v>0</v>
      </c>
      <c r="D69" s="16" t="n">
        <v>0</v>
      </c>
      <c r="E69" s="16" t="n">
        <v>0</v>
      </c>
      <c r="F69" s="16" t="n">
        <v>0</v>
      </c>
      <c r="G69" s="16" t="n">
        <v>0</v>
      </c>
      <c r="H69" s="16" t="n">
        <v>0</v>
      </c>
      <c r="I69" s="16" t="n">
        <v>0</v>
      </c>
      <c r="J69" s="16" t="n">
        <v>1</v>
      </c>
      <c r="K69" s="16" t="n">
        <v>1</v>
      </c>
      <c r="L69" s="16" t="n">
        <v>0</v>
      </c>
      <c r="M69" s="16" t="n">
        <v>0</v>
      </c>
      <c r="N69" s="16" t="n">
        <v>0</v>
      </c>
      <c r="O69" s="17">
        <f>SUM(C69:N69)</f>
        <v/>
      </c>
      <c r="P69" s="18">
        <f>O69/O$77</f>
        <v/>
      </c>
    </row>
    <row r="70">
      <c r="A70" s="14" t="n">
        <v>68</v>
      </c>
      <c r="B70" s="15" t="inlineStr">
        <is>
          <t>(아산)금영공구정공(주)</t>
        </is>
      </c>
      <c r="C70" s="16" t="n">
        <v>0</v>
      </c>
      <c r="D70" s="16" t="n">
        <v>0</v>
      </c>
      <c r="E70" s="16" t="n">
        <v>0</v>
      </c>
      <c r="F70" s="16" t="n">
        <v>0</v>
      </c>
      <c r="G70" s="16" t="n">
        <v>0</v>
      </c>
      <c r="H70" s="16" t="n">
        <v>0</v>
      </c>
      <c r="I70" s="16" t="n">
        <v>0</v>
      </c>
      <c r="J70" s="16" t="n">
        <v>2</v>
      </c>
      <c r="K70" s="16" t="n">
        <v>0</v>
      </c>
      <c r="L70" s="16" t="n">
        <v>0</v>
      </c>
      <c r="M70" s="16" t="n">
        <v>0</v>
      </c>
      <c r="N70" s="16" t="n">
        <v>0</v>
      </c>
      <c r="O70" s="17">
        <f>SUM(C70:N70)</f>
        <v/>
      </c>
      <c r="P70" s="18">
        <f>O70/O$77</f>
        <v/>
      </c>
    </row>
    <row r="71">
      <c r="A71" s="14" t="n">
        <v>69</v>
      </c>
      <c r="B71" s="15" t="inlineStr">
        <is>
          <t>삼성패턴-코고툴(재연마)</t>
        </is>
      </c>
      <c r="C71" s="16" t="n">
        <v>0</v>
      </c>
      <c r="D71" s="16" t="n">
        <v>0</v>
      </c>
      <c r="E71" s="16" t="n">
        <v>0</v>
      </c>
      <c r="F71" s="16" t="n">
        <v>1</v>
      </c>
      <c r="G71" s="16" t="n">
        <v>0</v>
      </c>
      <c r="H71" s="16" t="n">
        <v>0</v>
      </c>
      <c r="I71" s="16" t="n">
        <v>0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7">
        <f>SUM(C71:N71)</f>
        <v/>
      </c>
      <c r="P71" s="18">
        <f>O71/O$77</f>
        <v/>
      </c>
    </row>
    <row r="72">
      <c r="A72" s="14" t="n">
        <v>70</v>
      </c>
      <c r="B72" s="15" t="inlineStr">
        <is>
          <t>정원상사(김포)</t>
        </is>
      </c>
      <c r="C72" s="16" t="n">
        <v>0</v>
      </c>
      <c r="D72" s="16" t="n">
        <v>0</v>
      </c>
      <c r="E72" s="16" t="n">
        <v>0</v>
      </c>
      <c r="F72" s="16" t="n">
        <v>0</v>
      </c>
      <c r="G72" s="16" t="n">
        <v>0</v>
      </c>
      <c r="H72" s="16" t="n">
        <v>0</v>
      </c>
      <c r="I72" s="16" t="n">
        <v>0</v>
      </c>
      <c r="J72" s="16" t="n">
        <v>0</v>
      </c>
      <c r="K72" s="16" t="n">
        <v>0</v>
      </c>
      <c r="L72" s="16" t="n">
        <v>0</v>
      </c>
      <c r="M72" s="16" t="n">
        <v>1</v>
      </c>
      <c r="N72" s="16" t="n">
        <v>0</v>
      </c>
      <c r="O72" s="17">
        <f>SUM(C72:N72)</f>
        <v/>
      </c>
      <c r="P72" s="18">
        <f>O72/O$77</f>
        <v/>
      </c>
    </row>
    <row r="73">
      <c r="A73" s="14" t="n">
        <v>71</v>
      </c>
      <c r="B73" s="15" t="inlineStr">
        <is>
          <t xml:space="preserve">(주)툴탑 </t>
        </is>
      </c>
      <c r="C73" s="16" t="n">
        <v>0</v>
      </c>
      <c r="D73" s="16" t="n">
        <v>0</v>
      </c>
      <c r="E73" s="16" t="n">
        <v>0</v>
      </c>
      <c r="F73" s="16" t="n">
        <v>0</v>
      </c>
      <c r="G73" s="16" t="n">
        <v>0</v>
      </c>
      <c r="H73" s="16" t="n">
        <v>0</v>
      </c>
      <c r="I73" s="16" t="n">
        <v>0</v>
      </c>
      <c r="J73" s="16" t="n">
        <v>0</v>
      </c>
      <c r="K73" s="16" t="n">
        <v>0</v>
      </c>
      <c r="L73" s="16" t="n">
        <v>0</v>
      </c>
      <c r="M73" s="16" t="n">
        <v>1</v>
      </c>
      <c r="N73" s="16" t="n">
        <v>0</v>
      </c>
      <c r="O73" s="17">
        <f>SUM(C73:N73)</f>
        <v/>
      </c>
      <c r="P73" s="18">
        <f>O73/O$77</f>
        <v/>
      </c>
    </row>
    <row r="74">
      <c r="A74" s="14" t="n">
        <v>72</v>
      </c>
      <c r="B74" s="15" t="inlineStr">
        <is>
          <t>동남종합상사(주)</t>
        </is>
      </c>
      <c r="C74" s="16" t="n">
        <v>0</v>
      </c>
      <c r="D74" s="16" t="n">
        <v>0</v>
      </c>
      <c r="E74" s="16" t="n">
        <v>0</v>
      </c>
      <c r="F74" s="16" t="n">
        <v>0</v>
      </c>
      <c r="G74" s="16" t="n">
        <v>0</v>
      </c>
      <c r="H74" s="16" t="n">
        <v>0</v>
      </c>
      <c r="I74" s="16" t="n">
        <v>0</v>
      </c>
      <c r="J74" s="16" t="n">
        <v>0</v>
      </c>
      <c r="K74" s="16" t="n">
        <v>1</v>
      </c>
      <c r="L74" s="16" t="n">
        <v>0</v>
      </c>
      <c r="M74" s="16" t="n">
        <v>0</v>
      </c>
      <c r="N74" s="16" t="n">
        <v>0</v>
      </c>
      <c r="O74" s="17">
        <f>SUM(C74:N74)</f>
        <v/>
      </c>
      <c r="P74" s="18">
        <f>O74/O$77</f>
        <v/>
      </c>
    </row>
    <row r="75">
      <c r="A75" s="14" t="n">
        <v>73</v>
      </c>
      <c r="B75" s="15" t="inlineStr">
        <is>
          <t>광진테크</t>
        </is>
      </c>
      <c r="C75" s="16" t="n">
        <v>0</v>
      </c>
      <c r="D75" s="16" t="n">
        <v>0</v>
      </c>
      <c r="E75" s="16" t="n">
        <v>0</v>
      </c>
      <c r="F75" s="16" t="n">
        <v>1</v>
      </c>
      <c r="G75" s="16" t="n">
        <v>0</v>
      </c>
      <c r="H75" s="16" t="n">
        <v>0</v>
      </c>
      <c r="I75" s="16" t="n">
        <v>0</v>
      </c>
      <c r="J75" s="16" t="n">
        <v>0</v>
      </c>
      <c r="K75" s="16" t="n">
        <v>0</v>
      </c>
      <c r="L75" s="16" t="n">
        <v>0</v>
      </c>
      <c r="M75" s="16" t="n">
        <v>0</v>
      </c>
      <c r="N75" s="16" t="n">
        <v>0</v>
      </c>
      <c r="O75" s="17">
        <f>SUM(C75:N75)</f>
        <v/>
      </c>
      <c r="P75" s="18">
        <f>O75/O$77</f>
        <v/>
      </c>
    </row>
    <row r="76">
      <c r="A76" s="14" t="n">
        <v>74</v>
      </c>
      <c r="B76" s="15" t="inlineStr">
        <is>
          <t>미래장식-코고툴(재연마)</t>
        </is>
      </c>
      <c r="C76" s="16" t="n">
        <v>-14</v>
      </c>
      <c r="D76" s="16" t="n">
        <v>0</v>
      </c>
      <c r="E76" s="16" t="n">
        <v>0</v>
      </c>
      <c r="F76" s="16" t="n">
        <v>0</v>
      </c>
      <c r="G76" s="16" t="n">
        <v>0</v>
      </c>
      <c r="H76" s="16" t="n">
        <v>0</v>
      </c>
      <c r="I76" s="16" t="n">
        <v>0</v>
      </c>
      <c r="J76" s="16" t="n">
        <v>0</v>
      </c>
      <c r="K76" s="16" t="n">
        <v>0</v>
      </c>
      <c r="L76" s="16" t="n">
        <v>0</v>
      </c>
      <c r="M76" s="16" t="n">
        <v>0</v>
      </c>
      <c r="N76" s="16" t="n">
        <v>0</v>
      </c>
      <c r="O76" s="17">
        <f>SUM(C76:N76)</f>
        <v/>
      </c>
      <c r="P76" s="18">
        <f>O76/O$77</f>
        <v/>
      </c>
    </row>
    <row r="77">
      <c r="A77" s="19" t="inlineStr">
        <is>
          <t>합계</t>
        </is>
      </c>
      <c r="B77" s="19" t="n"/>
      <c r="C77" s="20">
        <f>SUM(C3:C76)</f>
        <v/>
      </c>
      <c r="D77" s="20">
        <f>SUM(D3:D76)</f>
        <v/>
      </c>
      <c r="E77" s="20">
        <f>SUM(E3:E76)</f>
        <v/>
      </c>
      <c r="F77" s="20">
        <f>SUM(F3:F76)</f>
        <v/>
      </c>
      <c r="G77" s="20">
        <f>SUM(G3:G76)</f>
        <v/>
      </c>
      <c r="H77" s="20">
        <f>SUM(H3:H76)</f>
        <v/>
      </c>
      <c r="I77" s="20">
        <f>SUM(I3:I76)</f>
        <v/>
      </c>
      <c r="J77" s="20">
        <f>SUM(J3:J76)</f>
        <v/>
      </c>
      <c r="K77" s="20">
        <f>SUM(K3:K76)</f>
        <v/>
      </c>
      <c r="L77" s="20">
        <f>SUM(L3:L76)</f>
        <v/>
      </c>
      <c r="M77" s="20">
        <f>SUM(M3:M76)</f>
        <v/>
      </c>
      <c r="N77" s="20">
        <f>SUM(N3:N76)</f>
        <v/>
      </c>
      <c r="O77" s="20">
        <f>SUM(O3:O76)</f>
        <v/>
      </c>
      <c r="P77" s="21" t="n">
        <v>1</v>
      </c>
    </row>
  </sheetData>
  <mergeCells count="2">
    <mergeCell ref="A1:P1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2024년 1월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강민툴링(비봉)</t>
        </is>
      </c>
      <c r="C3" s="7" t="n">
        <v>347</v>
      </c>
      <c r="D3" s="8">
        <f>C3/C$29</f>
        <v/>
      </c>
      <c r="E3" s="8">
        <f>D3</f>
        <v/>
      </c>
      <c r="F3" s="7" t="n">
        <v>1619</v>
      </c>
    </row>
    <row r="4">
      <c r="A4" s="4" t="n">
        <v>2</v>
      </c>
      <c r="B4" s="5" t="inlineStr">
        <is>
          <t>원영공구(구,원영상사)</t>
        </is>
      </c>
      <c r="C4" s="7" t="n">
        <v>333</v>
      </c>
      <c r="D4" s="8">
        <f>C4/C$29</f>
        <v/>
      </c>
      <c r="E4" s="8">
        <f>E3+D4</f>
        <v/>
      </c>
      <c r="F4" s="7" t="n">
        <v>2394</v>
      </c>
    </row>
    <row r="5">
      <c r="A5" s="4" t="n">
        <v>3</v>
      </c>
      <c r="B5" s="5" t="inlineStr">
        <is>
          <t>초경툴(구,성민TOOL)-코고툴</t>
        </is>
      </c>
      <c r="C5" s="7" t="n">
        <v>197</v>
      </c>
      <c r="D5" s="8">
        <f>C5/C$29</f>
        <v/>
      </c>
      <c r="E5" s="8">
        <f>E4+D5</f>
        <v/>
      </c>
      <c r="F5" s="7" t="n">
        <v>2176</v>
      </c>
    </row>
    <row r="6">
      <c r="A6" s="4" t="n">
        <v>4</v>
      </c>
      <c r="B6" s="5" t="inlineStr">
        <is>
          <t>(주)공화공구</t>
        </is>
      </c>
      <c r="C6" s="7" t="n">
        <v>160</v>
      </c>
      <c r="D6" s="8">
        <f>C6/C$29</f>
        <v/>
      </c>
      <c r="E6" s="8">
        <f>E5+D6</f>
        <v/>
      </c>
      <c r="F6" s="7" t="n">
        <v>938</v>
      </c>
    </row>
    <row r="7">
      <c r="A7" s="4" t="n">
        <v>5</v>
      </c>
      <c r="B7" s="5" t="inlineStr">
        <is>
          <t>연성기공(주)</t>
        </is>
      </c>
      <c r="C7" s="7" t="n">
        <v>100</v>
      </c>
      <c r="D7" s="8">
        <f>C7/C$29</f>
        <v/>
      </c>
      <c r="E7" s="8">
        <f>E6+D7</f>
        <v/>
      </c>
      <c r="F7" s="7" t="n">
        <v>594</v>
      </c>
    </row>
    <row r="8">
      <c r="A8" s="14" t="n">
        <v>6</v>
      </c>
      <c r="B8" s="15" t="inlineStr">
        <is>
          <t>유비툴</t>
        </is>
      </c>
      <c r="C8" s="17" t="n">
        <v>91</v>
      </c>
      <c r="D8" s="18">
        <f>C8/C$29</f>
        <v/>
      </c>
      <c r="E8" s="18">
        <f>E7+D8</f>
        <v/>
      </c>
      <c r="F8" s="17" t="n">
        <v>1230</v>
      </c>
    </row>
    <row r="9">
      <c r="A9" s="14" t="n">
        <v>7</v>
      </c>
      <c r="B9" s="15" t="inlineStr">
        <is>
          <t>덕원통상(사용금지)-덕원종합상사로 처리해주세요</t>
        </is>
      </c>
      <c r="C9" s="17" t="n">
        <v>81</v>
      </c>
      <c r="D9" s="18">
        <f>C9/C$29</f>
        <v/>
      </c>
      <c r="E9" s="18">
        <f>E8+D9</f>
        <v/>
      </c>
      <c r="F9" s="17" t="n">
        <v>1058</v>
      </c>
    </row>
    <row r="10">
      <c r="A10" s="14" t="n">
        <v>8</v>
      </c>
      <c r="B10" s="15" t="inlineStr">
        <is>
          <t>대우툴링</t>
        </is>
      </c>
      <c r="C10" s="17" t="n">
        <v>80</v>
      </c>
      <c r="D10" s="18">
        <f>C10/C$29</f>
        <v/>
      </c>
      <c r="E10" s="18">
        <f>E9+D10</f>
        <v/>
      </c>
      <c r="F10" s="17" t="n">
        <v>736</v>
      </c>
    </row>
    <row r="11">
      <c r="A11" s="14" t="n">
        <v>9</v>
      </c>
      <c r="B11" s="15" t="inlineStr">
        <is>
          <t>창성툴(코고툴)</t>
        </is>
      </c>
      <c r="C11" s="17" t="n">
        <v>77</v>
      </c>
      <c r="D11" s="18">
        <f>C11/C$29</f>
        <v/>
      </c>
      <c r="E11" s="18">
        <f>E10+D11</f>
        <v/>
      </c>
      <c r="F11" s="17" t="n">
        <v>1381</v>
      </c>
    </row>
    <row r="12">
      <c r="A12" s="14" t="n">
        <v>10</v>
      </c>
      <c r="B12" s="15" t="inlineStr">
        <is>
          <t>케이엠툴링</t>
        </is>
      </c>
      <c r="C12" s="17" t="n">
        <v>64</v>
      </c>
      <c r="D12" s="18">
        <f>C12/C$29</f>
        <v/>
      </c>
      <c r="E12" s="18">
        <f>E11+D12</f>
        <v/>
      </c>
      <c r="F12" s="17" t="n">
        <v>658</v>
      </c>
    </row>
    <row r="13">
      <c r="A13" s="14" t="n">
        <v>11</v>
      </c>
      <c r="B13" s="15" t="inlineStr">
        <is>
          <t>신우툴링(남동)</t>
        </is>
      </c>
      <c r="C13" s="17" t="n">
        <v>63</v>
      </c>
      <c r="D13" s="18">
        <f>C13/C$29</f>
        <v/>
      </c>
      <c r="E13" s="18">
        <f>E12+D13</f>
        <v/>
      </c>
      <c r="F13" s="17" t="n">
        <v>444</v>
      </c>
    </row>
    <row r="14">
      <c r="A14" s="14" t="n">
        <v>12</v>
      </c>
      <c r="B14" s="15" t="inlineStr">
        <is>
          <t>코끼리공구</t>
        </is>
      </c>
      <c r="C14" s="17" t="n">
        <v>54</v>
      </c>
      <c r="D14" s="18">
        <f>C14/C$29</f>
        <v/>
      </c>
      <c r="E14" s="18">
        <f>E13+D14</f>
        <v/>
      </c>
      <c r="F14" s="17" t="n">
        <v>196</v>
      </c>
    </row>
    <row r="15">
      <c r="A15" s="14" t="n">
        <v>13</v>
      </c>
      <c r="B15" s="15" t="inlineStr">
        <is>
          <t>공구백화점(미산동)</t>
        </is>
      </c>
      <c r="C15" s="17" t="n">
        <v>33</v>
      </c>
      <c r="D15" s="18">
        <f>C15/C$29</f>
        <v/>
      </c>
      <c r="E15" s="18">
        <f>E14+D15</f>
        <v/>
      </c>
      <c r="F15" s="17" t="n">
        <v>239</v>
      </c>
    </row>
    <row r="16">
      <c r="A16" s="14" t="n">
        <v>14</v>
      </c>
      <c r="B16" s="15" t="inlineStr">
        <is>
          <t>태영종합공구</t>
        </is>
      </c>
      <c r="C16" s="17" t="n">
        <v>30</v>
      </c>
      <c r="D16" s="18">
        <f>C16/C$29</f>
        <v/>
      </c>
      <c r="E16" s="18">
        <f>E15+D16</f>
        <v/>
      </c>
      <c r="F16" s="17" t="n">
        <v>204</v>
      </c>
    </row>
    <row r="17">
      <c r="A17" s="14" t="n">
        <v>15</v>
      </c>
      <c r="B17" s="15" t="inlineStr">
        <is>
          <t>(주)대성금형공구사</t>
        </is>
      </c>
      <c r="C17" s="17" t="n">
        <v>30</v>
      </c>
      <c r="D17" s="18">
        <f>C17/C$29</f>
        <v/>
      </c>
      <c r="E17" s="18">
        <f>E16+D17</f>
        <v/>
      </c>
      <c r="F17" s="17" t="n">
        <v>30</v>
      </c>
    </row>
    <row r="18">
      <c r="A18" s="14" t="n">
        <v>16</v>
      </c>
      <c r="B18" s="15" t="inlineStr">
        <is>
          <t>(주)태성피앤티</t>
        </is>
      </c>
      <c r="C18" s="17" t="n">
        <v>28</v>
      </c>
      <c r="D18" s="18">
        <f>C18/C$29</f>
        <v/>
      </c>
      <c r="E18" s="18">
        <f>E17+D18</f>
        <v/>
      </c>
      <c r="F18" s="17" t="n">
        <v>155</v>
      </c>
    </row>
    <row r="19">
      <c r="A19" s="14" t="n">
        <v>17</v>
      </c>
      <c r="B19" s="15" t="inlineStr">
        <is>
          <t>유성상공사</t>
        </is>
      </c>
      <c r="C19" s="17" t="n">
        <v>23</v>
      </c>
      <c r="D19" s="18">
        <f>C19/C$29</f>
        <v/>
      </c>
      <c r="E19" s="18">
        <f>E18+D19</f>
        <v/>
      </c>
      <c r="F19" s="17" t="n">
        <v>111</v>
      </c>
    </row>
    <row r="20">
      <c r="A20" s="14" t="n">
        <v>18</v>
      </c>
      <c r="B20" s="15" t="inlineStr">
        <is>
          <t>아이티공구</t>
        </is>
      </c>
      <c r="C20" s="17" t="n">
        <v>22</v>
      </c>
      <c r="D20" s="18">
        <f>C20/C$29</f>
        <v/>
      </c>
      <c r="E20" s="18">
        <f>E19+D20</f>
        <v/>
      </c>
      <c r="F20" s="17" t="n">
        <v>1070</v>
      </c>
    </row>
    <row r="21">
      <c r="A21" s="14" t="n">
        <v>19</v>
      </c>
      <c r="B21" s="15" t="inlineStr">
        <is>
          <t>대륙기계공구</t>
        </is>
      </c>
      <c r="C21" s="17" t="n">
        <v>20</v>
      </c>
      <c r="D21" s="18">
        <f>C21/C$29</f>
        <v/>
      </c>
      <c r="E21" s="18">
        <f>E20+D21</f>
        <v/>
      </c>
      <c r="F21" s="17" t="n">
        <v>188</v>
      </c>
    </row>
    <row r="22">
      <c r="A22" s="14" t="n">
        <v>20</v>
      </c>
      <c r="B22" s="15" t="inlineStr">
        <is>
          <t>이엠티(EMT)</t>
        </is>
      </c>
      <c r="C22" s="17" t="n">
        <v>20</v>
      </c>
      <c r="D22" s="18">
        <f>C22/C$29</f>
        <v/>
      </c>
      <c r="E22" s="18">
        <f>E21+D22</f>
        <v/>
      </c>
      <c r="F22" s="17" t="n">
        <v>112</v>
      </c>
    </row>
    <row r="23">
      <c r="A23" s="14" t="n">
        <v>21</v>
      </c>
      <c r="B23" s="15" t="inlineStr">
        <is>
          <t>유성종합공구</t>
        </is>
      </c>
      <c r="C23" s="17" t="n">
        <v>16</v>
      </c>
      <c r="D23" s="18">
        <f>C23/C$29</f>
        <v/>
      </c>
      <c r="E23" s="18">
        <f>E22+D23</f>
        <v/>
      </c>
      <c r="F23" s="17" t="n">
        <v>88</v>
      </c>
    </row>
    <row r="24">
      <c r="A24" s="14" t="n">
        <v>22</v>
      </c>
      <c r="B24" s="15" t="inlineStr">
        <is>
          <t>왕삼아공구</t>
        </is>
      </c>
      <c r="C24" s="17" t="n">
        <v>15</v>
      </c>
      <c r="D24" s="18">
        <f>C24/C$29</f>
        <v/>
      </c>
      <c r="E24" s="18">
        <f>E23+D24</f>
        <v/>
      </c>
      <c r="F24" s="17" t="n">
        <v>303</v>
      </c>
    </row>
    <row r="25">
      <c r="A25" s="14" t="n">
        <v>23</v>
      </c>
      <c r="B25" s="15" t="inlineStr">
        <is>
          <t>유진상사(문래)</t>
        </is>
      </c>
      <c r="C25" s="17" t="n">
        <v>11</v>
      </c>
      <c r="D25" s="18">
        <f>C25/C$29</f>
        <v/>
      </c>
      <c r="E25" s="18">
        <f>E24+D25</f>
        <v/>
      </c>
      <c r="F25" s="17" t="n">
        <v>432</v>
      </c>
    </row>
    <row r="26">
      <c r="A26" s="14" t="n">
        <v>24</v>
      </c>
      <c r="B26" s="15" t="inlineStr">
        <is>
          <t>핫몰드엔지니어링주식회사-코고툴(재연마)</t>
        </is>
      </c>
      <c r="C26" s="17" t="n">
        <v>10</v>
      </c>
      <c r="D26" s="18">
        <f>C26/C$29</f>
        <v/>
      </c>
      <c r="E26" s="18">
        <f>E25+D26</f>
        <v/>
      </c>
      <c r="F26" s="17" t="n">
        <v>59</v>
      </c>
    </row>
    <row r="27">
      <c r="A27" s="14" t="n">
        <v>25</v>
      </c>
      <c r="B27" s="15" t="inlineStr">
        <is>
          <t>(주)성환공구</t>
        </is>
      </c>
      <c r="C27" s="17" t="n">
        <v>7</v>
      </c>
      <c r="D27" s="18">
        <f>C27/C$29</f>
        <v/>
      </c>
      <c r="E27" s="18">
        <f>E26+D27</f>
        <v/>
      </c>
      <c r="F27" s="17" t="n">
        <v>70</v>
      </c>
    </row>
    <row r="28">
      <c r="A28" s="14" t="n">
        <v>26</v>
      </c>
      <c r="B28" s="15" t="inlineStr">
        <is>
          <t>아신상사</t>
        </is>
      </c>
      <c r="C28" s="17" t="n">
        <v>4</v>
      </c>
      <c r="D28" s="18">
        <f>C28/C$29</f>
        <v/>
      </c>
      <c r="E28" s="18">
        <f>E27+D28</f>
        <v/>
      </c>
      <c r="F28" s="17" t="n">
        <v>305</v>
      </c>
    </row>
    <row r="29">
      <c r="A29" s="19" t="inlineStr">
        <is>
          <t>합계</t>
        </is>
      </c>
      <c r="B29" s="19" t="n"/>
      <c r="C29" s="20">
        <f>SUM(C3:C28)</f>
        <v/>
      </c>
      <c r="D29" s="21" t="n">
        <v>1</v>
      </c>
      <c r="E29" s="19" t="n"/>
      <c r="F29" s="20">
        <f>SUM(F3:F28)</f>
        <v/>
      </c>
    </row>
  </sheetData>
  <mergeCells count="2">
    <mergeCell ref="A1:F1"/>
    <mergeCell ref="A29:B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2024년 2월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2월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유비툴</t>
        </is>
      </c>
      <c r="C3" s="7" t="n">
        <v>211</v>
      </c>
      <c r="D3" s="8">
        <f>C3/C$34</f>
        <v/>
      </c>
      <c r="E3" s="8">
        <f>D3</f>
        <v/>
      </c>
      <c r="F3" s="7" t="n">
        <v>1230</v>
      </c>
    </row>
    <row r="4">
      <c r="A4" s="4" t="n">
        <v>2</v>
      </c>
      <c r="B4" s="5" t="inlineStr">
        <is>
          <t>원영공구(구,원영상사)</t>
        </is>
      </c>
      <c r="C4" s="7" t="n">
        <v>195</v>
      </c>
      <c r="D4" s="8">
        <f>C4/C$34</f>
        <v/>
      </c>
      <c r="E4" s="8">
        <f>E3+D4</f>
        <v/>
      </c>
      <c r="F4" s="7" t="n">
        <v>2394</v>
      </c>
    </row>
    <row r="5">
      <c r="A5" s="4" t="n">
        <v>3</v>
      </c>
      <c r="B5" s="5" t="inlineStr">
        <is>
          <t>창성툴(코고툴)</t>
        </is>
      </c>
      <c r="C5" s="7" t="n">
        <v>185</v>
      </c>
      <c r="D5" s="8">
        <f>C5/C$34</f>
        <v/>
      </c>
      <c r="E5" s="8">
        <f>E4+D5</f>
        <v/>
      </c>
      <c r="F5" s="7" t="n">
        <v>1381</v>
      </c>
    </row>
    <row r="6">
      <c r="A6" s="4" t="n">
        <v>4</v>
      </c>
      <c r="B6" s="5" t="inlineStr">
        <is>
          <t>초경툴(구,성민TOOL)-코고툴</t>
        </is>
      </c>
      <c r="C6" s="7" t="n">
        <v>137</v>
      </c>
      <c r="D6" s="8">
        <f>C6/C$34</f>
        <v/>
      </c>
      <c r="E6" s="8">
        <f>E5+D6</f>
        <v/>
      </c>
      <c r="F6" s="7" t="n">
        <v>2176</v>
      </c>
    </row>
    <row r="7">
      <c r="A7" s="4" t="n">
        <v>5</v>
      </c>
      <c r="B7" s="5" t="inlineStr">
        <is>
          <t>신우툴링(남동)</t>
        </is>
      </c>
      <c r="C7" s="7" t="n">
        <v>130</v>
      </c>
      <c r="D7" s="8">
        <f>C7/C$34</f>
        <v/>
      </c>
      <c r="E7" s="8">
        <f>E6+D7</f>
        <v/>
      </c>
      <c r="F7" s="7" t="n">
        <v>444</v>
      </c>
    </row>
    <row r="8">
      <c r="A8" s="14" t="n">
        <v>6</v>
      </c>
      <c r="B8" s="15" t="inlineStr">
        <is>
          <t>강민툴링(비봉)</t>
        </is>
      </c>
      <c r="C8" s="17" t="n">
        <v>100</v>
      </c>
      <c r="D8" s="18">
        <f>C8/C$34</f>
        <v/>
      </c>
      <c r="E8" s="18">
        <f>E7+D8</f>
        <v/>
      </c>
      <c r="F8" s="17" t="n">
        <v>1619</v>
      </c>
    </row>
    <row r="9">
      <c r="A9" s="14" t="n">
        <v>7</v>
      </c>
      <c r="B9" s="15" t="inlineStr">
        <is>
          <t>왕삼아공구</t>
        </is>
      </c>
      <c r="C9" s="17" t="n">
        <v>99</v>
      </c>
      <c r="D9" s="18">
        <f>C9/C$34</f>
        <v/>
      </c>
      <c r="E9" s="18">
        <f>E8+D9</f>
        <v/>
      </c>
      <c r="F9" s="17" t="n">
        <v>303</v>
      </c>
    </row>
    <row r="10">
      <c r="A10" s="14" t="n">
        <v>8</v>
      </c>
      <c r="B10" s="15" t="inlineStr">
        <is>
          <t>케이엠툴링</t>
        </is>
      </c>
      <c r="C10" s="17" t="n">
        <v>90</v>
      </c>
      <c r="D10" s="18">
        <f>C10/C$34</f>
        <v/>
      </c>
      <c r="E10" s="18">
        <f>E9+D10</f>
        <v/>
      </c>
      <c r="F10" s="17" t="n">
        <v>658</v>
      </c>
    </row>
    <row r="11">
      <c r="A11" s="14" t="n">
        <v>9</v>
      </c>
      <c r="B11" s="15" t="inlineStr">
        <is>
          <t>(주)태성피앤티</t>
        </is>
      </c>
      <c r="C11" s="17" t="n">
        <v>77</v>
      </c>
      <c r="D11" s="18">
        <f>C11/C$34</f>
        <v/>
      </c>
      <c r="E11" s="18">
        <f>E10+D11</f>
        <v/>
      </c>
      <c r="F11" s="17" t="n">
        <v>155</v>
      </c>
    </row>
    <row r="12">
      <c r="A12" s="14" t="n">
        <v>10</v>
      </c>
      <c r="B12" s="15" t="inlineStr">
        <is>
          <t>덕원통상(사용금지)-덕원종합상사로 처리해주세요</t>
        </is>
      </c>
      <c r="C12" s="17" t="n">
        <v>69</v>
      </c>
      <c r="D12" s="18">
        <f>C12/C$34</f>
        <v/>
      </c>
      <c r="E12" s="18">
        <f>E11+D12</f>
        <v/>
      </c>
      <c r="F12" s="17" t="n">
        <v>1058</v>
      </c>
    </row>
    <row r="13">
      <c r="A13" s="14" t="n">
        <v>11</v>
      </c>
      <c r="B13" s="15" t="inlineStr">
        <is>
          <t>태영종합공구</t>
        </is>
      </c>
      <c r="C13" s="17" t="n">
        <v>65</v>
      </c>
      <c r="D13" s="18">
        <f>C13/C$34</f>
        <v/>
      </c>
      <c r="E13" s="18">
        <f>E12+D13</f>
        <v/>
      </c>
      <c r="F13" s="17" t="n">
        <v>204</v>
      </c>
    </row>
    <row r="14">
      <c r="A14" s="14" t="n">
        <v>12</v>
      </c>
      <c r="B14" s="15" t="inlineStr">
        <is>
          <t>(주)공화공구</t>
        </is>
      </c>
      <c r="C14" s="17" t="n">
        <v>65</v>
      </c>
      <c r="D14" s="18">
        <f>C14/C$34</f>
        <v/>
      </c>
      <c r="E14" s="18">
        <f>E13+D14</f>
        <v/>
      </c>
      <c r="F14" s="17" t="n">
        <v>938</v>
      </c>
    </row>
    <row r="15">
      <c r="A15" s="14" t="n">
        <v>13</v>
      </c>
      <c r="B15" s="15" t="inlineStr">
        <is>
          <t>코끼리공구</t>
        </is>
      </c>
      <c r="C15" s="17" t="n">
        <v>49</v>
      </c>
      <c r="D15" s="18">
        <f>C15/C$34</f>
        <v/>
      </c>
      <c r="E15" s="18">
        <f>E14+D15</f>
        <v/>
      </c>
      <c r="F15" s="17" t="n">
        <v>196</v>
      </c>
    </row>
    <row r="16">
      <c r="A16" s="14" t="n">
        <v>14</v>
      </c>
      <c r="B16" s="15" t="inlineStr">
        <is>
          <t>아이티공구</t>
        </is>
      </c>
      <c r="C16" s="17" t="n">
        <v>49</v>
      </c>
      <c r="D16" s="18">
        <f>C16/C$34</f>
        <v/>
      </c>
      <c r="E16" s="18">
        <f>E15+D16</f>
        <v/>
      </c>
      <c r="F16" s="17" t="n">
        <v>1070</v>
      </c>
    </row>
    <row r="17">
      <c r="A17" s="14" t="n">
        <v>15</v>
      </c>
      <c r="B17" s="15" t="inlineStr">
        <is>
          <t>(주)창성정밀-코고툴(재연마)</t>
        </is>
      </c>
      <c r="C17" s="17" t="n">
        <v>45</v>
      </c>
      <c r="D17" s="18">
        <f>C17/C$34</f>
        <v/>
      </c>
      <c r="E17" s="18">
        <f>E16+D17</f>
        <v/>
      </c>
      <c r="F17" s="17" t="n">
        <v>45</v>
      </c>
    </row>
    <row r="18">
      <c r="A18" s="14" t="n">
        <v>16</v>
      </c>
      <c r="B18" s="15" t="inlineStr">
        <is>
          <t>반석공구</t>
        </is>
      </c>
      <c r="C18" s="17" t="n">
        <v>30</v>
      </c>
      <c r="D18" s="18">
        <f>C18/C$34</f>
        <v/>
      </c>
      <c r="E18" s="18">
        <f>E17+D18</f>
        <v/>
      </c>
      <c r="F18" s="17" t="n">
        <v>489</v>
      </c>
    </row>
    <row r="19">
      <c r="A19" s="14" t="n">
        <v>17</v>
      </c>
      <c r="B19" s="15" t="inlineStr">
        <is>
          <t>E-tech(이테크)</t>
        </is>
      </c>
      <c r="C19" s="17" t="n">
        <v>29</v>
      </c>
      <c r="D19" s="18">
        <f>C19/C$34</f>
        <v/>
      </c>
      <c r="E19" s="18">
        <f>E18+D19</f>
        <v/>
      </c>
      <c r="F19" s="17" t="n">
        <v>65</v>
      </c>
    </row>
    <row r="20">
      <c r="A20" s="14" t="n">
        <v>18</v>
      </c>
      <c r="B20" s="15" t="inlineStr">
        <is>
          <t>유진상사(문래)</t>
        </is>
      </c>
      <c r="C20" s="17" t="n">
        <v>25</v>
      </c>
      <c r="D20" s="18">
        <f>C20/C$34</f>
        <v/>
      </c>
      <c r="E20" s="18">
        <f>E19+D20</f>
        <v/>
      </c>
      <c r="F20" s="17" t="n">
        <v>432</v>
      </c>
    </row>
    <row r="21">
      <c r="A21" s="14" t="n">
        <v>19</v>
      </c>
      <c r="B21" s="15" t="inlineStr">
        <is>
          <t>대우툴링</t>
        </is>
      </c>
      <c r="C21" s="17" t="n">
        <v>20</v>
      </c>
      <c r="D21" s="18">
        <f>C21/C$34</f>
        <v/>
      </c>
      <c r="E21" s="18">
        <f>E20+D21</f>
        <v/>
      </c>
      <c r="F21" s="17" t="n">
        <v>736</v>
      </c>
    </row>
    <row r="22">
      <c r="A22" s="14" t="n">
        <v>20</v>
      </c>
      <c r="B22" s="15" t="inlineStr">
        <is>
          <t>공구백화점(미산동)</t>
        </is>
      </c>
      <c r="C22" s="17" t="n">
        <v>20</v>
      </c>
      <c r="D22" s="18">
        <f>C22/C$34</f>
        <v/>
      </c>
      <c r="E22" s="18">
        <f>E21+D22</f>
        <v/>
      </c>
      <c r="F22" s="17" t="n">
        <v>239</v>
      </c>
    </row>
    <row r="23">
      <c r="A23" s="14" t="n">
        <v>21</v>
      </c>
      <c r="B23" s="15" t="inlineStr">
        <is>
          <t>대성이앤비-코고툴(재연마)</t>
        </is>
      </c>
      <c r="C23" s="17" t="n">
        <v>16</v>
      </c>
      <c r="D23" s="18">
        <f>C23/C$34</f>
        <v/>
      </c>
      <c r="E23" s="18">
        <f>E22+D23</f>
        <v/>
      </c>
      <c r="F23" s="17" t="n">
        <v>36</v>
      </c>
    </row>
    <row r="24">
      <c r="A24" s="14" t="n">
        <v>22</v>
      </c>
      <c r="B24" s="15" t="inlineStr">
        <is>
          <t>(주)경성종합공구</t>
        </is>
      </c>
      <c r="C24" s="17" t="n">
        <v>12</v>
      </c>
      <c r="D24" s="18">
        <f>C24/C$34</f>
        <v/>
      </c>
      <c r="E24" s="18">
        <f>E23+D24</f>
        <v/>
      </c>
      <c r="F24" s="17" t="n">
        <v>52</v>
      </c>
    </row>
    <row r="25">
      <c r="A25" s="14" t="n">
        <v>23</v>
      </c>
      <c r="B25" s="15" t="inlineStr">
        <is>
          <t>(주)동영툴링</t>
        </is>
      </c>
      <c r="C25" s="17" t="n">
        <v>12</v>
      </c>
      <c r="D25" s="18">
        <f>C25/C$34</f>
        <v/>
      </c>
      <c r="E25" s="18">
        <f>E24+D25</f>
        <v/>
      </c>
      <c r="F25" s="17" t="n">
        <v>12</v>
      </c>
    </row>
    <row r="26">
      <c r="A26" s="14" t="n">
        <v>24</v>
      </c>
      <c r="B26" s="15" t="inlineStr">
        <is>
          <t>유성상공사</t>
        </is>
      </c>
      <c r="C26" s="17" t="n">
        <v>10</v>
      </c>
      <c r="D26" s="18">
        <f>C26/C$34</f>
        <v/>
      </c>
      <c r="E26" s="18">
        <f>E25+D26</f>
        <v/>
      </c>
      <c r="F26" s="17" t="n">
        <v>111</v>
      </c>
    </row>
    <row r="27">
      <c r="A27" s="14" t="n">
        <v>25</v>
      </c>
      <c r="B27" s="15" t="inlineStr">
        <is>
          <t>세운상사</t>
        </is>
      </c>
      <c r="C27" s="17" t="n">
        <v>9</v>
      </c>
      <c r="D27" s="18">
        <f>C27/C$34</f>
        <v/>
      </c>
      <c r="E27" s="18">
        <f>E26+D27</f>
        <v/>
      </c>
      <c r="F27" s="17" t="n">
        <v>67</v>
      </c>
    </row>
    <row r="28">
      <c r="A28" s="14" t="n">
        <v>26</v>
      </c>
      <c r="B28" s="15" t="inlineStr">
        <is>
          <t>유성종합공구</t>
        </is>
      </c>
      <c r="C28" s="17" t="n">
        <v>7</v>
      </c>
      <c r="D28" s="18">
        <f>C28/C$34</f>
        <v/>
      </c>
      <c r="E28" s="18">
        <f>E27+D28</f>
        <v/>
      </c>
      <c r="F28" s="17" t="n">
        <v>88</v>
      </c>
    </row>
    <row r="29">
      <c r="A29" s="14" t="n">
        <v>27</v>
      </c>
      <c r="B29" s="15" t="inlineStr">
        <is>
          <t>(주)금형티에스</t>
        </is>
      </c>
      <c r="C29" s="17" t="n">
        <v>7</v>
      </c>
      <c r="D29" s="18">
        <f>C29/C$34</f>
        <v/>
      </c>
      <c r="E29" s="18">
        <f>E28+D29</f>
        <v/>
      </c>
      <c r="F29" s="17" t="n">
        <v>171</v>
      </c>
    </row>
    <row r="30">
      <c r="A30" s="14" t="n">
        <v>28</v>
      </c>
      <c r="B30" s="15" t="inlineStr">
        <is>
          <t>(주)일등정밀공구(안산)</t>
        </is>
      </c>
      <c r="C30" s="17" t="n">
        <v>6</v>
      </c>
      <c r="D30" s="18">
        <f>C30/C$34</f>
        <v/>
      </c>
      <c r="E30" s="18">
        <f>E29+D30</f>
        <v/>
      </c>
      <c r="F30" s="17" t="n">
        <v>120</v>
      </c>
    </row>
    <row r="31">
      <c r="A31" s="14" t="n">
        <v>29</v>
      </c>
      <c r="B31" s="15" t="inlineStr">
        <is>
          <t>유성테크</t>
        </is>
      </c>
      <c r="C31" s="17" t="n">
        <v>6</v>
      </c>
      <c r="D31" s="18">
        <f>C31/C$34</f>
        <v/>
      </c>
      <c r="E31" s="18">
        <f>E30+D31</f>
        <v/>
      </c>
      <c r="F31" s="17" t="n">
        <v>18</v>
      </c>
    </row>
    <row r="32">
      <c r="A32" s="14" t="n">
        <v>30</v>
      </c>
      <c r="B32" s="15" t="inlineStr">
        <is>
          <t>대한초경공구</t>
        </is>
      </c>
      <c r="C32" s="17" t="n">
        <v>3</v>
      </c>
      <c r="D32" s="18">
        <f>C32/C$34</f>
        <v/>
      </c>
      <c r="E32" s="18">
        <f>E31+D32</f>
        <v/>
      </c>
      <c r="F32" s="17" t="n">
        <v>10</v>
      </c>
    </row>
    <row r="33">
      <c r="A33" s="14" t="n">
        <v>31</v>
      </c>
      <c r="B33" s="15" t="inlineStr">
        <is>
          <t>(주)성환공구</t>
        </is>
      </c>
      <c r="C33" s="17" t="n">
        <v>2</v>
      </c>
      <c r="D33" s="18">
        <f>C33/C$34</f>
        <v/>
      </c>
      <c r="E33" s="18">
        <f>E32+D33</f>
        <v/>
      </c>
      <c r="F33" s="17" t="n">
        <v>70</v>
      </c>
    </row>
    <row r="34">
      <c r="A34" s="19" t="inlineStr">
        <is>
          <t>합계</t>
        </is>
      </c>
      <c r="B34" s="19" t="n"/>
      <c r="C34" s="20">
        <f>SUM(C3:C33)</f>
        <v/>
      </c>
      <c r="D34" s="21" t="n">
        <v>1</v>
      </c>
      <c r="E34" s="19" t="n"/>
      <c r="F34" s="20">
        <f>SUM(F3:F33)</f>
        <v/>
      </c>
    </row>
  </sheetData>
  <mergeCells count="2">
    <mergeCell ref="A1:F1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2024년 3월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3월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원영공구(구,원영상사)</t>
        </is>
      </c>
      <c r="C3" s="7" t="n">
        <v>610</v>
      </c>
      <c r="D3" s="8">
        <f>C3/C$33</f>
        <v/>
      </c>
      <c r="E3" s="8">
        <f>D3</f>
        <v/>
      </c>
      <c r="F3" s="7" t="n">
        <v>2394</v>
      </c>
    </row>
    <row r="4">
      <c r="A4" s="4" t="n">
        <v>2</v>
      </c>
      <c r="B4" s="5" t="inlineStr">
        <is>
          <t>창성툴(코고툴)</t>
        </is>
      </c>
      <c r="C4" s="7" t="n">
        <v>262</v>
      </c>
      <c r="D4" s="8">
        <f>C4/C$33</f>
        <v/>
      </c>
      <c r="E4" s="8">
        <f>E3+D4</f>
        <v/>
      </c>
      <c r="F4" s="7" t="n">
        <v>1381</v>
      </c>
    </row>
    <row r="5">
      <c r="A5" s="4" t="n">
        <v>3</v>
      </c>
      <c r="B5" s="5" t="inlineStr">
        <is>
          <t>케이엠툴링</t>
        </is>
      </c>
      <c r="C5" s="7" t="n">
        <v>215</v>
      </c>
      <c r="D5" s="8">
        <f>C5/C$33</f>
        <v/>
      </c>
      <c r="E5" s="8">
        <f>E4+D5</f>
        <v/>
      </c>
      <c r="F5" s="7" t="n">
        <v>658</v>
      </c>
    </row>
    <row r="6">
      <c r="A6" s="4" t="n">
        <v>4</v>
      </c>
      <c r="B6" s="5" t="inlineStr">
        <is>
          <t>덕원통상(사용금지)-덕원종합상사로 처리해주세요</t>
        </is>
      </c>
      <c r="C6" s="7" t="n">
        <v>193</v>
      </c>
      <c r="D6" s="8">
        <f>C6/C$33</f>
        <v/>
      </c>
      <c r="E6" s="8">
        <f>E5+D6</f>
        <v/>
      </c>
      <c r="F6" s="7" t="n">
        <v>1058</v>
      </c>
    </row>
    <row r="7">
      <c r="A7" s="4" t="n">
        <v>5</v>
      </c>
      <c r="B7" s="5" t="inlineStr">
        <is>
          <t>초경툴(구,성민TOOL)-코고툴</t>
        </is>
      </c>
      <c r="C7" s="7" t="n">
        <v>145</v>
      </c>
      <c r="D7" s="8">
        <f>C7/C$33</f>
        <v/>
      </c>
      <c r="E7" s="8">
        <f>E6+D7</f>
        <v/>
      </c>
      <c r="F7" s="7" t="n">
        <v>2176</v>
      </c>
    </row>
    <row r="8">
      <c r="A8" s="14" t="n">
        <v>6</v>
      </c>
      <c r="B8" s="15" t="inlineStr">
        <is>
          <t>유진상사(문래)</t>
        </is>
      </c>
      <c r="C8" s="17" t="n">
        <v>117</v>
      </c>
      <c r="D8" s="18">
        <f>C8/C$33</f>
        <v/>
      </c>
      <c r="E8" s="18">
        <f>E7+D8</f>
        <v/>
      </c>
      <c r="F8" s="17" t="n">
        <v>432</v>
      </c>
    </row>
    <row r="9">
      <c r="A9" s="14" t="n">
        <v>7</v>
      </c>
      <c r="B9" s="15" t="inlineStr">
        <is>
          <t>동명ENG-코고툴(재연마)</t>
        </is>
      </c>
      <c r="C9" s="17" t="n">
        <v>98</v>
      </c>
      <c r="D9" s="18">
        <f>C9/C$33</f>
        <v/>
      </c>
      <c r="E9" s="18">
        <f>E8+D9</f>
        <v/>
      </c>
      <c r="F9" s="17" t="n">
        <v>585</v>
      </c>
    </row>
    <row r="10">
      <c r="A10" s="14" t="n">
        <v>8</v>
      </c>
      <c r="B10" s="15" t="inlineStr">
        <is>
          <t>(주)코리아테크닉스</t>
        </is>
      </c>
      <c r="C10" s="17" t="n">
        <v>77</v>
      </c>
      <c r="D10" s="18">
        <f>C10/C$33</f>
        <v/>
      </c>
      <c r="E10" s="18">
        <f>E9+D10</f>
        <v/>
      </c>
      <c r="F10" s="17" t="n">
        <v>252</v>
      </c>
    </row>
    <row r="11">
      <c r="A11" s="14" t="n">
        <v>9</v>
      </c>
      <c r="B11" s="15" t="inlineStr">
        <is>
          <t>대우툴링</t>
        </is>
      </c>
      <c r="C11" s="17" t="n">
        <v>75</v>
      </c>
      <c r="D11" s="18">
        <f>C11/C$33</f>
        <v/>
      </c>
      <c r="E11" s="18">
        <f>E10+D11</f>
        <v/>
      </c>
      <c r="F11" s="17" t="n">
        <v>736</v>
      </c>
    </row>
    <row r="12">
      <c r="A12" s="14" t="n">
        <v>10</v>
      </c>
      <c r="B12" s="15" t="inlineStr">
        <is>
          <t>연성기공(주)</t>
        </is>
      </c>
      <c r="C12" s="17" t="n">
        <v>68</v>
      </c>
      <c r="D12" s="18">
        <f>C12/C$33</f>
        <v/>
      </c>
      <c r="E12" s="18">
        <f>E11+D12</f>
        <v/>
      </c>
      <c r="F12" s="17" t="n">
        <v>594</v>
      </c>
    </row>
    <row r="13">
      <c r="A13" s="14" t="n">
        <v>11</v>
      </c>
      <c r="B13" s="15" t="inlineStr">
        <is>
          <t>(주)세종종합상사(미산동)</t>
        </is>
      </c>
      <c r="C13" s="17" t="n">
        <v>65</v>
      </c>
      <c r="D13" s="18">
        <f>C13/C$33</f>
        <v/>
      </c>
      <c r="E13" s="18">
        <f>E12+D13</f>
        <v/>
      </c>
      <c r="F13" s="17" t="n">
        <v>201</v>
      </c>
    </row>
    <row r="14">
      <c r="A14" s="14" t="n">
        <v>12</v>
      </c>
      <c r="B14" s="15" t="inlineStr">
        <is>
          <t>유비툴</t>
        </is>
      </c>
      <c r="C14" s="17" t="n">
        <v>53</v>
      </c>
      <c r="D14" s="18">
        <f>C14/C$33</f>
        <v/>
      </c>
      <c r="E14" s="18">
        <f>E13+D14</f>
        <v/>
      </c>
      <c r="F14" s="17" t="n">
        <v>1230</v>
      </c>
    </row>
    <row r="15">
      <c r="A15" s="14" t="n">
        <v>13</v>
      </c>
      <c r="B15" s="15" t="inlineStr">
        <is>
          <t>(주)태성피앤티</t>
        </is>
      </c>
      <c r="C15" s="17" t="n">
        <v>50</v>
      </c>
      <c r="D15" s="18">
        <f>C15/C$33</f>
        <v/>
      </c>
      <c r="E15" s="18">
        <f>E14+D15</f>
        <v/>
      </c>
      <c r="F15" s="17" t="n">
        <v>155</v>
      </c>
    </row>
    <row r="16">
      <c r="A16" s="14" t="n">
        <v>14</v>
      </c>
      <c r="B16" s="15" t="inlineStr">
        <is>
          <t>공구백화점(미산동)</t>
        </is>
      </c>
      <c r="C16" s="17" t="n">
        <v>46</v>
      </c>
      <c r="D16" s="18">
        <f>C16/C$33</f>
        <v/>
      </c>
      <c r="E16" s="18">
        <f>E15+D16</f>
        <v/>
      </c>
      <c r="F16" s="17" t="n">
        <v>239</v>
      </c>
    </row>
    <row r="17">
      <c r="A17" s="14" t="n">
        <v>15</v>
      </c>
      <c r="B17" s="15" t="inlineStr">
        <is>
          <t>강민툴링(비봉)</t>
        </is>
      </c>
      <c r="C17" s="17" t="n">
        <v>45</v>
      </c>
      <c r="D17" s="18">
        <f>C17/C$33</f>
        <v/>
      </c>
      <c r="E17" s="18">
        <f>E16+D17</f>
        <v/>
      </c>
      <c r="F17" s="17" t="n">
        <v>1619</v>
      </c>
    </row>
    <row r="18">
      <c r="A18" s="14" t="n">
        <v>16</v>
      </c>
      <c r="B18" s="15" t="inlineStr">
        <is>
          <t>반석공구</t>
        </is>
      </c>
      <c r="C18" s="17" t="n">
        <v>39</v>
      </c>
      <c r="D18" s="18">
        <f>C18/C$33</f>
        <v/>
      </c>
      <c r="E18" s="18">
        <f>E17+D18</f>
        <v/>
      </c>
      <c r="F18" s="17" t="n">
        <v>489</v>
      </c>
    </row>
    <row r="19">
      <c r="A19" s="14" t="n">
        <v>17</v>
      </c>
      <c r="B19" s="15" t="inlineStr">
        <is>
          <t>이엠티(EMT)</t>
        </is>
      </c>
      <c r="C19" s="17" t="n">
        <v>38</v>
      </c>
      <c r="D19" s="18">
        <f>C19/C$33</f>
        <v/>
      </c>
      <c r="E19" s="18">
        <f>E18+D19</f>
        <v/>
      </c>
      <c r="F19" s="17" t="n">
        <v>112</v>
      </c>
    </row>
    <row r="20">
      <c r="A20" s="14" t="n">
        <v>18</v>
      </c>
      <c r="B20" s="15" t="inlineStr">
        <is>
          <t>아이티공구</t>
        </is>
      </c>
      <c r="C20" s="17" t="n">
        <v>33</v>
      </c>
      <c r="D20" s="18">
        <f>C20/C$33</f>
        <v/>
      </c>
      <c r="E20" s="18">
        <f>E19+D20</f>
        <v/>
      </c>
      <c r="F20" s="17" t="n">
        <v>1070</v>
      </c>
    </row>
    <row r="21">
      <c r="A21" s="14" t="n">
        <v>19</v>
      </c>
      <c r="B21" s="15" t="inlineStr">
        <is>
          <t>아신상사</t>
        </is>
      </c>
      <c r="C21" s="17" t="n">
        <v>30</v>
      </c>
      <c r="D21" s="18">
        <f>C21/C$33</f>
        <v/>
      </c>
      <c r="E21" s="18">
        <f>E20+D21</f>
        <v/>
      </c>
      <c r="F21" s="17" t="n">
        <v>305</v>
      </c>
    </row>
    <row r="22">
      <c r="A22" s="14" t="n">
        <v>20</v>
      </c>
      <c r="B22" s="15" t="inlineStr">
        <is>
          <t>예일공구상사</t>
        </is>
      </c>
      <c r="C22" s="17" t="n">
        <v>23</v>
      </c>
      <c r="D22" s="18">
        <f>C22/C$33</f>
        <v/>
      </c>
      <c r="E22" s="18">
        <f>E21+D22</f>
        <v/>
      </c>
      <c r="F22" s="17" t="n">
        <v>205</v>
      </c>
    </row>
    <row r="23">
      <c r="A23" s="14" t="n">
        <v>21</v>
      </c>
      <c r="B23" s="15" t="inlineStr">
        <is>
          <t>(주)금형티에스</t>
        </is>
      </c>
      <c r="C23" s="17" t="n">
        <v>23</v>
      </c>
      <c r="D23" s="18">
        <f>C23/C$33</f>
        <v/>
      </c>
      <c r="E23" s="18">
        <f>E22+D23</f>
        <v/>
      </c>
      <c r="F23" s="17" t="n">
        <v>171</v>
      </c>
    </row>
    <row r="24">
      <c r="A24" s="14" t="n">
        <v>22</v>
      </c>
      <c r="B24" s="15" t="inlineStr">
        <is>
          <t>세진테크</t>
        </is>
      </c>
      <c r="C24" s="17" t="n">
        <v>21</v>
      </c>
      <c r="D24" s="18">
        <f>C24/C$33</f>
        <v/>
      </c>
      <c r="E24" s="18">
        <f>E23+D24</f>
        <v/>
      </c>
      <c r="F24" s="17" t="n">
        <v>96</v>
      </c>
    </row>
    <row r="25">
      <c r="A25" s="14" t="n">
        <v>23</v>
      </c>
      <c r="B25" s="15" t="inlineStr">
        <is>
          <t>코끼리공구</t>
        </is>
      </c>
      <c r="C25" s="17" t="n">
        <v>15</v>
      </c>
      <c r="D25" s="18">
        <f>C25/C$33</f>
        <v/>
      </c>
      <c r="E25" s="18">
        <f>E24+D25</f>
        <v/>
      </c>
      <c r="F25" s="17" t="n">
        <v>196</v>
      </c>
    </row>
    <row r="26">
      <c r="A26" s="14" t="n">
        <v>24</v>
      </c>
      <c r="B26" s="15" t="inlineStr">
        <is>
          <t>(주)공화공구</t>
        </is>
      </c>
      <c r="C26" s="17" t="n">
        <v>13</v>
      </c>
      <c r="D26" s="18">
        <f>C26/C$33</f>
        <v/>
      </c>
      <c r="E26" s="18">
        <f>E25+D26</f>
        <v/>
      </c>
      <c r="F26" s="17" t="n">
        <v>938</v>
      </c>
    </row>
    <row r="27">
      <c r="A27" s="14" t="n">
        <v>25</v>
      </c>
      <c r="B27" s="15" t="inlineStr">
        <is>
          <t>대명종합공구-코고툴(재연마)</t>
        </is>
      </c>
      <c r="C27" s="17" t="n">
        <v>10</v>
      </c>
      <c r="D27" s="18">
        <f>C27/C$33</f>
        <v/>
      </c>
      <c r="E27" s="18">
        <f>E26+D27</f>
        <v/>
      </c>
      <c r="F27" s="17" t="n">
        <v>44</v>
      </c>
    </row>
    <row r="28">
      <c r="A28" s="14" t="n">
        <v>26</v>
      </c>
      <c r="B28" s="15" t="inlineStr">
        <is>
          <t>금성툴테크</t>
        </is>
      </c>
      <c r="C28" s="17" t="n">
        <v>7</v>
      </c>
      <c r="D28" s="18">
        <f>C28/C$33</f>
        <v/>
      </c>
      <c r="E28" s="18">
        <f>E27+D28</f>
        <v/>
      </c>
      <c r="F28" s="17" t="n">
        <v>55</v>
      </c>
    </row>
    <row r="29">
      <c r="A29" s="14" t="n">
        <v>27</v>
      </c>
      <c r="B29" s="15" t="inlineStr">
        <is>
          <t>왕삼아공구</t>
        </is>
      </c>
      <c r="C29" s="17" t="n">
        <v>6</v>
      </c>
      <c r="D29" s="18">
        <f>C29/C$33</f>
        <v/>
      </c>
      <c r="E29" s="18">
        <f>E28+D29</f>
        <v/>
      </c>
      <c r="F29" s="17" t="n">
        <v>303</v>
      </c>
    </row>
    <row r="30">
      <c r="A30" s="14" t="n">
        <v>28</v>
      </c>
      <c r="B30" s="15" t="inlineStr">
        <is>
          <t>하나테크</t>
        </is>
      </c>
      <c r="C30" s="17" t="n">
        <v>6</v>
      </c>
      <c r="D30" s="18">
        <f>C30/C$33</f>
        <v/>
      </c>
      <c r="E30" s="18">
        <f>E29+D30</f>
        <v/>
      </c>
      <c r="F30" s="17" t="n">
        <v>6</v>
      </c>
    </row>
    <row r="31">
      <c r="A31" s="14" t="n">
        <v>29</v>
      </c>
      <c r="B31" s="15" t="inlineStr">
        <is>
          <t>유성상공사</t>
        </is>
      </c>
      <c r="C31" s="17" t="n">
        <v>2</v>
      </c>
      <c r="D31" s="18">
        <f>C31/C$33</f>
        <v/>
      </c>
      <c r="E31" s="18">
        <f>E30+D31</f>
        <v/>
      </c>
      <c r="F31" s="17" t="n">
        <v>111</v>
      </c>
    </row>
    <row r="32">
      <c r="A32" s="14" t="n">
        <v>30</v>
      </c>
      <c r="B32" s="15" t="inlineStr">
        <is>
          <t>태영종합공구</t>
        </is>
      </c>
      <c r="C32" s="17" t="n">
        <v>1</v>
      </c>
      <c r="D32" s="18">
        <f>C32/C$33</f>
        <v/>
      </c>
      <c r="E32" s="18">
        <f>E31+D32</f>
        <v/>
      </c>
      <c r="F32" s="17" t="n">
        <v>204</v>
      </c>
    </row>
    <row r="33">
      <c r="A33" s="19" t="inlineStr">
        <is>
          <t>합계</t>
        </is>
      </c>
      <c r="B33" s="19" t="n"/>
      <c r="C33" s="20">
        <f>SUM(C3:C32)</f>
        <v/>
      </c>
      <c r="D33" s="21" t="n">
        <v>1</v>
      </c>
      <c r="E33" s="19" t="n"/>
      <c r="F33" s="20">
        <f>SUM(F3:F32)</f>
        <v/>
      </c>
    </row>
  </sheetData>
  <mergeCells count="2">
    <mergeCell ref="A33:B3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2024년 4월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4월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초경툴(구,성민TOOL)-코고툴</t>
        </is>
      </c>
      <c r="C3" s="7" t="n">
        <v>289</v>
      </c>
      <c r="D3" s="8">
        <f>C3/C$37</f>
        <v/>
      </c>
      <c r="E3" s="8">
        <f>D3</f>
        <v/>
      </c>
      <c r="F3" s="7" t="n">
        <v>2176</v>
      </c>
    </row>
    <row r="4">
      <c r="A4" s="4" t="n">
        <v>2</v>
      </c>
      <c r="B4" s="5" t="inlineStr">
        <is>
          <t>덕원통상(사용금지)-덕원종합상사로 처리해주세요</t>
        </is>
      </c>
      <c r="C4" s="7" t="n">
        <v>211</v>
      </c>
      <c r="D4" s="8">
        <f>C4/C$37</f>
        <v/>
      </c>
      <c r="E4" s="8">
        <f>E3+D4</f>
        <v/>
      </c>
      <c r="F4" s="7" t="n">
        <v>1058</v>
      </c>
    </row>
    <row r="5">
      <c r="A5" s="4" t="n">
        <v>3</v>
      </c>
      <c r="B5" s="5" t="inlineStr">
        <is>
          <t>창성툴(코고툴)</t>
        </is>
      </c>
      <c r="C5" s="7" t="n">
        <v>205</v>
      </c>
      <c r="D5" s="8">
        <f>C5/C$37</f>
        <v/>
      </c>
      <c r="E5" s="8">
        <f>E4+D5</f>
        <v/>
      </c>
      <c r="F5" s="7" t="n">
        <v>1381</v>
      </c>
    </row>
    <row r="6">
      <c r="A6" s="4" t="n">
        <v>4</v>
      </c>
      <c r="B6" s="5" t="inlineStr">
        <is>
          <t>아이티공구</t>
        </is>
      </c>
      <c r="C6" s="7" t="n">
        <v>192</v>
      </c>
      <c r="D6" s="8">
        <f>C6/C$37</f>
        <v/>
      </c>
      <c r="E6" s="8">
        <f>E5+D6</f>
        <v/>
      </c>
      <c r="F6" s="7" t="n">
        <v>1070</v>
      </c>
    </row>
    <row r="7">
      <c r="A7" s="4" t="n">
        <v>5</v>
      </c>
      <c r="B7" s="5" t="inlineStr">
        <is>
          <t>연성기공(주)</t>
        </is>
      </c>
      <c r="C7" s="7" t="n">
        <v>156</v>
      </c>
      <c r="D7" s="8">
        <f>C7/C$37</f>
        <v/>
      </c>
      <c r="E7" s="8">
        <f>E6+D7</f>
        <v/>
      </c>
      <c r="F7" s="7" t="n">
        <v>594</v>
      </c>
    </row>
    <row r="8">
      <c r="A8" s="14" t="n">
        <v>6</v>
      </c>
      <c r="B8" s="15" t="inlineStr">
        <is>
          <t>(주)공화공구</t>
        </is>
      </c>
      <c r="C8" s="17" t="n">
        <v>124</v>
      </c>
      <c r="D8" s="18">
        <f>C8/C$37</f>
        <v/>
      </c>
      <c r="E8" s="18">
        <f>E7+D8</f>
        <v/>
      </c>
      <c r="F8" s="17" t="n">
        <v>938</v>
      </c>
    </row>
    <row r="9">
      <c r="A9" s="14" t="n">
        <v>7</v>
      </c>
      <c r="B9" s="15" t="inlineStr">
        <is>
          <t>유비툴</t>
        </is>
      </c>
      <c r="C9" s="17" t="n">
        <v>96</v>
      </c>
      <c r="D9" s="18">
        <f>C9/C$37</f>
        <v/>
      </c>
      <c r="E9" s="18">
        <f>E8+D9</f>
        <v/>
      </c>
      <c r="F9" s="17" t="n">
        <v>1230</v>
      </c>
    </row>
    <row r="10">
      <c r="A10" s="14" t="n">
        <v>8</v>
      </c>
      <c r="B10" s="15" t="inlineStr">
        <is>
          <t>반석공구</t>
        </is>
      </c>
      <c r="C10" s="17" t="n">
        <v>85</v>
      </c>
      <c r="D10" s="18">
        <f>C10/C$37</f>
        <v/>
      </c>
      <c r="E10" s="18">
        <f>E9+D10</f>
        <v/>
      </c>
      <c r="F10" s="17" t="n">
        <v>489</v>
      </c>
    </row>
    <row r="11">
      <c r="A11" s="14" t="n">
        <v>9</v>
      </c>
      <c r="B11" s="15" t="inlineStr">
        <is>
          <t>(주)금형티에스</t>
        </is>
      </c>
      <c r="C11" s="17" t="n">
        <v>83</v>
      </c>
      <c r="D11" s="18">
        <f>C11/C$37</f>
        <v/>
      </c>
      <c r="E11" s="18">
        <f>E10+D11</f>
        <v/>
      </c>
      <c r="F11" s="17" t="n">
        <v>171</v>
      </c>
    </row>
    <row r="12">
      <c r="A12" s="14" t="n">
        <v>10</v>
      </c>
      <c r="B12" s="15" t="inlineStr">
        <is>
          <t>케이엠툴링</t>
        </is>
      </c>
      <c r="C12" s="17" t="n">
        <v>82</v>
      </c>
      <c r="D12" s="18">
        <f>C12/C$37</f>
        <v/>
      </c>
      <c r="E12" s="18">
        <f>E11+D12</f>
        <v/>
      </c>
      <c r="F12" s="17" t="n">
        <v>658</v>
      </c>
    </row>
    <row r="13">
      <c r="A13" s="14" t="n">
        <v>11</v>
      </c>
      <c r="B13" s="15" t="inlineStr">
        <is>
          <t>(주)전진공구</t>
        </is>
      </c>
      <c r="C13" s="17" t="n">
        <v>60</v>
      </c>
      <c r="D13" s="18">
        <f>C13/C$37</f>
        <v/>
      </c>
      <c r="E13" s="18">
        <f>E12+D13</f>
        <v/>
      </c>
      <c r="F13" s="17" t="n">
        <v>60</v>
      </c>
    </row>
    <row r="14">
      <c r="A14" s="14" t="n">
        <v>12</v>
      </c>
      <c r="B14" s="15" t="inlineStr">
        <is>
          <t>(주)코리아테크닉스</t>
        </is>
      </c>
      <c r="C14" s="17" t="n">
        <v>43</v>
      </c>
      <c r="D14" s="18">
        <f>C14/C$37</f>
        <v/>
      </c>
      <c r="E14" s="18">
        <f>E13+D14</f>
        <v/>
      </c>
      <c r="F14" s="17" t="n">
        <v>252</v>
      </c>
    </row>
    <row r="15">
      <c r="A15" s="14" t="n">
        <v>13</v>
      </c>
      <c r="B15" s="15" t="inlineStr">
        <is>
          <t>원영공구(구,원영상사)</t>
        </is>
      </c>
      <c r="C15" s="17" t="n">
        <v>41</v>
      </c>
      <c r="D15" s="18">
        <f>C15/C$37</f>
        <v/>
      </c>
      <c r="E15" s="18">
        <f>E14+D15</f>
        <v/>
      </c>
      <c r="F15" s="17" t="n">
        <v>2394</v>
      </c>
    </row>
    <row r="16">
      <c r="A16" s="14" t="n">
        <v>14</v>
      </c>
      <c r="B16" s="15" t="inlineStr">
        <is>
          <t>코끼리공구</t>
        </is>
      </c>
      <c r="C16" s="17" t="n">
        <v>40</v>
      </c>
      <c r="D16" s="18">
        <f>C16/C$37</f>
        <v/>
      </c>
      <c r="E16" s="18">
        <f>E15+D16</f>
        <v/>
      </c>
      <c r="F16" s="17" t="n">
        <v>196</v>
      </c>
    </row>
    <row r="17">
      <c r="A17" s="14" t="n">
        <v>15</v>
      </c>
      <c r="B17" s="15" t="inlineStr">
        <is>
          <t>E-tech(이테크)</t>
        </is>
      </c>
      <c r="C17" s="17" t="n">
        <v>36</v>
      </c>
      <c r="D17" s="18">
        <f>C17/C$37</f>
        <v/>
      </c>
      <c r="E17" s="18">
        <f>E16+D17</f>
        <v/>
      </c>
      <c r="F17" s="17" t="n">
        <v>65</v>
      </c>
    </row>
    <row r="18">
      <c r="A18" s="14" t="n">
        <v>16</v>
      </c>
      <c r="B18" s="15" t="inlineStr">
        <is>
          <t>뉴툴(New tool)</t>
        </is>
      </c>
      <c r="C18" s="17" t="n">
        <v>32</v>
      </c>
      <c r="D18" s="18">
        <f>C18/C$37</f>
        <v/>
      </c>
      <c r="E18" s="18">
        <f>E17+D18</f>
        <v/>
      </c>
      <c r="F18" s="17" t="n">
        <v>41</v>
      </c>
    </row>
    <row r="19">
      <c r="A19" s="14" t="n">
        <v>17</v>
      </c>
      <c r="B19" s="15" t="inlineStr">
        <is>
          <t>태영종합공구</t>
        </is>
      </c>
      <c r="C19" s="17" t="n">
        <v>24</v>
      </c>
      <c r="D19" s="18">
        <f>C19/C$37</f>
        <v/>
      </c>
      <c r="E19" s="18">
        <f>E18+D19</f>
        <v/>
      </c>
      <c r="F19" s="17" t="n">
        <v>204</v>
      </c>
    </row>
    <row r="20">
      <c r="A20" s="14" t="n">
        <v>18</v>
      </c>
      <c r="B20" s="15" t="inlineStr">
        <is>
          <t>강민툴링(비봉)</t>
        </is>
      </c>
      <c r="C20" s="17" t="n">
        <v>18</v>
      </c>
      <c r="D20" s="18">
        <f>C20/C$37</f>
        <v/>
      </c>
      <c r="E20" s="18">
        <f>E19+D20</f>
        <v/>
      </c>
      <c r="F20" s="17" t="n">
        <v>1619</v>
      </c>
    </row>
    <row r="21">
      <c r="A21" s="14" t="n">
        <v>19</v>
      </c>
      <c r="B21" s="15" t="inlineStr">
        <is>
          <t>유성상공사</t>
        </is>
      </c>
      <c r="C21" s="17" t="n">
        <v>18</v>
      </c>
      <c r="D21" s="18">
        <f>C21/C$37</f>
        <v/>
      </c>
      <c r="E21" s="18">
        <f>E20+D21</f>
        <v/>
      </c>
      <c r="F21" s="17" t="n">
        <v>111</v>
      </c>
    </row>
    <row r="22">
      <c r="A22" s="14" t="n">
        <v>20</v>
      </c>
      <c r="B22" s="15" t="inlineStr">
        <is>
          <t>왕삼아공구</t>
        </is>
      </c>
      <c r="C22" s="17" t="n">
        <v>17</v>
      </c>
      <c r="D22" s="18">
        <f>C22/C$37</f>
        <v/>
      </c>
      <c r="E22" s="18">
        <f>E21+D22</f>
        <v/>
      </c>
      <c r="F22" s="17" t="n">
        <v>303</v>
      </c>
    </row>
    <row r="23">
      <c r="A23" s="14" t="n">
        <v>21</v>
      </c>
      <c r="B23" s="15" t="inlineStr">
        <is>
          <t>미래상사</t>
        </is>
      </c>
      <c r="C23" s="17" t="n">
        <v>17</v>
      </c>
      <c r="D23" s="18">
        <f>C23/C$37</f>
        <v/>
      </c>
      <c r="E23" s="18">
        <f>E22+D23</f>
        <v/>
      </c>
      <c r="F23" s="17" t="n">
        <v>19</v>
      </c>
    </row>
    <row r="24">
      <c r="A24" s="14" t="n">
        <v>22</v>
      </c>
      <c r="B24" s="15" t="inlineStr">
        <is>
          <t>예일공구상사</t>
        </is>
      </c>
      <c r="C24" s="17" t="n">
        <v>14</v>
      </c>
      <c r="D24" s="18">
        <f>C24/C$37</f>
        <v/>
      </c>
      <c r="E24" s="18">
        <f>E23+D24</f>
        <v/>
      </c>
      <c r="F24" s="17" t="n">
        <v>205</v>
      </c>
    </row>
    <row r="25">
      <c r="A25" s="14" t="n">
        <v>23</v>
      </c>
      <c r="B25" s="15" t="inlineStr">
        <is>
          <t>유성종합공구</t>
        </is>
      </c>
      <c r="C25" s="17" t="n">
        <v>14</v>
      </c>
      <c r="D25" s="18">
        <f>C25/C$37</f>
        <v/>
      </c>
      <c r="E25" s="18">
        <f>E24+D25</f>
        <v/>
      </c>
      <c r="F25" s="17" t="n">
        <v>88</v>
      </c>
    </row>
    <row r="26">
      <c r="A26" s="14" t="n">
        <v>24</v>
      </c>
      <c r="B26" s="15" t="inlineStr">
        <is>
          <t>(주)한길툴링-코고툴</t>
        </is>
      </c>
      <c r="C26" s="17" t="n">
        <v>9</v>
      </c>
      <c r="D26" s="18">
        <f>C26/C$37</f>
        <v/>
      </c>
      <c r="E26" s="18">
        <f>E25+D26</f>
        <v/>
      </c>
      <c r="F26" s="17" t="n">
        <v>9</v>
      </c>
    </row>
    <row r="27">
      <c r="A27" s="14" t="n">
        <v>25</v>
      </c>
      <c r="B27" s="15" t="inlineStr">
        <is>
          <t>N.T.S(엔티에스)-코고툴</t>
        </is>
      </c>
      <c r="C27" s="17" t="n">
        <v>7</v>
      </c>
      <c r="D27" s="18">
        <f>C27/C$37</f>
        <v/>
      </c>
      <c r="E27" s="18">
        <f>E26+D27</f>
        <v/>
      </c>
      <c r="F27" s="17" t="n">
        <v>9</v>
      </c>
    </row>
    <row r="28">
      <c r="A28" s="14" t="n">
        <v>26</v>
      </c>
      <c r="B28" s="15" t="inlineStr">
        <is>
          <t>대륙기계공구</t>
        </is>
      </c>
      <c r="C28" s="17" t="n">
        <v>6</v>
      </c>
      <c r="D28" s="18">
        <f>C28/C$37</f>
        <v/>
      </c>
      <c r="E28" s="18">
        <f>E27+D28</f>
        <v/>
      </c>
      <c r="F28" s="17" t="n">
        <v>188</v>
      </c>
    </row>
    <row r="29">
      <c r="A29" s="14" t="n">
        <v>27</v>
      </c>
      <c r="B29" s="15" t="inlineStr">
        <is>
          <t>(주)일등정밀공구(안산)</t>
        </is>
      </c>
      <c r="C29" s="17" t="n">
        <v>5</v>
      </c>
      <c r="D29" s="18">
        <f>C29/C$37</f>
        <v/>
      </c>
      <c r="E29" s="18">
        <f>E28+D29</f>
        <v/>
      </c>
      <c r="F29" s="17" t="n">
        <v>120</v>
      </c>
    </row>
    <row r="30">
      <c r="A30" s="14" t="n">
        <v>28</v>
      </c>
      <c r="B30" s="15" t="inlineStr">
        <is>
          <t>공구백화점(미산동)</t>
        </is>
      </c>
      <c r="C30" s="17" t="n">
        <v>5</v>
      </c>
      <c r="D30" s="18">
        <f>C30/C$37</f>
        <v/>
      </c>
      <c r="E30" s="18">
        <f>E29+D30</f>
        <v/>
      </c>
      <c r="F30" s="17" t="n">
        <v>239</v>
      </c>
    </row>
    <row r="31">
      <c r="A31" s="14" t="n">
        <v>29</v>
      </c>
      <c r="B31" s="15" t="inlineStr">
        <is>
          <t>금성툴테크</t>
        </is>
      </c>
      <c r="C31" s="17" t="n">
        <v>3</v>
      </c>
      <c r="D31" s="18">
        <f>C31/C$37</f>
        <v/>
      </c>
      <c r="E31" s="18">
        <f>E30+D31</f>
        <v/>
      </c>
      <c r="F31" s="17" t="n">
        <v>55</v>
      </c>
    </row>
    <row r="32">
      <c r="A32" s="14" t="n">
        <v>30</v>
      </c>
      <c r="B32" s="15" t="inlineStr">
        <is>
          <t>이엠티(EMT)</t>
        </is>
      </c>
      <c r="C32" s="17" t="n">
        <v>3</v>
      </c>
      <c r="D32" s="18">
        <f>C32/C$37</f>
        <v/>
      </c>
      <c r="E32" s="18">
        <f>E31+D32</f>
        <v/>
      </c>
      <c r="F32" s="17" t="n">
        <v>112</v>
      </c>
    </row>
    <row r="33">
      <c r="A33" s="14" t="n">
        <v>31</v>
      </c>
      <c r="B33" s="15" t="inlineStr">
        <is>
          <t>(주)성환공구</t>
        </is>
      </c>
      <c r="C33" s="17" t="n">
        <v>1</v>
      </c>
      <c r="D33" s="18">
        <f>C33/C$37</f>
        <v/>
      </c>
      <c r="E33" s="18">
        <f>E32+D33</f>
        <v/>
      </c>
      <c r="F33" s="17" t="n">
        <v>70</v>
      </c>
    </row>
    <row r="34">
      <c r="A34" s="14" t="n">
        <v>32</v>
      </c>
      <c r="B34" s="15" t="inlineStr">
        <is>
          <t>대한초경공구</t>
        </is>
      </c>
      <c r="C34" s="17" t="n">
        <v>1</v>
      </c>
      <c r="D34" s="18">
        <f>C34/C$37</f>
        <v/>
      </c>
      <c r="E34" s="18">
        <f>E33+D34</f>
        <v/>
      </c>
      <c r="F34" s="17" t="n">
        <v>10</v>
      </c>
    </row>
    <row r="35">
      <c r="A35" s="14" t="n">
        <v>33</v>
      </c>
      <c r="B35" s="15" t="inlineStr">
        <is>
          <t>삼성패턴-코고툴(재연마)</t>
        </is>
      </c>
      <c r="C35" s="17" t="n">
        <v>1</v>
      </c>
      <c r="D35" s="18">
        <f>C35/C$37</f>
        <v/>
      </c>
      <c r="E35" s="18">
        <f>E34+D35</f>
        <v/>
      </c>
      <c r="F35" s="17" t="n">
        <v>1</v>
      </c>
    </row>
    <row r="36">
      <c r="A36" s="14" t="n">
        <v>34</v>
      </c>
      <c r="B36" s="15" t="inlineStr">
        <is>
          <t>광진테크</t>
        </is>
      </c>
      <c r="C36" s="17" t="n">
        <v>1</v>
      </c>
      <c r="D36" s="18">
        <f>C36/C$37</f>
        <v/>
      </c>
      <c r="E36" s="18">
        <f>E35+D36</f>
        <v/>
      </c>
      <c r="F36" s="17" t="n">
        <v>1</v>
      </c>
    </row>
    <row r="37">
      <c r="A37" s="19" t="inlineStr">
        <is>
          <t>합계</t>
        </is>
      </c>
      <c r="B37" s="19" t="n"/>
      <c r="C37" s="20">
        <f>SUM(C3:C36)</f>
        <v/>
      </c>
      <c r="D37" s="21" t="n">
        <v>1</v>
      </c>
      <c r="E37" s="19" t="n"/>
      <c r="F37" s="20">
        <f>SUM(F3:F36)</f>
        <v/>
      </c>
    </row>
  </sheetData>
  <mergeCells count="2">
    <mergeCell ref="A37:B37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2024년 5월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5월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초경툴(구,성민TOOL)-코고툴</t>
        </is>
      </c>
      <c r="C3" s="7" t="n">
        <v>311</v>
      </c>
      <c r="D3" s="8">
        <f>C3/C$33</f>
        <v/>
      </c>
      <c r="E3" s="8">
        <f>D3</f>
        <v/>
      </c>
      <c r="F3" s="7" t="n">
        <v>2176</v>
      </c>
    </row>
    <row r="4">
      <c r="A4" s="4" t="n">
        <v>2</v>
      </c>
      <c r="B4" s="5" t="inlineStr">
        <is>
          <t>원영공구(구,원영상사)</t>
        </is>
      </c>
      <c r="C4" s="7" t="n">
        <v>280</v>
      </c>
      <c r="D4" s="8">
        <f>C4/C$33</f>
        <v/>
      </c>
      <c r="E4" s="8">
        <f>E3+D4</f>
        <v/>
      </c>
      <c r="F4" s="7" t="n">
        <v>2394</v>
      </c>
    </row>
    <row r="5">
      <c r="A5" s="4" t="n">
        <v>3</v>
      </c>
      <c r="B5" s="5" t="inlineStr">
        <is>
          <t>유진상사(문래)</t>
        </is>
      </c>
      <c r="C5" s="7" t="n">
        <v>195</v>
      </c>
      <c r="D5" s="8">
        <f>C5/C$33</f>
        <v/>
      </c>
      <c r="E5" s="8">
        <f>E4+D5</f>
        <v/>
      </c>
      <c r="F5" s="7" t="n">
        <v>432</v>
      </c>
    </row>
    <row r="6">
      <c r="A6" s="4" t="n">
        <v>4</v>
      </c>
      <c r="B6" s="5" t="inlineStr">
        <is>
          <t>연성기공(주)</t>
        </is>
      </c>
      <c r="C6" s="7" t="n">
        <v>170</v>
      </c>
      <c r="D6" s="8">
        <f>C6/C$33</f>
        <v/>
      </c>
      <c r="E6" s="8">
        <f>E5+D6</f>
        <v/>
      </c>
      <c r="F6" s="7" t="n">
        <v>594</v>
      </c>
    </row>
    <row r="7">
      <c r="A7" s="4" t="n">
        <v>5</v>
      </c>
      <c r="B7" s="5" t="inlineStr">
        <is>
          <t>창성툴(코고툴)</t>
        </is>
      </c>
      <c r="C7" s="7" t="n">
        <v>165</v>
      </c>
      <c r="D7" s="8">
        <f>C7/C$33</f>
        <v/>
      </c>
      <c r="E7" s="8">
        <f>E6+D7</f>
        <v/>
      </c>
      <c r="F7" s="7" t="n">
        <v>1381</v>
      </c>
    </row>
    <row r="8">
      <c r="A8" s="14" t="n">
        <v>6</v>
      </c>
      <c r="B8" s="15" t="inlineStr">
        <is>
          <t>아신상사</t>
        </is>
      </c>
      <c r="C8" s="17" t="n">
        <v>87</v>
      </c>
      <c r="D8" s="18">
        <f>C8/C$33</f>
        <v/>
      </c>
      <c r="E8" s="18">
        <f>E7+D8</f>
        <v/>
      </c>
      <c r="F8" s="17" t="n">
        <v>305</v>
      </c>
    </row>
    <row r="9">
      <c r="A9" s="14" t="n">
        <v>7</v>
      </c>
      <c r="B9" s="15" t="inlineStr">
        <is>
          <t>(주)공화공구</t>
        </is>
      </c>
      <c r="C9" s="17" t="n">
        <v>78</v>
      </c>
      <c r="D9" s="18">
        <f>C9/C$33</f>
        <v/>
      </c>
      <c r="E9" s="18">
        <f>E8+D9</f>
        <v/>
      </c>
      <c r="F9" s="17" t="n">
        <v>938</v>
      </c>
    </row>
    <row r="10">
      <c r="A10" s="14" t="n">
        <v>8</v>
      </c>
      <c r="B10" s="15" t="inlineStr">
        <is>
          <t>신우툴링(남동)</t>
        </is>
      </c>
      <c r="C10" s="17" t="n">
        <v>70</v>
      </c>
      <c r="D10" s="18">
        <f>C10/C$33</f>
        <v/>
      </c>
      <c r="E10" s="18">
        <f>E9+D10</f>
        <v/>
      </c>
      <c r="F10" s="17" t="n">
        <v>444</v>
      </c>
    </row>
    <row r="11">
      <c r="A11" s="14" t="n">
        <v>9</v>
      </c>
      <c r="B11" s="15" t="inlineStr">
        <is>
          <t>덕원통상(사용금지)-덕원종합상사로 처리해주세요</t>
        </is>
      </c>
      <c r="C11" s="17" t="n">
        <v>66</v>
      </c>
      <c r="D11" s="18">
        <f>C11/C$33</f>
        <v/>
      </c>
      <c r="E11" s="18">
        <f>E10+D11</f>
        <v/>
      </c>
      <c r="F11" s="17" t="n">
        <v>1058</v>
      </c>
    </row>
    <row r="12">
      <c r="A12" s="14" t="n">
        <v>10</v>
      </c>
      <c r="B12" s="15" t="inlineStr">
        <is>
          <t>대우툴링</t>
        </is>
      </c>
      <c r="C12" s="17" t="n">
        <v>64</v>
      </c>
      <c r="D12" s="18">
        <f>C12/C$33</f>
        <v/>
      </c>
      <c r="E12" s="18">
        <f>E11+D12</f>
        <v/>
      </c>
      <c r="F12" s="17" t="n">
        <v>736</v>
      </c>
    </row>
    <row r="13">
      <c r="A13" s="14" t="n">
        <v>11</v>
      </c>
      <c r="B13" s="15" t="inlineStr">
        <is>
          <t>케이엠툴링</t>
        </is>
      </c>
      <c r="C13" s="17" t="n">
        <v>60</v>
      </c>
      <c r="D13" s="18">
        <f>C13/C$33</f>
        <v/>
      </c>
      <c r="E13" s="18">
        <f>E12+D13</f>
        <v/>
      </c>
      <c r="F13" s="17" t="n">
        <v>658</v>
      </c>
    </row>
    <row r="14">
      <c r="A14" s="14" t="n">
        <v>12</v>
      </c>
      <c r="B14" s="15" t="inlineStr">
        <is>
          <t>대륙기계공구</t>
        </is>
      </c>
      <c r="C14" s="17" t="n">
        <v>52</v>
      </c>
      <c r="D14" s="18">
        <f>C14/C$33</f>
        <v/>
      </c>
      <c r="E14" s="18">
        <f>E13+D14</f>
        <v/>
      </c>
      <c r="F14" s="17" t="n">
        <v>188</v>
      </c>
    </row>
    <row r="15">
      <c r="A15" s="14" t="n">
        <v>13</v>
      </c>
      <c r="B15" s="15" t="inlineStr">
        <is>
          <t>반석공구</t>
        </is>
      </c>
      <c r="C15" s="17" t="n">
        <v>49</v>
      </c>
      <c r="D15" s="18">
        <f>C15/C$33</f>
        <v/>
      </c>
      <c r="E15" s="18">
        <f>E14+D15</f>
        <v/>
      </c>
      <c r="F15" s="17" t="n">
        <v>489</v>
      </c>
    </row>
    <row r="16">
      <c r="A16" s="14" t="n">
        <v>14</v>
      </c>
      <c r="B16" s="15" t="inlineStr">
        <is>
          <t>아이티공구</t>
        </is>
      </c>
      <c r="C16" s="17" t="n">
        <v>48</v>
      </c>
      <c r="D16" s="18">
        <f>C16/C$33</f>
        <v/>
      </c>
      <c r="E16" s="18">
        <f>E15+D16</f>
        <v/>
      </c>
      <c r="F16" s="17" t="n">
        <v>1070</v>
      </c>
    </row>
    <row r="17">
      <c r="A17" s="14" t="n">
        <v>15</v>
      </c>
      <c r="B17" s="15" t="inlineStr">
        <is>
          <t>강민툴링(비봉)</t>
        </is>
      </c>
      <c r="C17" s="17" t="n">
        <v>45</v>
      </c>
      <c r="D17" s="18">
        <f>C17/C$33</f>
        <v/>
      </c>
      <c r="E17" s="18">
        <f>E16+D17</f>
        <v/>
      </c>
      <c r="F17" s="17" t="n">
        <v>1619</v>
      </c>
    </row>
    <row r="18">
      <c r="A18" s="14" t="n">
        <v>16</v>
      </c>
      <c r="B18" s="15" t="inlineStr">
        <is>
          <t>(주)일등정밀공구(안산)</t>
        </is>
      </c>
      <c r="C18" s="17" t="n">
        <v>44</v>
      </c>
      <c r="D18" s="18">
        <f>C18/C$33</f>
        <v/>
      </c>
      <c r="E18" s="18">
        <f>E17+D18</f>
        <v/>
      </c>
      <c r="F18" s="17" t="n">
        <v>120</v>
      </c>
    </row>
    <row r="19">
      <c r="A19" s="14" t="n">
        <v>17</v>
      </c>
      <c r="B19" s="15" t="inlineStr">
        <is>
          <t>유비툴</t>
        </is>
      </c>
      <c r="C19" s="17" t="n">
        <v>41</v>
      </c>
      <c r="D19" s="18">
        <f>C19/C$33</f>
        <v/>
      </c>
      <c r="E19" s="18">
        <f>E18+D19</f>
        <v/>
      </c>
      <c r="F19" s="17" t="n">
        <v>1230</v>
      </c>
    </row>
    <row r="20">
      <c r="A20" s="14" t="n">
        <v>18</v>
      </c>
      <c r="B20" s="15" t="inlineStr">
        <is>
          <t>예일공구상사</t>
        </is>
      </c>
      <c r="C20" s="17" t="n">
        <v>41</v>
      </c>
      <c r="D20" s="18">
        <f>C20/C$33</f>
        <v/>
      </c>
      <c r="E20" s="18">
        <f>E19+D20</f>
        <v/>
      </c>
      <c r="F20" s="17" t="n">
        <v>205</v>
      </c>
    </row>
    <row r="21">
      <c r="A21" s="14" t="n">
        <v>19</v>
      </c>
      <c r="B21" s="15" t="inlineStr">
        <is>
          <t>(주)경성종합공구</t>
        </is>
      </c>
      <c r="C21" s="17" t="n">
        <v>40</v>
      </c>
      <c r="D21" s="18">
        <f>C21/C$33</f>
        <v/>
      </c>
      <c r="E21" s="18">
        <f>E20+D21</f>
        <v/>
      </c>
      <c r="F21" s="17" t="n">
        <v>52</v>
      </c>
    </row>
    <row r="22">
      <c r="A22" s="14" t="n">
        <v>20</v>
      </c>
      <c r="B22" s="15" t="inlineStr">
        <is>
          <t>태영종합공구</t>
        </is>
      </c>
      <c r="C22" s="17" t="n">
        <v>34</v>
      </c>
      <c r="D22" s="18">
        <f>C22/C$33</f>
        <v/>
      </c>
      <c r="E22" s="18">
        <f>E21+D22</f>
        <v/>
      </c>
      <c r="F22" s="17" t="n">
        <v>204</v>
      </c>
    </row>
    <row r="23">
      <c r="A23" s="14" t="n">
        <v>21</v>
      </c>
      <c r="B23" s="15" t="inlineStr">
        <is>
          <t>공구백화점(미산동)</t>
        </is>
      </c>
      <c r="C23" s="17" t="n">
        <v>24</v>
      </c>
      <c r="D23" s="18">
        <f>C23/C$33</f>
        <v/>
      </c>
      <c r="E23" s="18">
        <f>E22+D23</f>
        <v/>
      </c>
      <c r="F23" s="17" t="n">
        <v>239</v>
      </c>
    </row>
    <row r="24">
      <c r="A24" s="14" t="n">
        <v>22</v>
      </c>
      <c r="B24" s="15" t="inlineStr">
        <is>
          <t>핫몰드엔지니어링주식회사-코고툴(재연마)</t>
        </is>
      </c>
      <c r="C24" s="17" t="n">
        <v>19</v>
      </c>
      <c r="D24" s="18">
        <f>C24/C$33</f>
        <v/>
      </c>
      <c r="E24" s="18">
        <f>E23+D24</f>
        <v/>
      </c>
      <c r="F24" s="17" t="n">
        <v>59</v>
      </c>
    </row>
    <row r="25">
      <c r="A25" s="14" t="n">
        <v>23</v>
      </c>
      <c r="B25" s="15" t="inlineStr">
        <is>
          <t>(주)금형티에스</t>
        </is>
      </c>
      <c r="C25" s="17" t="n">
        <v>12</v>
      </c>
      <c r="D25" s="18">
        <f>C25/C$33</f>
        <v/>
      </c>
      <c r="E25" s="18">
        <f>E24+D25</f>
        <v/>
      </c>
      <c r="F25" s="17" t="n">
        <v>171</v>
      </c>
    </row>
    <row r="26">
      <c r="A26" s="14" t="n">
        <v>24</v>
      </c>
      <c r="B26" s="15" t="inlineStr">
        <is>
          <t>이엠티(EMT)</t>
        </is>
      </c>
      <c r="C26" s="17" t="n">
        <v>10</v>
      </c>
      <c r="D26" s="18">
        <f>C26/C$33</f>
        <v/>
      </c>
      <c r="E26" s="18">
        <f>E25+D26</f>
        <v/>
      </c>
      <c r="F26" s="17" t="n">
        <v>112</v>
      </c>
    </row>
    <row r="27">
      <c r="A27" s="14" t="n">
        <v>25</v>
      </c>
      <c r="B27" s="15" t="inlineStr">
        <is>
          <t>금성툴테크</t>
        </is>
      </c>
      <c r="C27" s="17" t="n">
        <v>10</v>
      </c>
      <c r="D27" s="18">
        <f>C27/C$33</f>
        <v/>
      </c>
      <c r="E27" s="18">
        <f>E26+D27</f>
        <v/>
      </c>
      <c r="F27" s="17" t="n">
        <v>55</v>
      </c>
    </row>
    <row r="28">
      <c r="A28" s="14" t="n">
        <v>26</v>
      </c>
      <c r="B28" s="15" t="inlineStr">
        <is>
          <t>왕삼아공구</t>
        </is>
      </c>
      <c r="C28" s="17" t="n">
        <v>4</v>
      </c>
      <c r="D28" s="18">
        <f>C28/C$33</f>
        <v/>
      </c>
      <c r="E28" s="18">
        <f>E27+D28</f>
        <v/>
      </c>
      <c r="F28" s="17" t="n">
        <v>303</v>
      </c>
    </row>
    <row r="29">
      <c r="A29" s="14" t="n">
        <v>27</v>
      </c>
      <c r="B29" s="15" t="inlineStr">
        <is>
          <t>(주)성환공구</t>
        </is>
      </c>
      <c r="C29" s="17" t="n">
        <v>3</v>
      </c>
      <c r="D29" s="18">
        <f>C29/C$33</f>
        <v/>
      </c>
      <c r="E29" s="18">
        <f>E28+D29</f>
        <v/>
      </c>
      <c r="F29" s="17" t="n">
        <v>70</v>
      </c>
    </row>
    <row r="30">
      <c r="A30" s="14" t="n">
        <v>28</v>
      </c>
      <c r="B30" s="15" t="inlineStr">
        <is>
          <t>유성종합공구</t>
        </is>
      </c>
      <c r="C30" s="17" t="n">
        <v>2</v>
      </c>
      <c r="D30" s="18">
        <f>C30/C$33</f>
        <v/>
      </c>
      <c r="E30" s="18">
        <f>E29+D30</f>
        <v/>
      </c>
      <c r="F30" s="17" t="n">
        <v>88</v>
      </c>
    </row>
    <row r="31">
      <c r="A31" s="14" t="n">
        <v>29</v>
      </c>
      <c r="B31" s="15" t="inlineStr">
        <is>
          <t>유성상공사</t>
        </is>
      </c>
      <c r="C31" s="17" t="n">
        <v>2</v>
      </c>
      <c r="D31" s="18">
        <f>C31/C$33</f>
        <v/>
      </c>
      <c r="E31" s="18">
        <f>E30+D31</f>
        <v/>
      </c>
      <c r="F31" s="17" t="n">
        <v>111</v>
      </c>
    </row>
    <row r="32">
      <c r="A32" s="14" t="n">
        <v>30</v>
      </c>
      <c r="B32" s="15" t="inlineStr">
        <is>
          <t>대한초경공구</t>
        </is>
      </c>
      <c r="C32" s="17" t="n">
        <v>1</v>
      </c>
      <c r="D32" s="18">
        <f>C32/C$33</f>
        <v/>
      </c>
      <c r="E32" s="18">
        <f>E31+D32</f>
        <v/>
      </c>
      <c r="F32" s="17" t="n">
        <v>10</v>
      </c>
    </row>
    <row r="33">
      <c r="A33" s="19" t="inlineStr">
        <is>
          <t>합계</t>
        </is>
      </c>
      <c r="B33" s="19" t="n"/>
      <c r="C33" s="20">
        <f>SUM(C3:C32)</f>
        <v/>
      </c>
      <c r="D33" s="21" t="n">
        <v>1</v>
      </c>
      <c r="E33" s="19" t="n"/>
      <c r="F33" s="20">
        <f>SUM(F3:F32)</f>
        <v/>
      </c>
    </row>
  </sheetData>
  <mergeCells count="2">
    <mergeCell ref="A33:B3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2024년 6월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6월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강민툴링(비봉)</t>
        </is>
      </c>
      <c r="C3" s="7" t="n">
        <v>184</v>
      </c>
      <c r="D3" s="8">
        <f>C3/C$30</f>
        <v/>
      </c>
      <c r="E3" s="8">
        <f>D3</f>
        <v/>
      </c>
      <c r="F3" s="7" t="n">
        <v>1619</v>
      </c>
    </row>
    <row r="4">
      <c r="A4" s="4" t="n">
        <v>2</v>
      </c>
      <c r="B4" s="5" t="inlineStr">
        <is>
          <t>창성툴(코고툴)</t>
        </is>
      </c>
      <c r="C4" s="7" t="n">
        <v>158</v>
      </c>
      <c r="D4" s="8">
        <f>C4/C$30</f>
        <v/>
      </c>
      <c r="E4" s="8">
        <f>E3+D4</f>
        <v/>
      </c>
      <c r="F4" s="7" t="n">
        <v>1381</v>
      </c>
    </row>
    <row r="5">
      <c r="A5" s="4" t="n">
        <v>3</v>
      </c>
      <c r="B5" s="5" t="inlineStr">
        <is>
          <t>초경툴(구,성민TOOL)-코고툴</t>
        </is>
      </c>
      <c r="C5" s="7" t="n">
        <v>150</v>
      </c>
      <c r="D5" s="8">
        <f>C5/C$30</f>
        <v/>
      </c>
      <c r="E5" s="8">
        <f>E4+D5</f>
        <v/>
      </c>
      <c r="F5" s="7" t="n">
        <v>2176</v>
      </c>
    </row>
    <row r="6">
      <c r="A6" s="4" t="n">
        <v>4</v>
      </c>
      <c r="B6" s="5" t="inlineStr">
        <is>
          <t>연성기공(주)</t>
        </is>
      </c>
      <c r="C6" s="7" t="n">
        <v>100</v>
      </c>
      <c r="D6" s="8">
        <f>C6/C$30</f>
        <v/>
      </c>
      <c r="E6" s="8">
        <f>E5+D6</f>
        <v/>
      </c>
      <c r="F6" s="7" t="n">
        <v>594</v>
      </c>
    </row>
    <row r="7">
      <c r="A7" s="4" t="n">
        <v>5</v>
      </c>
      <c r="B7" s="5" t="inlineStr">
        <is>
          <t>상신툴링(병점)</t>
        </is>
      </c>
      <c r="C7" s="7" t="n">
        <v>98</v>
      </c>
      <c r="D7" s="8">
        <f>C7/C$30</f>
        <v/>
      </c>
      <c r="E7" s="8">
        <f>E6+D7</f>
        <v/>
      </c>
      <c r="F7" s="7" t="n">
        <v>202</v>
      </c>
    </row>
    <row r="8">
      <c r="A8" s="14" t="n">
        <v>6</v>
      </c>
      <c r="B8" s="15" t="inlineStr">
        <is>
          <t>(주)툴앤텍</t>
        </is>
      </c>
      <c r="C8" s="17" t="n">
        <v>97</v>
      </c>
      <c r="D8" s="18">
        <f>C8/C$30</f>
        <v/>
      </c>
      <c r="E8" s="18">
        <f>E7+D8</f>
        <v/>
      </c>
      <c r="F8" s="17" t="n">
        <v>118</v>
      </c>
    </row>
    <row r="9">
      <c r="A9" s="14" t="n">
        <v>7</v>
      </c>
      <c r="B9" s="15" t="inlineStr">
        <is>
          <t>유비툴</t>
        </is>
      </c>
      <c r="C9" s="17" t="n">
        <v>97</v>
      </c>
      <c r="D9" s="18">
        <f>C9/C$30</f>
        <v/>
      </c>
      <c r="E9" s="18">
        <f>E8+D9</f>
        <v/>
      </c>
      <c r="F9" s="17" t="n">
        <v>1230</v>
      </c>
    </row>
    <row r="10">
      <c r="A10" s="14" t="n">
        <v>8</v>
      </c>
      <c r="B10" s="15" t="inlineStr">
        <is>
          <t>원영공구(구,원영상사)</t>
        </is>
      </c>
      <c r="C10" s="17" t="n">
        <v>71</v>
      </c>
      <c r="D10" s="18">
        <f>C10/C$30</f>
        <v/>
      </c>
      <c r="E10" s="18">
        <f>E9+D10</f>
        <v/>
      </c>
      <c r="F10" s="17" t="n">
        <v>2394</v>
      </c>
    </row>
    <row r="11">
      <c r="A11" s="14" t="n">
        <v>9</v>
      </c>
      <c r="B11" s="15" t="inlineStr">
        <is>
          <t>동명ENG-코고툴(재연마)</t>
        </is>
      </c>
      <c r="C11" s="17" t="n">
        <v>70</v>
      </c>
      <c r="D11" s="18">
        <f>C11/C$30</f>
        <v/>
      </c>
      <c r="E11" s="18">
        <f>E10+D11</f>
        <v/>
      </c>
      <c r="F11" s="17" t="n">
        <v>585</v>
      </c>
    </row>
    <row r="12">
      <c r="A12" s="14" t="n">
        <v>10</v>
      </c>
      <c r="B12" s="15" t="inlineStr">
        <is>
          <t>덕원통상(사용금지)-덕원종합상사로 처리해주세요</t>
        </is>
      </c>
      <c r="C12" s="17" t="n">
        <v>66</v>
      </c>
      <c r="D12" s="18">
        <f>C12/C$30</f>
        <v/>
      </c>
      <c r="E12" s="18">
        <f>E11+D12</f>
        <v/>
      </c>
      <c r="F12" s="17" t="n">
        <v>1058</v>
      </c>
    </row>
    <row r="13">
      <c r="A13" s="14" t="n">
        <v>11</v>
      </c>
      <c r="B13" s="15" t="inlineStr">
        <is>
          <t>다원정보통신</t>
        </is>
      </c>
      <c r="C13" s="17" t="n">
        <v>57</v>
      </c>
      <c r="D13" s="18">
        <f>C13/C$30</f>
        <v/>
      </c>
      <c r="E13" s="18">
        <f>E12+D13</f>
        <v/>
      </c>
      <c r="F13" s="17" t="n">
        <v>57</v>
      </c>
    </row>
    <row r="14">
      <c r="A14" s="14" t="n">
        <v>12</v>
      </c>
      <c r="B14" s="15" t="inlineStr">
        <is>
          <t>반석공구</t>
        </is>
      </c>
      <c r="C14" s="17" t="n">
        <v>48</v>
      </c>
      <c r="D14" s="18">
        <f>C14/C$30</f>
        <v/>
      </c>
      <c r="E14" s="18">
        <f>E13+D14</f>
        <v/>
      </c>
      <c r="F14" s="17" t="n">
        <v>489</v>
      </c>
    </row>
    <row r="15">
      <c r="A15" s="14" t="n">
        <v>13</v>
      </c>
      <c r="B15" s="15" t="inlineStr">
        <is>
          <t>(주)공화공구</t>
        </is>
      </c>
      <c r="C15" s="17" t="n">
        <v>41</v>
      </c>
      <c r="D15" s="18">
        <f>C15/C$30</f>
        <v/>
      </c>
      <c r="E15" s="18">
        <f>E14+D15</f>
        <v/>
      </c>
      <c r="F15" s="17" t="n">
        <v>938</v>
      </c>
    </row>
    <row r="16">
      <c r="A16" s="14" t="n">
        <v>14</v>
      </c>
      <c r="B16" s="15" t="inlineStr">
        <is>
          <t>세진테크</t>
        </is>
      </c>
      <c r="C16" s="17" t="n">
        <v>29</v>
      </c>
      <c r="D16" s="18">
        <f>C16/C$30</f>
        <v/>
      </c>
      <c r="E16" s="18">
        <f>E15+D16</f>
        <v/>
      </c>
      <c r="F16" s="17" t="n">
        <v>96</v>
      </c>
    </row>
    <row r="17">
      <c r="A17" s="14" t="n">
        <v>15</v>
      </c>
      <c r="B17" s="15" t="inlineStr">
        <is>
          <t>공구백화점(미산동)</t>
        </is>
      </c>
      <c r="C17" s="17" t="n">
        <v>29</v>
      </c>
      <c r="D17" s="18">
        <f>C17/C$30</f>
        <v/>
      </c>
      <c r="E17" s="18">
        <f>E16+D17</f>
        <v/>
      </c>
      <c r="F17" s="17" t="n">
        <v>239</v>
      </c>
    </row>
    <row r="18">
      <c r="A18" s="14" t="n">
        <v>16</v>
      </c>
      <c r="B18" s="15" t="inlineStr">
        <is>
          <t>태영종합공구</t>
        </is>
      </c>
      <c r="C18" s="17" t="n">
        <v>23</v>
      </c>
      <c r="D18" s="18">
        <f>C18/C$30</f>
        <v/>
      </c>
      <c r="E18" s="18">
        <f>E17+D18</f>
        <v/>
      </c>
      <c r="F18" s="17" t="n">
        <v>204</v>
      </c>
    </row>
    <row r="19">
      <c r="A19" s="14" t="n">
        <v>17</v>
      </c>
      <c r="B19" s="15" t="inlineStr">
        <is>
          <t>금성툴테크</t>
        </is>
      </c>
      <c r="C19" s="17" t="n">
        <v>20</v>
      </c>
      <c r="D19" s="18">
        <f>C19/C$30</f>
        <v/>
      </c>
      <c r="E19" s="18">
        <f>E18+D19</f>
        <v/>
      </c>
      <c r="F19" s="17" t="n">
        <v>55</v>
      </c>
    </row>
    <row r="20">
      <c r="A20" s="14" t="n">
        <v>18</v>
      </c>
      <c r="B20" s="15" t="inlineStr">
        <is>
          <t>대명종합공구-코고툴(재연마)</t>
        </is>
      </c>
      <c r="C20" s="17" t="n">
        <v>16</v>
      </c>
      <c r="D20" s="18">
        <f>C20/C$30</f>
        <v/>
      </c>
      <c r="E20" s="18">
        <f>E19+D20</f>
        <v/>
      </c>
      <c r="F20" s="17" t="n">
        <v>44</v>
      </c>
    </row>
    <row r="21">
      <c r="A21" s="14" t="n">
        <v>19</v>
      </c>
      <c r="B21" s="15" t="inlineStr">
        <is>
          <t>(주)성환공구</t>
        </is>
      </c>
      <c r="C21" s="17" t="n">
        <v>10</v>
      </c>
      <c r="D21" s="18">
        <f>C21/C$30</f>
        <v/>
      </c>
      <c r="E21" s="18">
        <f>E20+D21</f>
        <v/>
      </c>
      <c r="F21" s="17" t="n">
        <v>70</v>
      </c>
    </row>
    <row r="22">
      <c r="A22" s="14" t="n">
        <v>20</v>
      </c>
      <c r="B22" s="15" t="inlineStr">
        <is>
          <t>유성상공사</t>
        </is>
      </c>
      <c r="C22" s="17" t="n">
        <v>9</v>
      </c>
      <c r="D22" s="18">
        <f>C22/C$30</f>
        <v/>
      </c>
      <c r="E22" s="18">
        <f>E21+D22</f>
        <v/>
      </c>
      <c r="F22" s="17" t="n">
        <v>111</v>
      </c>
    </row>
    <row r="23">
      <c r="A23" s="14" t="n">
        <v>21</v>
      </c>
      <c r="B23" s="15" t="inlineStr">
        <is>
          <t>유성테크</t>
        </is>
      </c>
      <c r="C23" s="17" t="n">
        <v>9</v>
      </c>
      <c r="D23" s="18">
        <f>C23/C$30</f>
        <v/>
      </c>
      <c r="E23" s="18">
        <f>E22+D23</f>
        <v/>
      </c>
      <c r="F23" s="17" t="n">
        <v>18</v>
      </c>
    </row>
    <row r="24">
      <c r="A24" s="14" t="n">
        <v>22</v>
      </c>
      <c r="B24" s="15" t="inlineStr">
        <is>
          <t>영창툴링</t>
        </is>
      </c>
      <c r="C24" s="17" t="n">
        <v>8</v>
      </c>
      <c r="D24" s="18">
        <f>C24/C$30</f>
        <v/>
      </c>
      <c r="E24" s="18">
        <f>E23+D24</f>
        <v/>
      </c>
      <c r="F24" s="17" t="n">
        <v>99</v>
      </c>
    </row>
    <row r="25">
      <c r="A25" s="14" t="n">
        <v>23</v>
      </c>
      <c r="B25" s="15" t="inlineStr">
        <is>
          <t>유진상사(문래)</t>
        </is>
      </c>
      <c r="C25" s="17" t="n">
        <v>8</v>
      </c>
      <c r="D25" s="18">
        <f>C25/C$30</f>
        <v/>
      </c>
      <c r="E25" s="18">
        <f>E24+D25</f>
        <v/>
      </c>
      <c r="F25" s="17" t="n">
        <v>432</v>
      </c>
    </row>
    <row r="26">
      <c r="A26" s="14" t="n">
        <v>24</v>
      </c>
      <c r="B26" s="15" t="inlineStr">
        <is>
          <t>세운상사</t>
        </is>
      </c>
      <c r="C26" s="17" t="n">
        <v>8</v>
      </c>
      <c r="D26" s="18">
        <f>C26/C$30</f>
        <v/>
      </c>
      <c r="E26" s="18">
        <f>E25+D26</f>
        <v/>
      </c>
      <c r="F26" s="17" t="n">
        <v>67</v>
      </c>
    </row>
    <row r="27">
      <c r="A27" s="14" t="n">
        <v>25</v>
      </c>
      <c r="B27" s="15" t="inlineStr">
        <is>
          <t>유성종합공구</t>
        </is>
      </c>
      <c r="C27" s="17" t="n">
        <v>7</v>
      </c>
      <c r="D27" s="18">
        <f>C27/C$30</f>
        <v/>
      </c>
      <c r="E27" s="18">
        <f>E26+D27</f>
        <v/>
      </c>
      <c r="F27" s="17" t="n">
        <v>88</v>
      </c>
    </row>
    <row r="28">
      <c r="A28" s="14" t="n">
        <v>26</v>
      </c>
      <c r="B28" s="15" t="inlineStr">
        <is>
          <t>아이티공구</t>
        </is>
      </c>
      <c r="C28" s="17" t="n">
        <v>2</v>
      </c>
      <c r="D28" s="18">
        <f>C28/C$30</f>
        <v/>
      </c>
      <c r="E28" s="18">
        <f>E27+D28</f>
        <v/>
      </c>
      <c r="F28" s="17" t="n">
        <v>1070</v>
      </c>
    </row>
    <row r="29">
      <c r="A29" s="14" t="n">
        <v>27</v>
      </c>
      <c r="B29" s="15" t="inlineStr">
        <is>
          <t>N.T.S(엔티에스)-코고툴</t>
        </is>
      </c>
      <c r="C29" s="17" t="n">
        <v>2</v>
      </c>
      <c r="D29" s="18">
        <f>C29/C$30</f>
        <v/>
      </c>
      <c r="E29" s="18">
        <f>E28+D29</f>
        <v/>
      </c>
      <c r="F29" s="17" t="n">
        <v>9</v>
      </c>
    </row>
    <row r="30">
      <c r="A30" s="19" t="inlineStr">
        <is>
          <t>합계</t>
        </is>
      </c>
      <c r="B30" s="19" t="n"/>
      <c r="C30" s="20">
        <f>SUM(C3:C29)</f>
        <v/>
      </c>
      <c r="D30" s="21" t="n">
        <v>1</v>
      </c>
      <c r="E30" s="19" t="n"/>
      <c r="F30" s="20">
        <f>SUM(F3:F29)</f>
        <v/>
      </c>
    </row>
  </sheetData>
  <mergeCells count="2">
    <mergeCell ref="A30:B30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2024년 7월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7월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강민툴링(비봉)</t>
        </is>
      </c>
      <c r="C3" s="7" t="n">
        <v>258</v>
      </c>
      <c r="D3" s="8">
        <f>C3/C$33</f>
        <v/>
      </c>
      <c r="E3" s="8">
        <f>D3</f>
        <v/>
      </c>
      <c r="F3" s="7" t="n">
        <v>1619</v>
      </c>
    </row>
    <row r="4">
      <c r="A4" s="4" t="n">
        <v>2</v>
      </c>
      <c r="B4" s="5" t="inlineStr">
        <is>
          <t>원영공구(구,원영상사)</t>
        </is>
      </c>
      <c r="C4" s="7" t="n">
        <v>241</v>
      </c>
      <c r="D4" s="8">
        <f>C4/C$33</f>
        <v/>
      </c>
      <c r="E4" s="8">
        <f>E3+D4</f>
        <v/>
      </c>
      <c r="F4" s="7" t="n">
        <v>2394</v>
      </c>
    </row>
    <row r="5">
      <c r="A5" s="4" t="n">
        <v>3</v>
      </c>
      <c r="B5" s="5" t="inlineStr">
        <is>
          <t>아이티공구</t>
        </is>
      </c>
      <c r="C5" s="7" t="n">
        <v>169</v>
      </c>
      <c r="D5" s="8">
        <f>C5/C$33</f>
        <v/>
      </c>
      <c r="E5" s="8">
        <f>E4+D5</f>
        <v/>
      </c>
      <c r="F5" s="7" t="n">
        <v>1070</v>
      </c>
    </row>
    <row r="6">
      <c r="A6" s="4" t="n">
        <v>4</v>
      </c>
      <c r="B6" s="5" t="inlineStr">
        <is>
          <t>초경툴(구,성민TOOL)-코고툴</t>
        </is>
      </c>
      <c r="C6" s="7" t="n">
        <v>151</v>
      </c>
      <c r="D6" s="8">
        <f>C6/C$33</f>
        <v/>
      </c>
      <c r="E6" s="8">
        <f>E5+D6</f>
        <v/>
      </c>
      <c r="F6" s="7" t="n">
        <v>2176</v>
      </c>
    </row>
    <row r="7">
      <c r="A7" s="4" t="n">
        <v>5</v>
      </c>
      <c r="B7" s="5" t="inlineStr">
        <is>
          <t>대우툴링</t>
        </is>
      </c>
      <c r="C7" s="7" t="n">
        <v>102</v>
      </c>
      <c r="D7" s="8">
        <f>C7/C$33</f>
        <v/>
      </c>
      <c r="E7" s="8">
        <f>E6+D7</f>
        <v/>
      </c>
      <c r="F7" s="7" t="n">
        <v>736</v>
      </c>
    </row>
    <row r="8">
      <c r="A8" s="14" t="n">
        <v>6</v>
      </c>
      <c r="B8" s="15" t="inlineStr">
        <is>
          <t>(주)공화공구</t>
        </is>
      </c>
      <c r="C8" s="17" t="n">
        <v>100</v>
      </c>
      <c r="D8" s="18">
        <f>C8/C$33</f>
        <v/>
      </c>
      <c r="E8" s="18">
        <f>E7+D8</f>
        <v/>
      </c>
      <c r="F8" s="17" t="n">
        <v>938</v>
      </c>
    </row>
    <row r="9">
      <c r="A9" s="14" t="n">
        <v>7</v>
      </c>
      <c r="B9" s="15" t="inlineStr">
        <is>
          <t>덕원통상(사용금지)-덕원종합상사로 처리해주세요</t>
        </is>
      </c>
      <c r="C9" s="17" t="n">
        <v>95</v>
      </c>
      <c r="D9" s="18">
        <f>C9/C$33</f>
        <v/>
      </c>
      <c r="E9" s="18">
        <f>E8+D9</f>
        <v/>
      </c>
      <c r="F9" s="17" t="n">
        <v>1058</v>
      </c>
    </row>
    <row r="10">
      <c r="A10" s="14" t="n">
        <v>8</v>
      </c>
      <c r="B10" s="15" t="inlineStr">
        <is>
          <t>창성툴(코고툴)</t>
        </is>
      </c>
      <c r="C10" s="17" t="n">
        <v>91</v>
      </c>
      <c r="D10" s="18">
        <f>C10/C$33</f>
        <v/>
      </c>
      <c r="E10" s="18">
        <f>E9+D10</f>
        <v/>
      </c>
      <c r="F10" s="17" t="n">
        <v>1381</v>
      </c>
    </row>
    <row r="11">
      <c r="A11" s="14" t="n">
        <v>9</v>
      </c>
      <c r="B11" s="15" t="inlineStr">
        <is>
          <t>유비툴</t>
        </is>
      </c>
      <c r="C11" s="17" t="n">
        <v>61</v>
      </c>
      <c r="D11" s="18">
        <f>C11/C$33</f>
        <v/>
      </c>
      <c r="E11" s="18">
        <f>E10+D11</f>
        <v/>
      </c>
      <c r="F11" s="17" t="n">
        <v>1230</v>
      </c>
    </row>
    <row r="12">
      <c r="A12" s="14" t="n">
        <v>10</v>
      </c>
      <c r="B12" s="15" t="inlineStr">
        <is>
          <t>반석공구</t>
        </is>
      </c>
      <c r="C12" s="17" t="n">
        <v>50</v>
      </c>
      <c r="D12" s="18">
        <f>C12/C$33</f>
        <v/>
      </c>
      <c r="E12" s="18">
        <f>E11+D12</f>
        <v/>
      </c>
      <c r="F12" s="17" t="n">
        <v>489</v>
      </c>
    </row>
    <row r="13">
      <c r="A13" s="14" t="n">
        <v>11</v>
      </c>
      <c r="B13" s="15" t="inlineStr">
        <is>
          <t>아신상사</t>
        </is>
      </c>
      <c r="C13" s="17" t="n">
        <v>42</v>
      </c>
      <c r="D13" s="18">
        <f>C13/C$33</f>
        <v/>
      </c>
      <c r="E13" s="18">
        <f>E12+D13</f>
        <v/>
      </c>
      <c r="F13" s="17" t="n">
        <v>305</v>
      </c>
    </row>
    <row r="14">
      <c r="A14" s="14" t="n">
        <v>12</v>
      </c>
      <c r="B14" s="15" t="inlineStr">
        <is>
          <t>유성상공사</t>
        </is>
      </c>
      <c r="C14" s="17" t="n">
        <v>31</v>
      </c>
      <c r="D14" s="18">
        <f>C14/C$33</f>
        <v/>
      </c>
      <c r="E14" s="18">
        <f>E13+D14</f>
        <v/>
      </c>
      <c r="F14" s="17" t="n">
        <v>111</v>
      </c>
    </row>
    <row r="15">
      <c r="A15" s="14" t="n">
        <v>13</v>
      </c>
      <c r="B15" s="15" t="inlineStr">
        <is>
          <t>(주)세종종합상사(미산동)</t>
        </is>
      </c>
      <c r="C15" s="17" t="n">
        <v>30</v>
      </c>
      <c r="D15" s="18">
        <f>C15/C$33</f>
        <v/>
      </c>
      <c r="E15" s="18">
        <f>E14+D15</f>
        <v/>
      </c>
      <c r="F15" s="17" t="n">
        <v>201</v>
      </c>
    </row>
    <row r="16">
      <c r="A16" s="14" t="n">
        <v>14</v>
      </c>
      <c r="B16" s="15" t="inlineStr">
        <is>
          <t>태영종합공구</t>
        </is>
      </c>
      <c r="C16" s="17" t="n">
        <v>27</v>
      </c>
      <c r="D16" s="18">
        <f>C16/C$33</f>
        <v/>
      </c>
      <c r="E16" s="18">
        <f>E15+D16</f>
        <v/>
      </c>
      <c r="F16" s="17" t="n">
        <v>204</v>
      </c>
    </row>
    <row r="17">
      <c r="A17" s="14" t="n">
        <v>15</v>
      </c>
      <c r="B17" s="15" t="inlineStr">
        <is>
          <t>유성종합공구</t>
        </is>
      </c>
      <c r="C17" s="17" t="n">
        <v>26</v>
      </c>
      <c r="D17" s="18">
        <f>C17/C$33</f>
        <v/>
      </c>
      <c r="E17" s="18">
        <f>E16+D17</f>
        <v/>
      </c>
      <c r="F17" s="17" t="n">
        <v>88</v>
      </c>
    </row>
    <row r="18">
      <c r="A18" s="14" t="n">
        <v>16</v>
      </c>
      <c r="B18" s="15" t="inlineStr">
        <is>
          <t>(주)금형티에스</t>
        </is>
      </c>
      <c r="C18" s="17" t="n">
        <v>23</v>
      </c>
      <c r="D18" s="18">
        <f>C18/C$33</f>
        <v/>
      </c>
      <c r="E18" s="18">
        <f>E17+D18</f>
        <v/>
      </c>
      <c r="F18" s="17" t="n">
        <v>171</v>
      </c>
    </row>
    <row r="19">
      <c r="A19" s="14" t="n">
        <v>17</v>
      </c>
      <c r="B19" s="15" t="inlineStr">
        <is>
          <t>서림툴링</t>
        </is>
      </c>
      <c r="C19" s="17" t="n">
        <v>22</v>
      </c>
      <c r="D19" s="18">
        <f>C19/C$33</f>
        <v/>
      </c>
      <c r="E19" s="18">
        <f>E18+D19</f>
        <v/>
      </c>
      <c r="F19" s="17" t="n">
        <v>61</v>
      </c>
    </row>
    <row r="20">
      <c r="A20" s="14" t="n">
        <v>18</v>
      </c>
      <c r="B20" s="15" t="inlineStr">
        <is>
          <t>(주)툴앤텍</t>
        </is>
      </c>
      <c r="C20" s="17" t="n">
        <v>21</v>
      </c>
      <c r="D20" s="18">
        <f>C20/C$33</f>
        <v/>
      </c>
      <c r="E20" s="18">
        <f>E19+D20</f>
        <v/>
      </c>
      <c r="F20" s="17" t="n">
        <v>118</v>
      </c>
    </row>
    <row r="21">
      <c r="A21" s="14" t="n">
        <v>19</v>
      </c>
      <c r="B21" s="15" t="inlineStr">
        <is>
          <t>대성이앤비-코고툴(재연마)</t>
        </is>
      </c>
      <c r="C21" s="17" t="n">
        <v>20</v>
      </c>
      <c r="D21" s="18">
        <f>C21/C$33</f>
        <v/>
      </c>
      <c r="E21" s="18">
        <f>E20+D21</f>
        <v/>
      </c>
      <c r="F21" s="17" t="n">
        <v>36</v>
      </c>
    </row>
    <row r="22">
      <c r="A22" s="14" t="n">
        <v>20</v>
      </c>
      <c r="B22" s="15" t="inlineStr">
        <is>
          <t>왕삼아공구</t>
        </is>
      </c>
      <c r="C22" s="17" t="n">
        <v>19</v>
      </c>
      <c r="D22" s="18">
        <f>C22/C$33</f>
        <v/>
      </c>
      <c r="E22" s="18">
        <f>E21+D22</f>
        <v/>
      </c>
      <c r="F22" s="17" t="n">
        <v>303</v>
      </c>
    </row>
    <row r="23">
      <c r="A23" s="14" t="n">
        <v>21</v>
      </c>
      <c r="B23" s="15" t="inlineStr">
        <is>
          <t>공구백화점(미산동)</t>
        </is>
      </c>
      <c r="C23" s="17" t="n">
        <v>17</v>
      </c>
      <c r="D23" s="18">
        <f>C23/C$33</f>
        <v/>
      </c>
      <c r="E23" s="18">
        <f>E22+D23</f>
        <v/>
      </c>
      <c r="F23" s="17" t="n">
        <v>239</v>
      </c>
    </row>
    <row r="24">
      <c r="A24" s="14" t="n">
        <v>22</v>
      </c>
      <c r="B24" s="15" t="inlineStr">
        <is>
          <t>예일공구상사</t>
        </is>
      </c>
      <c r="C24" s="17" t="n">
        <v>14</v>
      </c>
      <c r="D24" s="18">
        <f>C24/C$33</f>
        <v/>
      </c>
      <c r="E24" s="18">
        <f>E23+D24</f>
        <v/>
      </c>
      <c r="F24" s="17" t="n">
        <v>205</v>
      </c>
    </row>
    <row r="25">
      <c r="A25" s="14" t="n">
        <v>23</v>
      </c>
      <c r="B25" s="15" t="inlineStr">
        <is>
          <t>핫몰드엔지니어링주식회사-코고툴(재연마)</t>
        </is>
      </c>
      <c r="C25" s="17" t="n">
        <v>13</v>
      </c>
      <c r="D25" s="18">
        <f>C25/C$33</f>
        <v/>
      </c>
      <c r="E25" s="18">
        <f>E24+D25</f>
        <v/>
      </c>
      <c r="F25" s="17" t="n">
        <v>59</v>
      </c>
    </row>
    <row r="26">
      <c r="A26" s="14" t="n">
        <v>24</v>
      </c>
      <c r="B26" s="15" t="inlineStr">
        <is>
          <t>세운상사</t>
        </is>
      </c>
      <c r="C26" s="17" t="n">
        <v>12</v>
      </c>
      <c r="D26" s="18">
        <f>C26/C$33</f>
        <v/>
      </c>
      <c r="E26" s="18">
        <f>E25+D26</f>
        <v/>
      </c>
      <c r="F26" s="17" t="n">
        <v>67</v>
      </c>
    </row>
    <row r="27">
      <c r="A27" s="14" t="n">
        <v>25</v>
      </c>
      <c r="B27" s="15" t="inlineStr">
        <is>
          <t>금성툴테크</t>
        </is>
      </c>
      <c r="C27" s="17" t="n">
        <v>10</v>
      </c>
      <c r="D27" s="18">
        <f>C27/C$33</f>
        <v/>
      </c>
      <c r="E27" s="18">
        <f>E26+D27</f>
        <v/>
      </c>
      <c r="F27" s="17" t="n">
        <v>55</v>
      </c>
    </row>
    <row r="28">
      <c r="A28" s="14" t="n">
        <v>26</v>
      </c>
      <c r="B28" s="15" t="inlineStr">
        <is>
          <t>대륙기계공구</t>
        </is>
      </c>
      <c r="C28" s="17" t="n">
        <v>9</v>
      </c>
      <c r="D28" s="18">
        <f>C28/C$33</f>
        <v/>
      </c>
      <c r="E28" s="18">
        <f>E27+D28</f>
        <v/>
      </c>
      <c r="F28" s="17" t="n">
        <v>188</v>
      </c>
    </row>
    <row r="29">
      <c r="A29" s="14" t="n">
        <v>27</v>
      </c>
      <c r="B29" s="15" t="inlineStr">
        <is>
          <t>유진상사(문래)</t>
        </is>
      </c>
      <c r="C29" s="17" t="n">
        <v>6</v>
      </c>
      <c r="D29" s="18">
        <f>C29/C$33</f>
        <v/>
      </c>
      <c r="E29" s="18">
        <f>E28+D29</f>
        <v/>
      </c>
      <c r="F29" s="17" t="n">
        <v>432</v>
      </c>
    </row>
    <row r="30">
      <c r="A30" s="14" t="n">
        <v>28</v>
      </c>
      <c r="B30" s="15" t="inlineStr">
        <is>
          <t>영창툴링</t>
        </is>
      </c>
      <c r="C30" s="17" t="n">
        <v>6</v>
      </c>
      <c r="D30" s="18">
        <f>C30/C$33</f>
        <v/>
      </c>
      <c r="E30" s="18">
        <f>E29+D30</f>
        <v/>
      </c>
      <c r="F30" s="17" t="n">
        <v>99</v>
      </c>
    </row>
    <row r="31">
      <c r="A31" s="14" t="n">
        <v>29</v>
      </c>
      <c r="B31" s="15" t="inlineStr">
        <is>
          <t>(주)성환공구</t>
        </is>
      </c>
      <c r="C31" s="17" t="n">
        <v>1</v>
      </c>
      <c r="D31" s="18">
        <f>C31/C$33</f>
        <v/>
      </c>
      <c r="E31" s="18">
        <f>E30+D31</f>
        <v/>
      </c>
      <c r="F31" s="17" t="n">
        <v>70</v>
      </c>
    </row>
    <row r="32">
      <c r="A32" s="14" t="n">
        <v>30</v>
      </c>
      <c r="B32" s="15" t="inlineStr">
        <is>
          <t>대한초경공구</t>
        </is>
      </c>
      <c r="C32" s="17" t="n">
        <v>1</v>
      </c>
      <c r="D32" s="18">
        <f>C32/C$33</f>
        <v/>
      </c>
      <c r="E32" s="18">
        <f>E31+D32</f>
        <v/>
      </c>
      <c r="F32" s="17" t="n">
        <v>10</v>
      </c>
    </row>
    <row r="33">
      <c r="A33" s="19" t="inlineStr">
        <is>
          <t>합계</t>
        </is>
      </c>
      <c r="B33" s="19" t="n"/>
      <c r="C33" s="20">
        <f>SUM(C3:C32)</f>
        <v/>
      </c>
      <c r="D33" s="21" t="n">
        <v>1</v>
      </c>
      <c r="E33" s="19" t="n"/>
      <c r="F33" s="20">
        <f>SUM(F3:F32)</f>
        <v/>
      </c>
    </row>
  </sheetData>
  <mergeCells count="2">
    <mergeCell ref="A33:B33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2024년 8월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8월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대현상사</t>
        </is>
      </c>
      <c r="C3" s="7" t="n">
        <v>245</v>
      </c>
      <c r="D3" s="8">
        <f>C3/C$29</f>
        <v/>
      </c>
      <c r="E3" s="8">
        <f>D3</f>
        <v/>
      </c>
      <c r="F3" s="7" t="n">
        <v>245</v>
      </c>
    </row>
    <row r="4">
      <c r="A4" s="4" t="n">
        <v>2</v>
      </c>
      <c r="B4" s="5" t="inlineStr">
        <is>
          <t>원영공구(구,원영상사)</t>
        </is>
      </c>
      <c r="C4" s="7" t="n">
        <v>165</v>
      </c>
      <c r="D4" s="8">
        <f>C4/C$29</f>
        <v/>
      </c>
      <c r="E4" s="8">
        <f>E3+D4</f>
        <v/>
      </c>
      <c r="F4" s="7" t="n">
        <v>2394</v>
      </c>
    </row>
    <row r="5">
      <c r="A5" s="4" t="n">
        <v>3</v>
      </c>
      <c r="B5" s="5" t="inlineStr">
        <is>
          <t>초경툴(구,성민TOOL)-코고툴</t>
        </is>
      </c>
      <c r="C5" s="7" t="n">
        <v>148</v>
      </c>
      <c r="D5" s="8">
        <f>C5/C$29</f>
        <v/>
      </c>
      <c r="E5" s="8">
        <f>E4+D5</f>
        <v/>
      </c>
      <c r="F5" s="7" t="n">
        <v>2176</v>
      </c>
    </row>
    <row r="6">
      <c r="A6" s="4" t="n">
        <v>4</v>
      </c>
      <c r="B6" s="5" t="inlineStr">
        <is>
          <t>대우툴링</t>
        </is>
      </c>
      <c r="C6" s="7" t="n">
        <v>146</v>
      </c>
      <c r="D6" s="8">
        <f>C6/C$29</f>
        <v/>
      </c>
      <c r="E6" s="8">
        <f>E5+D6</f>
        <v/>
      </c>
      <c r="F6" s="7" t="n">
        <v>736</v>
      </c>
    </row>
    <row r="7">
      <c r="A7" s="4" t="n">
        <v>5</v>
      </c>
      <c r="B7" s="5" t="inlineStr">
        <is>
          <t>왕삼아공구</t>
        </is>
      </c>
      <c r="C7" s="7" t="n">
        <v>120</v>
      </c>
      <c r="D7" s="8">
        <f>C7/C$29</f>
        <v/>
      </c>
      <c r="E7" s="8">
        <f>E6+D7</f>
        <v/>
      </c>
      <c r="F7" s="7" t="n">
        <v>303</v>
      </c>
    </row>
    <row r="8">
      <c r="A8" s="14" t="n">
        <v>6</v>
      </c>
      <c r="B8" s="15" t="inlineStr">
        <is>
          <t>유비툴</t>
        </is>
      </c>
      <c r="C8" s="17" t="n">
        <v>113</v>
      </c>
      <c r="D8" s="18">
        <f>C8/C$29</f>
        <v/>
      </c>
      <c r="E8" s="18">
        <f>E7+D8</f>
        <v/>
      </c>
      <c r="F8" s="17" t="n">
        <v>1230</v>
      </c>
    </row>
    <row r="9">
      <c r="A9" s="14" t="n">
        <v>7</v>
      </c>
      <c r="B9" s="15" t="inlineStr">
        <is>
          <t>아신상사</t>
        </is>
      </c>
      <c r="C9" s="17" t="n">
        <v>107</v>
      </c>
      <c r="D9" s="18">
        <f>C9/C$29</f>
        <v/>
      </c>
      <c r="E9" s="18">
        <f>E8+D9</f>
        <v/>
      </c>
      <c r="F9" s="17" t="n">
        <v>305</v>
      </c>
    </row>
    <row r="10">
      <c r="A10" s="14" t="n">
        <v>8</v>
      </c>
      <c r="B10" s="15" t="inlineStr">
        <is>
          <t>창성툴(코고툴)</t>
        </is>
      </c>
      <c r="C10" s="17" t="n">
        <v>102</v>
      </c>
      <c r="D10" s="18">
        <f>C10/C$29</f>
        <v/>
      </c>
      <c r="E10" s="18">
        <f>E9+D10</f>
        <v/>
      </c>
      <c r="F10" s="17" t="n">
        <v>1381</v>
      </c>
    </row>
    <row r="11">
      <c r="A11" s="14" t="n">
        <v>9</v>
      </c>
      <c r="B11" s="15" t="inlineStr">
        <is>
          <t>반석공구</t>
        </is>
      </c>
      <c r="C11" s="17" t="n">
        <v>94</v>
      </c>
      <c r="D11" s="18">
        <f>C11/C$29</f>
        <v/>
      </c>
      <c r="E11" s="18">
        <f>E10+D11</f>
        <v/>
      </c>
      <c r="F11" s="17" t="n">
        <v>489</v>
      </c>
    </row>
    <row r="12">
      <c r="A12" s="14" t="n">
        <v>10</v>
      </c>
      <c r="B12" s="15" t="inlineStr">
        <is>
          <t>동명ENG-코고툴(재연마)</t>
        </is>
      </c>
      <c r="C12" s="17" t="n">
        <v>66</v>
      </c>
      <c r="D12" s="18">
        <f>C12/C$29</f>
        <v/>
      </c>
      <c r="E12" s="18">
        <f>E11+D12</f>
        <v/>
      </c>
      <c r="F12" s="17" t="n">
        <v>585</v>
      </c>
    </row>
    <row r="13">
      <c r="A13" s="14" t="n">
        <v>11</v>
      </c>
      <c r="B13" s="15" t="inlineStr">
        <is>
          <t>(주)성환공구</t>
        </is>
      </c>
      <c r="C13" s="17" t="n">
        <v>41</v>
      </c>
      <c r="D13" s="18">
        <f>C13/C$29</f>
        <v/>
      </c>
      <c r="E13" s="18">
        <f>E12+D13</f>
        <v/>
      </c>
      <c r="F13" s="17" t="n">
        <v>70</v>
      </c>
    </row>
    <row r="14">
      <c r="A14" s="14" t="n">
        <v>12</v>
      </c>
      <c r="B14" s="15" t="inlineStr">
        <is>
          <t>강민툴링(비봉)</t>
        </is>
      </c>
      <c r="C14" s="17" t="n">
        <v>41</v>
      </c>
      <c r="D14" s="18">
        <f>C14/C$29</f>
        <v/>
      </c>
      <c r="E14" s="18">
        <f>E13+D14</f>
        <v/>
      </c>
      <c r="F14" s="17" t="n">
        <v>1619</v>
      </c>
    </row>
    <row r="15">
      <c r="A15" s="14" t="n">
        <v>13</v>
      </c>
      <c r="B15" s="15" t="inlineStr">
        <is>
          <t>(주)공화공구</t>
        </is>
      </c>
      <c r="C15" s="17" t="n">
        <v>40</v>
      </c>
      <c r="D15" s="18">
        <f>C15/C$29</f>
        <v/>
      </c>
      <c r="E15" s="18">
        <f>E14+D15</f>
        <v/>
      </c>
      <c r="F15" s="17" t="n">
        <v>938</v>
      </c>
    </row>
    <row r="16">
      <c r="A16" s="14" t="n">
        <v>14</v>
      </c>
      <c r="B16" s="15" t="inlineStr">
        <is>
          <t>덕원통상(사용금지)-덕원종합상사로 처리해주세요</t>
        </is>
      </c>
      <c r="C16" s="17" t="n">
        <v>36</v>
      </c>
      <c r="D16" s="18">
        <f>C16/C$29</f>
        <v/>
      </c>
      <c r="E16" s="18">
        <f>E15+D16</f>
        <v/>
      </c>
      <c r="F16" s="17" t="n">
        <v>1058</v>
      </c>
    </row>
    <row r="17">
      <c r="A17" s="14" t="n">
        <v>15</v>
      </c>
      <c r="B17" s="15" t="inlineStr">
        <is>
          <t>영창툴링</t>
        </is>
      </c>
      <c r="C17" s="17" t="n">
        <v>13</v>
      </c>
      <c r="D17" s="18">
        <f>C17/C$29</f>
        <v/>
      </c>
      <c r="E17" s="18">
        <f>E16+D17</f>
        <v/>
      </c>
      <c r="F17" s="17" t="n">
        <v>99</v>
      </c>
    </row>
    <row r="18">
      <c r="A18" s="14" t="n">
        <v>16</v>
      </c>
      <c r="B18" s="15" t="inlineStr">
        <is>
          <t>대륙기계공구</t>
        </is>
      </c>
      <c r="C18" s="17" t="n">
        <v>10</v>
      </c>
      <c r="D18" s="18">
        <f>C18/C$29</f>
        <v/>
      </c>
      <c r="E18" s="18">
        <f>E17+D18</f>
        <v/>
      </c>
      <c r="F18" s="17" t="n">
        <v>188</v>
      </c>
    </row>
    <row r="19">
      <c r="A19" s="14" t="n">
        <v>17</v>
      </c>
      <c r="B19" s="15" t="inlineStr">
        <is>
          <t>아이티공구</t>
        </is>
      </c>
      <c r="C19" s="17" t="n">
        <v>7</v>
      </c>
      <c r="D19" s="18">
        <f>C19/C$29</f>
        <v/>
      </c>
      <c r="E19" s="18">
        <f>E18+D19</f>
        <v/>
      </c>
      <c r="F19" s="17" t="n">
        <v>1070</v>
      </c>
    </row>
    <row r="20">
      <c r="A20" s="14" t="n">
        <v>18</v>
      </c>
      <c r="B20" s="15" t="inlineStr">
        <is>
          <t>유성종합공구</t>
        </is>
      </c>
      <c r="C20" s="17" t="n">
        <v>6</v>
      </c>
      <c r="D20" s="18">
        <f>C20/C$29</f>
        <v/>
      </c>
      <c r="E20" s="18">
        <f>E19+D20</f>
        <v/>
      </c>
      <c r="F20" s="17" t="n">
        <v>88</v>
      </c>
    </row>
    <row r="21">
      <c r="A21" s="14" t="n">
        <v>19</v>
      </c>
      <c r="B21" s="15" t="inlineStr">
        <is>
          <t>(주)일등정밀공구(안산)</t>
        </is>
      </c>
      <c r="C21" s="17" t="n">
        <v>5</v>
      </c>
      <c r="D21" s="18">
        <f>C21/C$29</f>
        <v/>
      </c>
      <c r="E21" s="18">
        <f>E20+D21</f>
        <v/>
      </c>
      <c r="F21" s="17" t="n">
        <v>120</v>
      </c>
    </row>
    <row r="22">
      <c r="A22" s="14" t="n">
        <v>20</v>
      </c>
      <c r="B22" s="15" t="inlineStr">
        <is>
          <t>금성툴테크</t>
        </is>
      </c>
      <c r="C22" s="17" t="n">
        <v>5</v>
      </c>
      <c r="D22" s="18">
        <f>C22/C$29</f>
        <v/>
      </c>
      <c r="E22" s="18">
        <f>E21+D22</f>
        <v/>
      </c>
      <c r="F22" s="17" t="n">
        <v>55</v>
      </c>
    </row>
    <row r="23">
      <c r="A23" s="14" t="n">
        <v>21</v>
      </c>
      <c r="B23" s="15" t="inlineStr">
        <is>
          <t>유진상사(문래)</t>
        </is>
      </c>
      <c r="C23" s="17" t="n">
        <v>4</v>
      </c>
      <c r="D23" s="18">
        <f>C23/C$29</f>
        <v/>
      </c>
      <c r="E23" s="18">
        <f>E22+D23</f>
        <v/>
      </c>
      <c r="F23" s="17" t="n">
        <v>432</v>
      </c>
    </row>
    <row r="24">
      <c r="A24" s="14" t="n">
        <v>22</v>
      </c>
      <c r="B24" s="15" t="inlineStr">
        <is>
          <t>유성상공사</t>
        </is>
      </c>
      <c r="C24" s="17" t="n">
        <v>2</v>
      </c>
      <c r="D24" s="18">
        <f>C24/C$29</f>
        <v/>
      </c>
      <c r="E24" s="18">
        <f>E23+D24</f>
        <v/>
      </c>
      <c r="F24" s="17" t="n">
        <v>111</v>
      </c>
    </row>
    <row r="25">
      <c r="A25" s="14" t="n">
        <v>23</v>
      </c>
      <c r="B25" s="15" t="inlineStr">
        <is>
          <t>(주)성신툴링</t>
        </is>
      </c>
      <c r="C25" s="17" t="n">
        <v>2</v>
      </c>
      <c r="D25" s="18">
        <f>C25/C$29</f>
        <v/>
      </c>
      <c r="E25" s="18">
        <f>E24+D25</f>
        <v/>
      </c>
      <c r="F25" s="17" t="n">
        <v>6</v>
      </c>
    </row>
    <row r="26">
      <c r="A26" s="14" t="n">
        <v>24</v>
      </c>
      <c r="B26" s="15" t="inlineStr">
        <is>
          <t>(주)삼진기공</t>
        </is>
      </c>
      <c r="C26" s="17" t="n">
        <v>2</v>
      </c>
      <c r="D26" s="18">
        <f>C26/C$29</f>
        <v/>
      </c>
      <c r="E26" s="18">
        <f>E25+D26</f>
        <v/>
      </c>
      <c r="F26" s="17" t="n">
        <v>2</v>
      </c>
    </row>
    <row r="27">
      <c r="A27" s="14" t="n">
        <v>25</v>
      </c>
      <c r="B27" s="15" t="inlineStr">
        <is>
          <t>(아산)금영공구정공(주)</t>
        </is>
      </c>
      <c r="C27" s="17" t="n">
        <v>2</v>
      </c>
      <c r="D27" s="18">
        <f>C27/C$29</f>
        <v/>
      </c>
      <c r="E27" s="18">
        <f>E26+D27</f>
        <v/>
      </c>
      <c r="F27" s="17" t="n">
        <v>2</v>
      </c>
    </row>
    <row r="28">
      <c r="A28" s="14" t="n">
        <v>26</v>
      </c>
      <c r="B28" s="15" t="inlineStr">
        <is>
          <t>라온텍</t>
        </is>
      </c>
      <c r="C28" s="17" t="n">
        <v>1</v>
      </c>
      <c r="D28" s="18">
        <f>C28/C$29</f>
        <v/>
      </c>
      <c r="E28" s="18">
        <f>E27+D28</f>
        <v/>
      </c>
      <c r="F28" s="17" t="n">
        <v>2</v>
      </c>
    </row>
    <row r="29">
      <c r="A29" s="19" t="inlineStr">
        <is>
          <t>합계</t>
        </is>
      </c>
      <c r="B29" s="19" t="n"/>
      <c r="C29" s="20">
        <f>SUM(C3:C28)</f>
        <v/>
      </c>
      <c r="D29" s="21" t="n">
        <v>1</v>
      </c>
      <c r="E29" s="19" t="n"/>
      <c r="F29" s="20">
        <f>SUM(F3:F28)</f>
        <v/>
      </c>
    </row>
  </sheetData>
  <mergeCells count="2">
    <mergeCell ref="A1:F1"/>
    <mergeCell ref="A29:B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2024년 9월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9월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강민툴링(비봉)</t>
        </is>
      </c>
      <c r="C3" s="7" t="n">
        <v>346</v>
      </c>
      <c r="D3" s="8">
        <f>C3/C$30</f>
        <v/>
      </c>
      <c r="E3" s="8">
        <f>D3</f>
        <v/>
      </c>
      <c r="F3" s="7" t="n">
        <v>1619</v>
      </c>
    </row>
    <row r="4">
      <c r="A4" s="4" t="n">
        <v>2</v>
      </c>
      <c r="B4" s="5" t="inlineStr">
        <is>
          <t>초경툴(구,성민TOOL)-코고툴</t>
        </is>
      </c>
      <c r="C4" s="7" t="n">
        <v>150</v>
      </c>
      <c r="D4" s="8">
        <f>C4/C$30</f>
        <v/>
      </c>
      <c r="E4" s="8">
        <f>E3+D4</f>
        <v/>
      </c>
      <c r="F4" s="7" t="n">
        <v>2176</v>
      </c>
    </row>
    <row r="5">
      <c r="A5" s="4" t="n">
        <v>3</v>
      </c>
      <c r="B5" s="5" t="inlineStr">
        <is>
          <t>아이티공구</t>
        </is>
      </c>
      <c r="C5" s="7" t="n">
        <v>122</v>
      </c>
      <c r="D5" s="8">
        <f>C5/C$30</f>
        <v/>
      </c>
      <c r="E5" s="8">
        <f>E4+D5</f>
        <v/>
      </c>
      <c r="F5" s="7" t="n">
        <v>1070</v>
      </c>
    </row>
    <row r="6">
      <c r="A6" s="4" t="n">
        <v>4</v>
      </c>
      <c r="B6" s="5" t="inlineStr">
        <is>
          <t>덕원통상(사용금지)-덕원종합상사로 처리해주세요</t>
        </is>
      </c>
      <c r="C6" s="7" t="n">
        <v>115</v>
      </c>
      <c r="D6" s="8">
        <f>C6/C$30</f>
        <v/>
      </c>
      <c r="E6" s="8">
        <f>E5+D6</f>
        <v/>
      </c>
      <c r="F6" s="7" t="n">
        <v>1058</v>
      </c>
    </row>
    <row r="7">
      <c r="A7" s="4" t="n">
        <v>5</v>
      </c>
      <c r="B7" s="5" t="inlineStr">
        <is>
          <t>유비툴</t>
        </is>
      </c>
      <c r="C7" s="7" t="n">
        <v>106</v>
      </c>
      <c r="D7" s="8">
        <f>C7/C$30</f>
        <v/>
      </c>
      <c r="E7" s="8">
        <f>E6+D7</f>
        <v/>
      </c>
      <c r="F7" s="7" t="n">
        <v>1230</v>
      </c>
    </row>
    <row r="8">
      <c r="A8" s="14" t="n">
        <v>6</v>
      </c>
      <c r="B8" s="15" t="inlineStr">
        <is>
          <t>신우툴링(남동)</t>
        </is>
      </c>
      <c r="C8" s="17" t="n">
        <v>90</v>
      </c>
      <c r="D8" s="18">
        <f>C8/C$30</f>
        <v/>
      </c>
      <c r="E8" s="18">
        <f>E7+D8</f>
        <v/>
      </c>
      <c r="F8" s="17" t="n">
        <v>444</v>
      </c>
    </row>
    <row r="9">
      <c r="A9" s="14" t="n">
        <v>7</v>
      </c>
      <c r="B9" s="15" t="inlineStr">
        <is>
          <t>케이엠툴링</t>
        </is>
      </c>
      <c r="C9" s="17" t="n">
        <v>80</v>
      </c>
      <c r="D9" s="18">
        <f>C9/C$30</f>
        <v/>
      </c>
      <c r="E9" s="18">
        <f>E8+D9</f>
        <v/>
      </c>
      <c r="F9" s="17" t="n">
        <v>658</v>
      </c>
    </row>
    <row r="10">
      <c r="A10" s="14" t="n">
        <v>8</v>
      </c>
      <c r="B10" s="15" t="inlineStr">
        <is>
          <t>창성툴(코고툴)</t>
        </is>
      </c>
      <c r="C10" s="17" t="n">
        <v>75</v>
      </c>
      <c r="D10" s="18">
        <f>C10/C$30</f>
        <v/>
      </c>
      <c r="E10" s="18">
        <f>E9+D10</f>
        <v/>
      </c>
      <c r="F10" s="17" t="n">
        <v>1381</v>
      </c>
    </row>
    <row r="11">
      <c r="A11" s="14" t="n">
        <v>9</v>
      </c>
      <c r="B11" s="15" t="inlineStr">
        <is>
          <t>태화상사</t>
        </is>
      </c>
      <c r="C11" s="17" t="n">
        <v>53</v>
      </c>
      <c r="D11" s="18">
        <f>C11/C$30</f>
        <v/>
      </c>
      <c r="E11" s="18">
        <f>E10+D11</f>
        <v/>
      </c>
      <c r="F11" s="17" t="n">
        <v>53</v>
      </c>
    </row>
    <row r="12">
      <c r="A12" s="14" t="n">
        <v>10</v>
      </c>
      <c r="B12" s="15" t="inlineStr">
        <is>
          <t>원영공구(구,원영상사)</t>
        </is>
      </c>
      <c r="C12" s="17" t="n">
        <v>50</v>
      </c>
      <c r="D12" s="18">
        <f>C12/C$30</f>
        <v/>
      </c>
      <c r="E12" s="18">
        <f>E11+D12</f>
        <v/>
      </c>
      <c r="F12" s="17" t="n">
        <v>2394</v>
      </c>
    </row>
    <row r="13">
      <c r="A13" s="14" t="n">
        <v>11</v>
      </c>
      <c r="B13" s="15" t="inlineStr">
        <is>
          <t>예일공구상사</t>
        </is>
      </c>
      <c r="C13" s="17" t="n">
        <v>45</v>
      </c>
      <c r="D13" s="18">
        <f>C13/C$30</f>
        <v/>
      </c>
      <c r="E13" s="18">
        <f>E12+D13</f>
        <v/>
      </c>
      <c r="F13" s="17" t="n">
        <v>205</v>
      </c>
    </row>
    <row r="14">
      <c r="A14" s="14" t="n">
        <v>12</v>
      </c>
      <c r="B14" s="15" t="inlineStr">
        <is>
          <t>(주)공화공구</t>
        </is>
      </c>
      <c r="C14" s="17" t="n">
        <v>41</v>
      </c>
      <c r="D14" s="18">
        <f>C14/C$30</f>
        <v/>
      </c>
      <c r="E14" s="18">
        <f>E13+D14</f>
        <v/>
      </c>
      <c r="F14" s="17" t="n">
        <v>938</v>
      </c>
    </row>
    <row r="15">
      <c r="A15" s="14" t="n">
        <v>13</v>
      </c>
      <c r="B15" s="15" t="inlineStr">
        <is>
          <t>반석공구</t>
        </is>
      </c>
      <c r="C15" s="17" t="n">
        <v>39</v>
      </c>
      <c r="D15" s="18">
        <f>C15/C$30</f>
        <v/>
      </c>
      <c r="E15" s="18">
        <f>E14+D15</f>
        <v/>
      </c>
      <c r="F15" s="17" t="n">
        <v>489</v>
      </c>
    </row>
    <row r="16">
      <c r="A16" s="14" t="n">
        <v>14</v>
      </c>
      <c r="B16" s="15" t="inlineStr">
        <is>
          <t>대우툴링</t>
        </is>
      </c>
      <c r="C16" s="17" t="n">
        <v>31</v>
      </c>
      <c r="D16" s="18">
        <f>C16/C$30</f>
        <v/>
      </c>
      <c r="E16" s="18">
        <f>E15+D16</f>
        <v/>
      </c>
      <c r="F16" s="17" t="n">
        <v>736</v>
      </c>
    </row>
    <row r="17">
      <c r="A17" s="14" t="n">
        <v>15</v>
      </c>
      <c r="B17" s="15" t="inlineStr">
        <is>
          <t>대성테크</t>
        </is>
      </c>
      <c r="C17" s="17" t="n">
        <v>30</v>
      </c>
      <c r="D17" s="18">
        <f>C17/C$30</f>
        <v/>
      </c>
      <c r="E17" s="18">
        <f>E16+D17</f>
        <v/>
      </c>
      <c r="F17" s="17" t="n">
        <v>44</v>
      </c>
    </row>
    <row r="18">
      <c r="A18" s="14" t="n">
        <v>16</v>
      </c>
      <c r="B18" s="15" t="inlineStr">
        <is>
          <t>대륙기계공구</t>
        </is>
      </c>
      <c r="C18" s="17" t="n">
        <v>29</v>
      </c>
      <c r="D18" s="18">
        <f>C18/C$30</f>
        <v/>
      </c>
      <c r="E18" s="18">
        <f>E17+D18</f>
        <v/>
      </c>
      <c r="F18" s="17" t="n">
        <v>188</v>
      </c>
    </row>
    <row r="19">
      <c r="A19" s="14" t="n">
        <v>17</v>
      </c>
      <c r="B19" s="15" t="inlineStr">
        <is>
          <t>(주)일등정밀공구(안산)</t>
        </is>
      </c>
      <c r="C19" s="17" t="n">
        <v>15</v>
      </c>
      <c r="D19" s="18">
        <f>C19/C$30</f>
        <v/>
      </c>
      <c r="E19" s="18">
        <f>E18+D19</f>
        <v/>
      </c>
      <c r="F19" s="17" t="n">
        <v>120</v>
      </c>
    </row>
    <row r="20">
      <c r="A20" s="14" t="n">
        <v>18</v>
      </c>
      <c r="B20" s="15" t="inlineStr">
        <is>
          <t>공구백화점(미산동)</t>
        </is>
      </c>
      <c r="C20" s="17" t="n">
        <v>7</v>
      </c>
      <c r="D20" s="18">
        <f>C20/C$30</f>
        <v/>
      </c>
      <c r="E20" s="18">
        <f>E19+D20</f>
        <v/>
      </c>
      <c r="F20" s="17" t="n">
        <v>239</v>
      </c>
    </row>
    <row r="21">
      <c r="A21" s="14" t="n">
        <v>19</v>
      </c>
      <c r="B21" s="15" t="inlineStr">
        <is>
          <t>(주)금형티에스</t>
        </is>
      </c>
      <c r="C21" s="17" t="n">
        <v>6</v>
      </c>
      <c r="D21" s="18">
        <f>C21/C$30</f>
        <v/>
      </c>
      <c r="E21" s="18">
        <f>E20+D21</f>
        <v/>
      </c>
      <c r="F21" s="17" t="n">
        <v>171</v>
      </c>
    </row>
    <row r="22">
      <c r="A22" s="14" t="n">
        <v>20</v>
      </c>
      <c r="B22" s="15" t="inlineStr">
        <is>
          <t>서림툴링</t>
        </is>
      </c>
      <c r="C22" s="17" t="n">
        <v>5</v>
      </c>
      <c r="D22" s="18">
        <f>C22/C$30</f>
        <v/>
      </c>
      <c r="E22" s="18">
        <f>E21+D22</f>
        <v/>
      </c>
      <c r="F22" s="17" t="n">
        <v>61</v>
      </c>
    </row>
    <row r="23">
      <c r="A23" s="14" t="n">
        <v>21</v>
      </c>
      <c r="B23" s="15" t="inlineStr">
        <is>
          <t>이엠티(EMT)</t>
        </is>
      </c>
      <c r="C23" s="17" t="n">
        <v>4</v>
      </c>
      <c r="D23" s="18">
        <f>C23/C$30</f>
        <v/>
      </c>
      <c r="E23" s="18">
        <f>E22+D23</f>
        <v/>
      </c>
      <c r="F23" s="17" t="n">
        <v>112</v>
      </c>
    </row>
    <row r="24">
      <c r="A24" s="14" t="n">
        <v>22</v>
      </c>
      <c r="B24" s="15" t="inlineStr">
        <is>
          <t>유성테크</t>
        </is>
      </c>
      <c r="C24" s="17" t="n">
        <v>3</v>
      </c>
      <c r="D24" s="18">
        <f>C24/C$30</f>
        <v/>
      </c>
      <c r="E24" s="18">
        <f>E23+D24</f>
        <v/>
      </c>
      <c r="F24" s="17" t="n">
        <v>18</v>
      </c>
    </row>
    <row r="25">
      <c r="A25" s="14" t="n">
        <v>23</v>
      </c>
      <c r="B25" s="15" t="inlineStr">
        <is>
          <t>유성상공사</t>
        </is>
      </c>
      <c r="C25" s="17" t="n">
        <v>2</v>
      </c>
      <c r="D25" s="18">
        <f>C25/C$30</f>
        <v/>
      </c>
      <c r="E25" s="18">
        <f>E24+D25</f>
        <v/>
      </c>
      <c r="F25" s="17" t="n">
        <v>111</v>
      </c>
    </row>
    <row r="26">
      <c r="A26" s="14" t="n">
        <v>24</v>
      </c>
      <c r="B26" s="15" t="inlineStr">
        <is>
          <t>(주)성환공구</t>
        </is>
      </c>
      <c r="C26" s="17" t="n">
        <v>2</v>
      </c>
      <c r="D26" s="18">
        <f>C26/C$30</f>
        <v/>
      </c>
      <c r="E26" s="18">
        <f>E25+D26</f>
        <v/>
      </c>
      <c r="F26" s="17" t="n">
        <v>70</v>
      </c>
    </row>
    <row r="27">
      <c r="A27" s="14" t="n">
        <v>25</v>
      </c>
      <c r="B27" s="15" t="inlineStr">
        <is>
          <t>아신상사</t>
        </is>
      </c>
      <c r="C27" s="17" t="n">
        <v>1</v>
      </c>
      <c r="D27" s="18">
        <f>C27/C$30</f>
        <v/>
      </c>
      <c r="E27" s="18">
        <f>E26+D27</f>
        <v/>
      </c>
      <c r="F27" s="17" t="n">
        <v>305</v>
      </c>
    </row>
    <row r="28">
      <c r="A28" s="14" t="n">
        <v>26</v>
      </c>
      <c r="B28" s="15" t="inlineStr">
        <is>
          <t>라온텍</t>
        </is>
      </c>
      <c r="C28" s="17" t="n">
        <v>1</v>
      </c>
      <c r="D28" s="18">
        <f>C28/C$30</f>
        <v/>
      </c>
      <c r="E28" s="18">
        <f>E27+D28</f>
        <v/>
      </c>
      <c r="F28" s="17" t="n">
        <v>2</v>
      </c>
    </row>
    <row r="29">
      <c r="A29" s="14" t="n">
        <v>27</v>
      </c>
      <c r="B29" s="15" t="inlineStr">
        <is>
          <t>동남종합상사(주)</t>
        </is>
      </c>
      <c r="C29" s="17" t="n">
        <v>1</v>
      </c>
      <c r="D29" s="18">
        <f>C29/C$30</f>
        <v/>
      </c>
      <c r="E29" s="18">
        <f>E28+D29</f>
        <v/>
      </c>
      <c r="F29" s="17" t="n">
        <v>1</v>
      </c>
    </row>
    <row r="30">
      <c r="A30" s="19" t="inlineStr">
        <is>
          <t>합계</t>
        </is>
      </c>
      <c r="B30" s="19" t="n"/>
      <c r="C30" s="20">
        <f>SUM(C3:C29)</f>
        <v/>
      </c>
      <c r="D30" s="21" t="n">
        <v>1</v>
      </c>
      <c r="E30" s="19" t="n"/>
      <c r="F30" s="20">
        <f>SUM(F3:F29)</f>
        <v/>
      </c>
    </row>
  </sheetData>
  <mergeCells count="2">
    <mergeCell ref="A30:B30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2024년 10월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10월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원영공구(구,원영상사)</t>
        </is>
      </c>
      <c r="C3" s="7" t="n">
        <v>230</v>
      </c>
      <c r="D3" s="8">
        <f>C3/C$27</f>
        <v/>
      </c>
      <c r="E3" s="8">
        <f>D3</f>
        <v/>
      </c>
      <c r="F3" s="7" t="n">
        <v>2394</v>
      </c>
    </row>
    <row r="4">
      <c r="A4" s="4" t="n">
        <v>2</v>
      </c>
      <c r="B4" s="5" t="inlineStr">
        <is>
          <t>초경툴(구,성민TOOL)-코고툴</t>
        </is>
      </c>
      <c r="C4" s="7" t="n">
        <v>178</v>
      </c>
      <c r="D4" s="8">
        <f>C4/C$27</f>
        <v/>
      </c>
      <c r="E4" s="8">
        <f>E3+D4</f>
        <v/>
      </c>
      <c r="F4" s="7" t="n">
        <v>2176</v>
      </c>
    </row>
    <row r="5">
      <c r="A5" s="4" t="n">
        <v>3</v>
      </c>
      <c r="B5" s="5" t="inlineStr">
        <is>
          <t>덕원통상(사용금지)-덕원종합상사로 처리해주세요</t>
        </is>
      </c>
      <c r="C5" s="7" t="n">
        <v>126</v>
      </c>
      <c r="D5" s="8">
        <f>C5/C$27</f>
        <v/>
      </c>
      <c r="E5" s="8">
        <f>E4+D5</f>
        <v/>
      </c>
      <c r="F5" s="7" t="n">
        <v>1058</v>
      </c>
    </row>
    <row r="6">
      <c r="A6" s="4" t="n">
        <v>4</v>
      </c>
      <c r="B6" s="5" t="inlineStr">
        <is>
          <t>(주)공화공구</t>
        </is>
      </c>
      <c r="C6" s="7" t="n">
        <v>112</v>
      </c>
      <c r="D6" s="8">
        <f>C6/C$27</f>
        <v/>
      </c>
      <c r="E6" s="8">
        <f>E5+D6</f>
        <v/>
      </c>
      <c r="F6" s="7" t="n">
        <v>938</v>
      </c>
    </row>
    <row r="7">
      <c r="A7" s="4" t="n">
        <v>5</v>
      </c>
      <c r="B7" s="5" t="inlineStr">
        <is>
          <t>(주)코리아테크닉스</t>
        </is>
      </c>
      <c r="C7" s="7" t="n">
        <v>101</v>
      </c>
      <c r="D7" s="8">
        <f>C7/C$27</f>
        <v/>
      </c>
      <c r="E7" s="8">
        <f>E6+D7</f>
        <v/>
      </c>
      <c r="F7" s="7" t="n">
        <v>252</v>
      </c>
    </row>
    <row r="8">
      <c r="A8" s="14" t="n">
        <v>6</v>
      </c>
      <c r="B8" s="15" t="inlineStr">
        <is>
          <t>유비툴</t>
        </is>
      </c>
      <c r="C8" s="17" t="n">
        <v>87</v>
      </c>
      <c r="D8" s="18">
        <f>C8/C$27</f>
        <v/>
      </c>
      <c r="E8" s="18">
        <f>E7+D8</f>
        <v/>
      </c>
      <c r="F8" s="17" t="n">
        <v>1230</v>
      </c>
    </row>
    <row r="9">
      <c r="A9" s="14" t="n">
        <v>7</v>
      </c>
      <c r="B9" s="15" t="inlineStr">
        <is>
          <t>아이티공구</t>
        </is>
      </c>
      <c r="C9" s="17" t="n">
        <v>75</v>
      </c>
      <c r="D9" s="18">
        <f>C9/C$27</f>
        <v/>
      </c>
      <c r="E9" s="18">
        <f>E8+D9</f>
        <v/>
      </c>
      <c r="F9" s="17" t="n">
        <v>1070</v>
      </c>
    </row>
    <row r="10">
      <c r="A10" s="14" t="n">
        <v>8</v>
      </c>
      <c r="B10" s="15" t="inlineStr">
        <is>
          <t>상신툴링(병점)</t>
        </is>
      </c>
      <c r="C10" s="17" t="n">
        <v>68</v>
      </c>
      <c r="D10" s="18">
        <f>C10/C$27</f>
        <v/>
      </c>
      <c r="E10" s="18">
        <f>E9+D10</f>
        <v/>
      </c>
      <c r="F10" s="17" t="n">
        <v>202</v>
      </c>
    </row>
    <row r="11">
      <c r="A11" s="14" t="n">
        <v>9</v>
      </c>
      <c r="B11" s="15" t="inlineStr">
        <is>
          <t>케이엠툴링</t>
        </is>
      </c>
      <c r="C11" s="17" t="n">
        <v>65</v>
      </c>
      <c r="D11" s="18">
        <f>C11/C$27</f>
        <v/>
      </c>
      <c r="E11" s="18">
        <f>E10+D11</f>
        <v/>
      </c>
      <c r="F11" s="17" t="n">
        <v>658</v>
      </c>
    </row>
    <row r="12">
      <c r="A12" s="14" t="n">
        <v>10</v>
      </c>
      <c r="B12" s="15" t="inlineStr">
        <is>
          <t>유진상사(문래)</t>
        </is>
      </c>
      <c r="C12" s="17" t="n">
        <v>64</v>
      </c>
      <c r="D12" s="18">
        <f>C12/C$27</f>
        <v/>
      </c>
      <c r="E12" s="18">
        <f>E11+D12</f>
        <v/>
      </c>
      <c r="F12" s="17" t="n">
        <v>432</v>
      </c>
    </row>
    <row r="13">
      <c r="A13" s="14" t="n">
        <v>11</v>
      </c>
      <c r="B13" s="15" t="inlineStr">
        <is>
          <t>창성툴(코고툴)</t>
        </is>
      </c>
      <c r="C13" s="17" t="n">
        <v>61</v>
      </c>
      <c r="D13" s="18">
        <f>C13/C$27</f>
        <v/>
      </c>
      <c r="E13" s="18">
        <f>E12+D13</f>
        <v/>
      </c>
      <c r="F13" s="17" t="n">
        <v>1381</v>
      </c>
    </row>
    <row r="14">
      <c r="A14" s="14" t="n">
        <v>12</v>
      </c>
      <c r="B14" s="15" t="inlineStr">
        <is>
          <t>대우툴링</t>
        </is>
      </c>
      <c r="C14" s="17" t="n">
        <v>60</v>
      </c>
      <c r="D14" s="18">
        <f>C14/C$27</f>
        <v/>
      </c>
      <c r="E14" s="18">
        <f>E13+D14</f>
        <v/>
      </c>
      <c r="F14" s="17" t="n">
        <v>736</v>
      </c>
    </row>
    <row r="15">
      <c r="A15" s="14" t="n">
        <v>13</v>
      </c>
      <c r="B15" s="15" t="inlineStr">
        <is>
          <t>강민툴링(비봉)</t>
        </is>
      </c>
      <c r="C15" s="17" t="n">
        <v>41</v>
      </c>
      <c r="D15" s="18">
        <f>C15/C$27</f>
        <v/>
      </c>
      <c r="E15" s="18">
        <f>E14+D15</f>
        <v/>
      </c>
      <c r="F15" s="17" t="n">
        <v>1619</v>
      </c>
    </row>
    <row r="16">
      <c r="A16" s="14" t="n">
        <v>14</v>
      </c>
      <c r="B16" s="15" t="inlineStr">
        <is>
          <t>신우툴링(남동)</t>
        </is>
      </c>
      <c r="C16" s="17" t="n">
        <v>31</v>
      </c>
      <c r="D16" s="18">
        <f>C16/C$27</f>
        <v/>
      </c>
      <c r="E16" s="18">
        <f>E15+D16</f>
        <v/>
      </c>
      <c r="F16" s="17" t="n">
        <v>444</v>
      </c>
    </row>
    <row r="17">
      <c r="A17" s="14" t="n">
        <v>15</v>
      </c>
      <c r="B17" s="15" t="inlineStr">
        <is>
          <t>대륙기계공구</t>
        </is>
      </c>
      <c r="C17" s="17" t="n">
        <v>28</v>
      </c>
      <c r="D17" s="18">
        <f>C17/C$27</f>
        <v/>
      </c>
      <c r="E17" s="18">
        <f>E16+D17</f>
        <v/>
      </c>
      <c r="F17" s="17" t="n">
        <v>188</v>
      </c>
    </row>
    <row r="18">
      <c r="A18" s="14" t="n">
        <v>16</v>
      </c>
      <c r="B18" s="15" t="inlineStr">
        <is>
          <t>반석공구</t>
        </is>
      </c>
      <c r="C18" s="17" t="n">
        <v>27</v>
      </c>
      <c r="D18" s="18">
        <f>C18/C$27</f>
        <v/>
      </c>
      <c r="E18" s="18">
        <f>E17+D18</f>
        <v/>
      </c>
      <c r="F18" s="17" t="n">
        <v>489</v>
      </c>
    </row>
    <row r="19">
      <c r="A19" s="14" t="n">
        <v>17</v>
      </c>
      <c r="B19" s="15" t="inlineStr">
        <is>
          <t>공구백화점(미산동)</t>
        </is>
      </c>
      <c r="C19" s="17" t="n">
        <v>24</v>
      </c>
      <c r="D19" s="18">
        <f>C19/C$27</f>
        <v/>
      </c>
      <c r="E19" s="18">
        <f>E18+D19</f>
        <v/>
      </c>
      <c r="F19" s="17" t="n">
        <v>239</v>
      </c>
    </row>
    <row r="20">
      <c r="A20" s="14" t="n">
        <v>18</v>
      </c>
      <c r="B20" s="15" t="inlineStr">
        <is>
          <t>세진테크</t>
        </is>
      </c>
      <c r="C20" s="17" t="n">
        <v>23</v>
      </c>
      <c r="D20" s="18">
        <f>C20/C$27</f>
        <v/>
      </c>
      <c r="E20" s="18">
        <f>E19+D20</f>
        <v/>
      </c>
      <c r="F20" s="17" t="n">
        <v>96</v>
      </c>
    </row>
    <row r="21">
      <c r="A21" s="14" t="n">
        <v>19</v>
      </c>
      <c r="B21" s="15" t="inlineStr">
        <is>
          <t>(주)일등정밀공구(안산)</t>
        </is>
      </c>
      <c r="C21" s="17" t="n">
        <v>18</v>
      </c>
      <c r="D21" s="18">
        <f>C21/C$27</f>
        <v/>
      </c>
      <c r="E21" s="18">
        <f>E20+D21</f>
        <v/>
      </c>
      <c r="F21" s="17" t="n">
        <v>120</v>
      </c>
    </row>
    <row r="22">
      <c r="A22" s="14" t="n">
        <v>20</v>
      </c>
      <c r="B22" s="15" t="inlineStr">
        <is>
          <t>(주)금형티에스</t>
        </is>
      </c>
      <c r="C22" s="17" t="n">
        <v>17</v>
      </c>
      <c r="D22" s="18">
        <f>C22/C$27</f>
        <v/>
      </c>
      <c r="E22" s="18">
        <f>E21+D22</f>
        <v/>
      </c>
      <c r="F22" s="17" t="n">
        <v>171</v>
      </c>
    </row>
    <row r="23">
      <c r="A23" s="14" t="n">
        <v>21</v>
      </c>
      <c r="B23" s="15" t="inlineStr">
        <is>
          <t>서림툴링</t>
        </is>
      </c>
      <c r="C23" s="17" t="n">
        <v>13</v>
      </c>
      <c r="D23" s="18">
        <f>C23/C$27</f>
        <v/>
      </c>
      <c r="E23" s="18">
        <f>E22+D23</f>
        <v/>
      </c>
      <c r="F23" s="17" t="n">
        <v>61</v>
      </c>
    </row>
    <row r="24">
      <c r="A24" s="14" t="n">
        <v>22</v>
      </c>
      <c r="B24" s="15" t="inlineStr">
        <is>
          <t>유성상공사</t>
        </is>
      </c>
      <c r="C24" s="17" t="n">
        <v>8</v>
      </c>
      <c r="D24" s="18">
        <f>C24/C$27</f>
        <v/>
      </c>
      <c r="E24" s="18">
        <f>E23+D24</f>
        <v/>
      </c>
      <c r="F24" s="17" t="n">
        <v>111</v>
      </c>
    </row>
    <row r="25">
      <c r="A25" s="14" t="n">
        <v>23</v>
      </c>
      <c r="B25" s="15" t="inlineStr">
        <is>
          <t>코끼리공구</t>
        </is>
      </c>
      <c r="C25" s="17" t="n">
        <v>3</v>
      </c>
      <c r="D25" s="18">
        <f>C25/C$27</f>
        <v/>
      </c>
      <c r="E25" s="18">
        <f>E24+D25</f>
        <v/>
      </c>
      <c r="F25" s="17" t="n">
        <v>196</v>
      </c>
    </row>
    <row r="26">
      <c r="A26" s="14" t="n">
        <v>24</v>
      </c>
      <c r="B26" s="15" t="inlineStr">
        <is>
          <t>(주)성환공구</t>
        </is>
      </c>
      <c r="C26" s="17" t="n">
        <v>2</v>
      </c>
      <c r="D26" s="18">
        <f>C26/C$27</f>
        <v/>
      </c>
      <c r="E26" s="18">
        <f>E25+D26</f>
        <v/>
      </c>
      <c r="F26" s="17" t="n">
        <v>70</v>
      </c>
    </row>
    <row r="27">
      <c r="A27" s="19" t="inlineStr">
        <is>
          <t>합계</t>
        </is>
      </c>
      <c r="B27" s="19" t="n"/>
      <c r="C27" s="20">
        <f>SUM(C3:C26)</f>
        <v/>
      </c>
      <c r="D27" s="21" t="n">
        <v>1</v>
      </c>
      <c r="E27" s="19" t="n"/>
      <c r="F27" s="20">
        <f>SUM(F3:F26)</f>
        <v/>
      </c>
    </row>
  </sheetData>
  <mergeCells count="2">
    <mergeCell ref="A27:B27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2024년 11월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11월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영우툴링-코고툴</t>
        </is>
      </c>
      <c r="C3" s="7" t="n">
        <v>317</v>
      </c>
      <c r="D3" s="8">
        <f>C3/C$38</f>
        <v/>
      </c>
      <c r="E3" s="8">
        <f>D3</f>
        <v/>
      </c>
      <c r="F3" s="7" t="n">
        <v>317</v>
      </c>
    </row>
    <row r="4">
      <c r="A4" s="4" t="n">
        <v>2</v>
      </c>
      <c r="B4" s="5" t="inlineStr">
        <is>
          <t>동명ENG-코고툴(재연마)</t>
        </is>
      </c>
      <c r="C4" s="7" t="n">
        <v>222</v>
      </c>
      <c r="D4" s="8">
        <f>C4/C$38</f>
        <v/>
      </c>
      <c r="E4" s="8">
        <f>E3+D4</f>
        <v/>
      </c>
      <c r="F4" s="7" t="n">
        <v>585</v>
      </c>
    </row>
    <row r="5">
      <c r="A5" s="4" t="n">
        <v>3</v>
      </c>
      <c r="B5" s="5" t="inlineStr">
        <is>
          <t>유비툴</t>
        </is>
      </c>
      <c r="C5" s="7" t="n">
        <v>184</v>
      </c>
      <c r="D5" s="8">
        <f>C5/C$38</f>
        <v/>
      </c>
      <c r="E5" s="8">
        <f>E4+D5</f>
        <v/>
      </c>
      <c r="F5" s="7" t="n">
        <v>1230</v>
      </c>
    </row>
    <row r="6">
      <c r="A6" s="4" t="n">
        <v>4</v>
      </c>
      <c r="B6" s="5" t="inlineStr">
        <is>
          <t>초경툴(구,성민TOOL)-코고툴</t>
        </is>
      </c>
      <c r="C6" s="7" t="n">
        <v>170</v>
      </c>
      <c r="D6" s="8">
        <f>C6/C$38</f>
        <v/>
      </c>
      <c r="E6" s="8">
        <f>E5+D6</f>
        <v/>
      </c>
      <c r="F6" s="7" t="n">
        <v>2176</v>
      </c>
    </row>
    <row r="7">
      <c r="A7" s="4" t="n">
        <v>5</v>
      </c>
      <c r="B7" s="5" t="inlineStr">
        <is>
          <t>덕원종합상사</t>
        </is>
      </c>
      <c r="C7" s="7" t="n">
        <v>140</v>
      </c>
      <c r="D7" s="8">
        <f>C7/C$38</f>
        <v/>
      </c>
      <c r="E7" s="8">
        <f>E6+D7</f>
        <v/>
      </c>
      <c r="F7" s="7" t="n">
        <v>308</v>
      </c>
    </row>
    <row r="8">
      <c r="A8" s="14" t="n">
        <v>6</v>
      </c>
      <c r="B8" s="15" t="inlineStr">
        <is>
          <t>아이티공구</t>
        </is>
      </c>
      <c r="C8" s="17" t="n">
        <v>110</v>
      </c>
      <c r="D8" s="18">
        <f>C8/C$38</f>
        <v/>
      </c>
      <c r="E8" s="18">
        <f>E7+D8</f>
        <v/>
      </c>
      <c r="F8" s="17" t="n">
        <v>1070</v>
      </c>
    </row>
    <row r="9">
      <c r="A9" s="14" t="n">
        <v>7</v>
      </c>
      <c r="B9" s="15" t="inlineStr">
        <is>
          <t>(주)세종종합상사(미산동)</t>
        </is>
      </c>
      <c r="C9" s="17" t="n">
        <v>106</v>
      </c>
      <c r="D9" s="18">
        <f>C9/C$38</f>
        <v/>
      </c>
      <c r="E9" s="18">
        <f>E8+D9</f>
        <v/>
      </c>
      <c r="F9" s="17" t="n">
        <v>201</v>
      </c>
    </row>
    <row r="10">
      <c r="A10" s="14" t="n">
        <v>8</v>
      </c>
      <c r="B10" s="15" t="inlineStr">
        <is>
          <t>대우툴링</t>
        </is>
      </c>
      <c r="C10" s="17" t="n">
        <v>89</v>
      </c>
      <c r="D10" s="18">
        <f>C10/C$38</f>
        <v/>
      </c>
      <c r="E10" s="18">
        <f>E9+D10</f>
        <v/>
      </c>
      <c r="F10" s="17" t="n">
        <v>736</v>
      </c>
    </row>
    <row r="11">
      <c r="A11" s="14" t="n">
        <v>9</v>
      </c>
      <c r="B11" s="15" t="inlineStr">
        <is>
          <t>원영공구(구,원영상사)</t>
        </is>
      </c>
      <c r="C11" s="17" t="n">
        <v>77</v>
      </c>
      <c r="D11" s="18">
        <f>C11/C$38</f>
        <v/>
      </c>
      <c r="E11" s="18">
        <f>E10+D11</f>
        <v/>
      </c>
      <c r="F11" s="17" t="n">
        <v>2394</v>
      </c>
    </row>
    <row r="12">
      <c r="A12" s="14" t="n">
        <v>10</v>
      </c>
      <c r="B12" s="15" t="inlineStr">
        <is>
          <t>영창툴링</t>
        </is>
      </c>
      <c r="C12" s="17" t="n">
        <v>72</v>
      </c>
      <c r="D12" s="18">
        <f>C12/C$38</f>
        <v/>
      </c>
      <c r="E12" s="18">
        <f>E11+D12</f>
        <v/>
      </c>
      <c r="F12" s="17" t="n">
        <v>99</v>
      </c>
    </row>
    <row r="13">
      <c r="A13" s="14" t="n">
        <v>11</v>
      </c>
      <c r="B13" s="15" t="inlineStr">
        <is>
          <t>예일공구상사</t>
        </is>
      </c>
      <c r="C13" s="17" t="n">
        <v>68</v>
      </c>
      <c r="D13" s="18">
        <f>C13/C$38</f>
        <v/>
      </c>
      <c r="E13" s="18">
        <f>E12+D13</f>
        <v/>
      </c>
      <c r="F13" s="17" t="n">
        <v>205</v>
      </c>
    </row>
    <row r="14">
      <c r="A14" s="14" t="n">
        <v>12</v>
      </c>
      <c r="B14" s="15" t="inlineStr">
        <is>
          <t>강민툴링(비봉)</t>
        </is>
      </c>
      <c r="C14" s="17" t="n">
        <v>64</v>
      </c>
      <c r="D14" s="18">
        <f>C14/C$38</f>
        <v/>
      </c>
      <c r="E14" s="18">
        <f>E13+D14</f>
        <v/>
      </c>
      <c r="F14" s="17" t="n">
        <v>1619</v>
      </c>
    </row>
    <row r="15">
      <c r="A15" s="14" t="n">
        <v>13</v>
      </c>
      <c r="B15" s="15" t="inlineStr">
        <is>
          <t>(주)공화공구</t>
        </is>
      </c>
      <c r="C15" s="17" t="n">
        <v>59</v>
      </c>
      <c r="D15" s="18">
        <f>C15/C$38</f>
        <v/>
      </c>
      <c r="E15" s="18">
        <f>E14+D15</f>
        <v/>
      </c>
      <c r="F15" s="17" t="n">
        <v>938</v>
      </c>
    </row>
    <row r="16">
      <c r="A16" s="14" t="n">
        <v>14</v>
      </c>
      <c r="B16" s="15" t="inlineStr">
        <is>
          <t>아신상사</t>
        </is>
      </c>
      <c r="C16" s="17" t="n">
        <v>34</v>
      </c>
      <c r="D16" s="18">
        <f>C16/C$38</f>
        <v/>
      </c>
      <c r="E16" s="18">
        <f>E15+D16</f>
        <v/>
      </c>
      <c r="F16" s="17" t="n">
        <v>305</v>
      </c>
    </row>
    <row r="17">
      <c r="A17" s="14" t="n">
        <v>15</v>
      </c>
      <c r="B17" s="15" t="inlineStr">
        <is>
          <t>세진테크</t>
        </is>
      </c>
      <c r="C17" s="17" t="n">
        <v>23</v>
      </c>
      <c r="D17" s="18">
        <f>C17/C$38</f>
        <v/>
      </c>
      <c r="E17" s="18">
        <f>E16+D17</f>
        <v/>
      </c>
      <c r="F17" s="17" t="n">
        <v>96</v>
      </c>
    </row>
    <row r="18">
      <c r="A18" s="14" t="n">
        <v>16</v>
      </c>
      <c r="B18" s="15" t="inlineStr">
        <is>
          <t>이엠티(EMT)</t>
        </is>
      </c>
      <c r="C18" s="17" t="n">
        <v>20</v>
      </c>
      <c r="D18" s="18">
        <f>C18/C$38</f>
        <v/>
      </c>
      <c r="E18" s="18">
        <f>E17+D18</f>
        <v/>
      </c>
      <c r="F18" s="17" t="n">
        <v>112</v>
      </c>
    </row>
    <row r="19">
      <c r="A19" s="14" t="n">
        <v>17</v>
      </c>
      <c r="B19" s="15" t="inlineStr">
        <is>
          <t>대륙기계공구</t>
        </is>
      </c>
      <c r="C19" s="17" t="n">
        <v>18</v>
      </c>
      <c r="D19" s="18">
        <f>C19/C$38</f>
        <v/>
      </c>
      <c r="E19" s="18">
        <f>E18+D19</f>
        <v/>
      </c>
      <c r="F19" s="17" t="n">
        <v>188</v>
      </c>
    </row>
    <row r="20">
      <c r="A20" s="14" t="n">
        <v>18</v>
      </c>
      <c r="B20" s="15" t="inlineStr">
        <is>
          <t>반석공구</t>
        </is>
      </c>
      <c r="C20" s="17" t="n">
        <v>18</v>
      </c>
      <c r="D20" s="18">
        <f>C20/C$38</f>
        <v/>
      </c>
      <c r="E20" s="18">
        <f>E19+D20</f>
        <v/>
      </c>
      <c r="F20" s="17" t="n">
        <v>489</v>
      </c>
    </row>
    <row r="21">
      <c r="A21" s="14" t="n">
        <v>19</v>
      </c>
      <c r="B21" s="15" t="inlineStr">
        <is>
          <t>핫몰드엔지니어링주식회사-코고툴(재연마)</t>
        </is>
      </c>
      <c r="C21" s="17" t="n">
        <v>17</v>
      </c>
      <c r="D21" s="18">
        <f>C21/C$38</f>
        <v/>
      </c>
      <c r="E21" s="18">
        <f>E20+D21</f>
        <v/>
      </c>
      <c r="F21" s="17" t="n">
        <v>59</v>
      </c>
    </row>
    <row r="22">
      <c r="A22" s="14" t="n">
        <v>20</v>
      </c>
      <c r="B22" s="15" t="inlineStr">
        <is>
          <t>대양공구(인천)</t>
        </is>
      </c>
      <c r="C22" s="17" t="n">
        <v>15</v>
      </c>
      <c r="D22" s="18">
        <f>C22/C$38</f>
        <v/>
      </c>
      <c r="E22" s="18">
        <f>E21+D22</f>
        <v/>
      </c>
      <c r="F22" s="17" t="n">
        <v>15</v>
      </c>
    </row>
    <row r="23">
      <c r="A23" s="14" t="n">
        <v>21</v>
      </c>
      <c r="B23" s="15" t="inlineStr">
        <is>
          <t>대성테크</t>
        </is>
      </c>
      <c r="C23" s="17" t="n">
        <v>14</v>
      </c>
      <c r="D23" s="18">
        <f>C23/C$38</f>
        <v/>
      </c>
      <c r="E23" s="18">
        <f>E22+D23</f>
        <v/>
      </c>
      <c r="F23" s="17" t="n">
        <v>44</v>
      </c>
    </row>
    <row r="24">
      <c r="A24" s="14" t="n">
        <v>22</v>
      </c>
      <c r="B24" s="15" t="inlineStr">
        <is>
          <t>왕삼아공구</t>
        </is>
      </c>
      <c r="C24" s="17" t="n">
        <v>11</v>
      </c>
      <c r="D24" s="18">
        <f>C24/C$38</f>
        <v/>
      </c>
      <c r="E24" s="18">
        <f>E23+D24</f>
        <v/>
      </c>
      <c r="F24" s="17" t="n">
        <v>303</v>
      </c>
    </row>
    <row r="25">
      <c r="A25" s="14" t="n">
        <v>23</v>
      </c>
      <c r="B25" s="15" t="inlineStr">
        <is>
          <t>뉴툴(New tool)</t>
        </is>
      </c>
      <c r="C25" s="17" t="n">
        <v>9</v>
      </c>
      <c r="D25" s="18">
        <f>C25/C$38</f>
        <v/>
      </c>
      <c r="E25" s="18">
        <f>E24+D25</f>
        <v/>
      </c>
      <c r="F25" s="17" t="n">
        <v>41</v>
      </c>
    </row>
    <row r="26">
      <c r="A26" s="14" t="n">
        <v>24</v>
      </c>
      <c r="B26" s="15" t="inlineStr">
        <is>
          <t>서림툴링</t>
        </is>
      </c>
      <c r="C26" s="17" t="n">
        <v>6</v>
      </c>
      <c r="D26" s="18">
        <f>C26/C$38</f>
        <v/>
      </c>
      <c r="E26" s="18">
        <f>E25+D26</f>
        <v/>
      </c>
      <c r="F26" s="17" t="n">
        <v>61</v>
      </c>
    </row>
    <row r="27">
      <c r="A27" s="14" t="n">
        <v>25</v>
      </c>
      <c r="B27" s="15" t="inlineStr">
        <is>
          <t>유성상공사</t>
        </is>
      </c>
      <c r="C27" s="17" t="n">
        <v>4</v>
      </c>
      <c r="D27" s="18">
        <f>C27/C$38</f>
        <v/>
      </c>
      <c r="E27" s="18">
        <f>E26+D27</f>
        <v/>
      </c>
      <c r="F27" s="17" t="n">
        <v>111</v>
      </c>
    </row>
    <row r="28">
      <c r="A28" s="14" t="n">
        <v>26</v>
      </c>
      <c r="B28" s="15" t="inlineStr">
        <is>
          <t>(주)성신툴링</t>
        </is>
      </c>
      <c r="C28" s="17" t="n">
        <v>4</v>
      </c>
      <c r="D28" s="18">
        <f>C28/C$38</f>
        <v/>
      </c>
      <c r="E28" s="18">
        <f>E27+D28</f>
        <v/>
      </c>
      <c r="F28" s="17" t="n">
        <v>6</v>
      </c>
    </row>
    <row r="29">
      <c r="A29" s="14" t="n">
        <v>27</v>
      </c>
      <c r="B29" s="15" t="inlineStr">
        <is>
          <t>금아기공</t>
        </is>
      </c>
      <c r="C29" s="17" t="n">
        <v>3</v>
      </c>
      <c r="D29" s="18">
        <f>C29/C$38</f>
        <v/>
      </c>
      <c r="E29" s="18">
        <f>E28+D29</f>
        <v/>
      </c>
      <c r="F29" s="17" t="n">
        <v>3</v>
      </c>
    </row>
    <row r="30">
      <c r="A30" s="14" t="n">
        <v>28</v>
      </c>
      <c r="B30" s="15" t="inlineStr">
        <is>
          <t>공구백화점(미산동)</t>
        </is>
      </c>
      <c r="C30" s="17" t="n">
        <v>3</v>
      </c>
      <c r="D30" s="18">
        <f>C30/C$38</f>
        <v/>
      </c>
      <c r="E30" s="18">
        <f>E29+D30</f>
        <v/>
      </c>
      <c r="F30" s="17" t="n">
        <v>239</v>
      </c>
    </row>
    <row r="31">
      <c r="A31" s="14" t="n">
        <v>29</v>
      </c>
      <c r="B31" s="15" t="inlineStr">
        <is>
          <t>(주)일등정밀공구(안산)</t>
        </is>
      </c>
      <c r="C31" s="17" t="n">
        <v>2</v>
      </c>
      <c r="D31" s="18">
        <f>C31/C$38</f>
        <v/>
      </c>
      <c r="E31" s="18">
        <f>E30+D31</f>
        <v/>
      </c>
      <c r="F31" s="17" t="n">
        <v>120</v>
      </c>
    </row>
    <row r="32">
      <c r="A32" s="14" t="n">
        <v>30</v>
      </c>
      <c r="B32" s="15" t="inlineStr">
        <is>
          <t>미래상사</t>
        </is>
      </c>
      <c r="C32" s="17" t="n">
        <v>2</v>
      </c>
      <c r="D32" s="18">
        <f>C32/C$38</f>
        <v/>
      </c>
      <c r="E32" s="18">
        <f>E31+D32</f>
        <v/>
      </c>
      <c r="F32" s="17" t="n">
        <v>19</v>
      </c>
    </row>
    <row r="33">
      <c r="A33" s="14" t="n">
        <v>31</v>
      </c>
      <c r="B33" s="15" t="inlineStr">
        <is>
          <t>케이엠툴링</t>
        </is>
      </c>
      <c r="C33" s="17" t="n">
        <v>2</v>
      </c>
      <c r="D33" s="18">
        <f>C33/C$38</f>
        <v/>
      </c>
      <c r="E33" s="18">
        <f>E32+D33</f>
        <v/>
      </c>
      <c r="F33" s="17" t="n">
        <v>658</v>
      </c>
    </row>
    <row r="34">
      <c r="A34" s="14" t="n">
        <v>32</v>
      </c>
      <c r="B34" s="15" t="inlineStr">
        <is>
          <t>(주)성환공구</t>
        </is>
      </c>
      <c r="C34" s="17" t="n">
        <v>1</v>
      </c>
      <c r="D34" s="18">
        <f>C34/C$38</f>
        <v/>
      </c>
      <c r="E34" s="18">
        <f>E33+D34</f>
        <v/>
      </c>
      <c r="F34" s="17" t="n">
        <v>70</v>
      </c>
    </row>
    <row r="35">
      <c r="A35" s="14" t="n">
        <v>33</v>
      </c>
      <c r="B35" s="15" t="inlineStr">
        <is>
          <t>유성종합공구</t>
        </is>
      </c>
      <c r="C35" s="17" t="n">
        <v>1</v>
      </c>
      <c r="D35" s="18">
        <f>C35/C$38</f>
        <v/>
      </c>
      <c r="E35" s="18">
        <f>E34+D35</f>
        <v/>
      </c>
      <c r="F35" s="17" t="n">
        <v>88</v>
      </c>
    </row>
    <row r="36">
      <c r="A36" s="14" t="n">
        <v>34</v>
      </c>
      <c r="B36" s="15" t="inlineStr">
        <is>
          <t>정원상사(김포)</t>
        </is>
      </c>
      <c r="C36" s="17" t="n">
        <v>1</v>
      </c>
      <c r="D36" s="18">
        <f>C36/C$38</f>
        <v/>
      </c>
      <c r="E36" s="18">
        <f>E35+D36</f>
        <v/>
      </c>
      <c r="F36" s="17" t="n">
        <v>1</v>
      </c>
    </row>
    <row r="37">
      <c r="A37" s="14" t="n">
        <v>35</v>
      </c>
      <c r="B37" s="15" t="inlineStr">
        <is>
          <t xml:space="preserve">(주)툴탑 </t>
        </is>
      </c>
      <c r="C37" s="17" t="n">
        <v>1</v>
      </c>
      <c r="D37" s="18">
        <f>C37/C$38</f>
        <v/>
      </c>
      <c r="E37" s="18">
        <f>E36+D37</f>
        <v/>
      </c>
      <c r="F37" s="17" t="n">
        <v>1</v>
      </c>
    </row>
    <row r="38">
      <c r="A38" s="19" t="inlineStr">
        <is>
          <t>합계</t>
        </is>
      </c>
      <c r="B38" s="19" t="n"/>
      <c r="C38" s="20">
        <f>SUM(C3:C37)</f>
        <v/>
      </c>
      <c r="D38" s="21" t="n">
        <v>1</v>
      </c>
      <c r="E38" s="19" t="n"/>
      <c r="F38" s="20">
        <f>SUM(F3:F37)</f>
        <v/>
      </c>
    </row>
  </sheetData>
  <mergeCells count="2">
    <mergeCell ref="A38:B38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2024년 12월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12월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아이티공구</t>
        </is>
      </c>
      <c r="C3" s="7" t="n">
        <v>241</v>
      </c>
      <c r="D3" s="8">
        <f>C3/C$30</f>
        <v/>
      </c>
      <c r="E3" s="8">
        <f>D3</f>
        <v/>
      </c>
      <c r="F3" s="7" t="n">
        <v>1070</v>
      </c>
    </row>
    <row r="4">
      <c r="A4" s="4" t="n">
        <v>2</v>
      </c>
      <c r="B4" s="5" t="inlineStr">
        <is>
          <t>덕원종합상사</t>
        </is>
      </c>
      <c r="C4" s="7" t="n">
        <v>168</v>
      </c>
      <c r="D4" s="8">
        <f>C4/C$30</f>
        <v/>
      </c>
      <c r="E4" s="8">
        <f>E3+D4</f>
        <v/>
      </c>
      <c r="F4" s="7" t="n">
        <v>308</v>
      </c>
    </row>
    <row r="5">
      <c r="A5" s="4" t="n">
        <v>3</v>
      </c>
      <c r="B5" s="5" t="inlineStr">
        <is>
          <t>초경툴(구,성민TOOL)-코고툴</t>
        </is>
      </c>
      <c r="C5" s="7" t="n">
        <v>150</v>
      </c>
      <c r="D5" s="8">
        <f>C5/C$30</f>
        <v/>
      </c>
      <c r="E5" s="8">
        <f>E4+D5</f>
        <v/>
      </c>
      <c r="F5" s="7" t="n">
        <v>2176</v>
      </c>
    </row>
    <row r="6">
      <c r="A6" s="4" t="n">
        <v>4</v>
      </c>
      <c r="B6" s="5" t="inlineStr">
        <is>
          <t>강민툴링(비봉)</t>
        </is>
      </c>
      <c r="C6" s="7" t="n">
        <v>130</v>
      </c>
      <c r="D6" s="8">
        <f>C6/C$30</f>
        <v/>
      </c>
      <c r="E6" s="8">
        <f>E5+D6</f>
        <v/>
      </c>
      <c r="F6" s="7" t="n">
        <v>1619</v>
      </c>
    </row>
    <row r="7">
      <c r="A7" s="4" t="n">
        <v>5</v>
      </c>
      <c r="B7" s="5" t="inlineStr">
        <is>
          <t>동명ENG-코고툴(재연마)</t>
        </is>
      </c>
      <c r="C7" s="7" t="n">
        <v>129</v>
      </c>
      <c r="D7" s="8">
        <f>C7/C$30</f>
        <v/>
      </c>
      <c r="E7" s="8">
        <f>E6+D7</f>
        <v/>
      </c>
      <c r="F7" s="7" t="n">
        <v>585</v>
      </c>
    </row>
    <row r="8">
      <c r="A8" s="14" t="n">
        <v>6</v>
      </c>
      <c r="B8" s="15" t="inlineStr">
        <is>
          <t>(주)공화공구</t>
        </is>
      </c>
      <c r="C8" s="17" t="n">
        <v>105</v>
      </c>
      <c r="D8" s="18">
        <f>C8/C$30</f>
        <v/>
      </c>
      <c r="E8" s="18">
        <f>E7+D8</f>
        <v/>
      </c>
      <c r="F8" s="17" t="n">
        <v>938</v>
      </c>
    </row>
    <row r="9">
      <c r="A9" s="14" t="n">
        <v>7</v>
      </c>
      <c r="B9" s="15" t="inlineStr">
        <is>
          <t>영우툴링(창성툴)</t>
        </is>
      </c>
      <c r="C9" s="17" t="n">
        <v>102</v>
      </c>
      <c r="D9" s="18">
        <f>C9/C$30</f>
        <v/>
      </c>
      <c r="E9" s="18">
        <f>E8+D9</f>
        <v/>
      </c>
      <c r="F9" s="17" t="n">
        <v>102</v>
      </c>
    </row>
    <row r="10">
      <c r="A10" s="14" t="n">
        <v>8</v>
      </c>
      <c r="B10" s="15" t="inlineStr">
        <is>
          <t>원영공구(구,원영상사)</t>
        </is>
      </c>
      <c r="C10" s="17" t="n">
        <v>101</v>
      </c>
      <c r="D10" s="18">
        <f>C10/C$30</f>
        <v/>
      </c>
      <c r="E10" s="18">
        <f>E9+D10</f>
        <v/>
      </c>
      <c r="F10" s="17" t="n">
        <v>2394</v>
      </c>
    </row>
    <row r="11">
      <c r="A11" s="14" t="n">
        <v>9</v>
      </c>
      <c r="B11" s="15" t="inlineStr">
        <is>
          <t>유비툴</t>
        </is>
      </c>
      <c r="C11" s="17" t="n">
        <v>90</v>
      </c>
      <c r="D11" s="18">
        <f>C11/C$30</f>
        <v/>
      </c>
      <c r="E11" s="18">
        <f>E10+D11</f>
        <v/>
      </c>
      <c r="F11" s="17" t="n">
        <v>1230</v>
      </c>
    </row>
    <row r="12">
      <c r="A12" s="14" t="n">
        <v>10</v>
      </c>
      <c r="B12" s="15" t="inlineStr">
        <is>
          <t>대우툴링</t>
        </is>
      </c>
      <c r="C12" s="17" t="n">
        <v>69</v>
      </c>
      <c r="D12" s="18">
        <f>C12/C$30</f>
        <v/>
      </c>
      <c r="E12" s="18">
        <f>E11+D12</f>
        <v/>
      </c>
      <c r="F12" s="17" t="n">
        <v>736</v>
      </c>
    </row>
    <row r="13">
      <c r="A13" s="14" t="n">
        <v>11</v>
      </c>
      <c r="B13" s="15" t="inlineStr">
        <is>
          <t>신우툴링(남동)</t>
        </is>
      </c>
      <c r="C13" s="17" t="n">
        <v>60</v>
      </c>
      <c r="D13" s="18">
        <f>C13/C$30</f>
        <v/>
      </c>
      <c r="E13" s="18">
        <f>E12+D13</f>
        <v/>
      </c>
      <c r="F13" s="17" t="n">
        <v>444</v>
      </c>
    </row>
    <row r="14">
      <c r="A14" s="14" t="n">
        <v>12</v>
      </c>
      <c r="B14" s="15" t="inlineStr">
        <is>
          <t>세운상사</t>
        </is>
      </c>
      <c r="C14" s="17" t="n">
        <v>38</v>
      </c>
      <c r="D14" s="18">
        <f>C14/C$30</f>
        <v/>
      </c>
      <c r="E14" s="18">
        <f>E13+D14</f>
        <v/>
      </c>
      <c r="F14" s="17" t="n">
        <v>67</v>
      </c>
    </row>
    <row r="15">
      <c r="A15" s="14" t="n">
        <v>13</v>
      </c>
      <c r="B15" s="15" t="inlineStr">
        <is>
          <t>상신툴링(병점)</t>
        </is>
      </c>
      <c r="C15" s="17" t="n">
        <v>36</v>
      </c>
      <c r="D15" s="18">
        <f>C15/C$30</f>
        <v/>
      </c>
      <c r="E15" s="18">
        <f>E14+D15</f>
        <v/>
      </c>
      <c r="F15" s="17" t="n">
        <v>202</v>
      </c>
    </row>
    <row r="16">
      <c r="A16" s="14" t="n">
        <v>14</v>
      </c>
      <c r="B16" s="15" t="inlineStr">
        <is>
          <t>코끼리공구</t>
        </is>
      </c>
      <c r="C16" s="17" t="n">
        <v>35</v>
      </c>
      <c r="D16" s="18">
        <f>C16/C$30</f>
        <v/>
      </c>
      <c r="E16" s="18">
        <f>E15+D16</f>
        <v/>
      </c>
      <c r="F16" s="17" t="n">
        <v>196</v>
      </c>
    </row>
    <row r="17">
      <c r="A17" s="14" t="n">
        <v>15</v>
      </c>
      <c r="B17" s="15" t="inlineStr">
        <is>
          <t>(주)코리아테크닉스</t>
        </is>
      </c>
      <c r="C17" s="17" t="n">
        <v>31</v>
      </c>
      <c r="D17" s="18">
        <f>C17/C$30</f>
        <v/>
      </c>
      <c r="E17" s="18">
        <f>E16+D17</f>
        <v/>
      </c>
      <c r="F17" s="17" t="n">
        <v>252</v>
      </c>
    </row>
    <row r="18">
      <c r="A18" s="14" t="n">
        <v>16</v>
      </c>
      <c r="B18" s="15" t="inlineStr">
        <is>
          <t>공구백화점(미산동)</t>
        </is>
      </c>
      <c r="C18" s="17" t="n">
        <v>31</v>
      </c>
      <c r="D18" s="18">
        <f>C18/C$30</f>
        <v/>
      </c>
      <c r="E18" s="18">
        <f>E17+D18</f>
        <v/>
      </c>
      <c r="F18" s="17" t="n">
        <v>239</v>
      </c>
    </row>
    <row r="19">
      <c r="A19" s="14" t="n">
        <v>17</v>
      </c>
      <c r="B19" s="15" t="inlineStr">
        <is>
          <t>(주)일등정밀공구(안산)</t>
        </is>
      </c>
      <c r="C19" s="17" t="n">
        <v>25</v>
      </c>
      <c r="D19" s="18">
        <f>C19/C$30</f>
        <v/>
      </c>
      <c r="E19" s="18">
        <f>E18+D19</f>
        <v/>
      </c>
      <c r="F19" s="17" t="n">
        <v>120</v>
      </c>
    </row>
    <row r="20">
      <c r="A20" s="14" t="n">
        <v>18</v>
      </c>
      <c r="B20" s="15" t="inlineStr">
        <is>
          <t>대명종합공구-코고툴(재연마)</t>
        </is>
      </c>
      <c r="C20" s="17" t="n">
        <v>18</v>
      </c>
      <c r="D20" s="18">
        <f>C20/C$30</f>
        <v/>
      </c>
      <c r="E20" s="18">
        <f>E19+D20</f>
        <v/>
      </c>
      <c r="F20" s="17" t="n">
        <v>44</v>
      </c>
    </row>
    <row r="21">
      <c r="A21" s="14" t="n">
        <v>19</v>
      </c>
      <c r="B21" s="15" t="inlineStr">
        <is>
          <t>이엠티(EMT)</t>
        </is>
      </c>
      <c r="C21" s="17" t="n">
        <v>17</v>
      </c>
      <c r="D21" s="18">
        <f>C21/C$30</f>
        <v/>
      </c>
      <c r="E21" s="18">
        <f>E20+D21</f>
        <v/>
      </c>
      <c r="F21" s="17" t="n">
        <v>112</v>
      </c>
    </row>
    <row r="22">
      <c r="A22" s="14" t="n">
        <v>20</v>
      </c>
      <c r="B22" s="15" t="inlineStr">
        <is>
          <t>대륙기계공구</t>
        </is>
      </c>
      <c r="C22" s="17" t="n">
        <v>16</v>
      </c>
      <c r="D22" s="18">
        <f>C22/C$30</f>
        <v/>
      </c>
      <c r="E22" s="18">
        <f>E21+D22</f>
        <v/>
      </c>
      <c r="F22" s="17" t="n">
        <v>188</v>
      </c>
    </row>
    <row r="23">
      <c r="A23" s="14" t="n">
        <v>21</v>
      </c>
      <c r="B23" s="15" t="inlineStr">
        <is>
          <t>서림툴링</t>
        </is>
      </c>
      <c r="C23" s="17" t="n">
        <v>15</v>
      </c>
      <c r="D23" s="18">
        <f>C23/C$30</f>
        <v/>
      </c>
      <c r="E23" s="18">
        <f>E22+D23</f>
        <v/>
      </c>
      <c r="F23" s="17" t="n">
        <v>61</v>
      </c>
    </row>
    <row r="24">
      <c r="A24" s="14" t="n">
        <v>22</v>
      </c>
      <c r="B24" s="15" t="inlineStr">
        <is>
          <t>왕삼아공구</t>
        </is>
      </c>
      <c r="C24" s="17" t="n">
        <v>12</v>
      </c>
      <c r="D24" s="18">
        <f>C24/C$30</f>
        <v/>
      </c>
      <c r="E24" s="18">
        <f>E23+D24</f>
        <v/>
      </c>
      <c r="F24" s="17" t="n">
        <v>303</v>
      </c>
    </row>
    <row r="25">
      <c r="A25" s="14" t="n">
        <v>23</v>
      </c>
      <c r="B25" s="15" t="inlineStr">
        <is>
          <t>반석공구</t>
        </is>
      </c>
      <c r="C25" s="17" t="n">
        <v>10</v>
      </c>
      <c r="D25" s="18">
        <f>C25/C$30</f>
        <v/>
      </c>
      <c r="E25" s="18">
        <f>E24+D25</f>
        <v/>
      </c>
      <c r="F25" s="17" t="n">
        <v>489</v>
      </c>
    </row>
    <row r="26">
      <c r="A26" s="14" t="n">
        <v>24</v>
      </c>
      <c r="B26" s="15" t="inlineStr">
        <is>
          <t>유성종합공구</t>
        </is>
      </c>
      <c r="C26" s="17" t="n">
        <v>9</v>
      </c>
      <c r="D26" s="18">
        <f>C26/C$30</f>
        <v/>
      </c>
      <c r="E26" s="18">
        <f>E25+D26</f>
        <v/>
      </c>
      <c r="F26" s="17" t="n">
        <v>88</v>
      </c>
    </row>
    <row r="27">
      <c r="A27" s="14" t="n">
        <v>25</v>
      </c>
      <c r="B27" s="15" t="inlineStr">
        <is>
          <t>대한초경공구</t>
        </is>
      </c>
      <c r="C27" s="17" t="n">
        <v>4</v>
      </c>
      <c r="D27" s="18">
        <f>C27/C$30</f>
        <v/>
      </c>
      <c r="E27" s="18">
        <f>E26+D27</f>
        <v/>
      </c>
      <c r="F27" s="17" t="n">
        <v>10</v>
      </c>
    </row>
    <row r="28">
      <c r="A28" s="14" t="n">
        <v>26</v>
      </c>
      <c r="B28" s="15" t="inlineStr">
        <is>
          <t>(주)상신툴링(오산)</t>
        </is>
      </c>
      <c r="C28" s="17" t="n">
        <v>3</v>
      </c>
      <c r="D28" s="18">
        <f>C28/C$30</f>
        <v/>
      </c>
      <c r="E28" s="18">
        <f>E27+D28</f>
        <v/>
      </c>
      <c r="F28" s="17" t="n">
        <v>3</v>
      </c>
    </row>
    <row r="29">
      <c r="A29" s="14" t="n">
        <v>27</v>
      </c>
      <c r="B29" s="15" t="inlineStr">
        <is>
          <t>유진상사(문래)</t>
        </is>
      </c>
      <c r="C29" s="17" t="n">
        <v>2</v>
      </c>
      <c r="D29" s="18">
        <f>C29/C$30</f>
        <v/>
      </c>
      <c r="E29" s="18">
        <f>E28+D29</f>
        <v/>
      </c>
      <c r="F29" s="17" t="n">
        <v>432</v>
      </c>
    </row>
    <row r="30">
      <c r="A30" s="19" t="inlineStr">
        <is>
          <t>합계</t>
        </is>
      </c>
      <c r="B30" s="19" t="n"/>
      <c r="C30" s="20">
        <f>SUM(C3:C29)</f>
        <v/>
      </c>
      <c r="D30" s="21" t="n">
        <v>1</v>
      </c>
      <c r="E30" s="19" t="n"/>
      <c r="F30" s="20">
        <f>SUM(F3:F29)</f>
        <v/>
      </c>
    </row>
  </sheetData>
  <mergeCells count="2">
    <mergeCell ref="A30:B3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2026-05-31T23:36:09Z</dcterms:created>
  <dcterms:modified xsi:type="dcterms:W3CDTF">2026-05-31T23:36:10Z</dcterms:modified>
</cp:coreProperties>
</file>