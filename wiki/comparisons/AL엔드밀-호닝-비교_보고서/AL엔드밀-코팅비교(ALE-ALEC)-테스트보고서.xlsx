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테스트보고서" sheetId="1" state="visible" r:id="rId1"/>
    <sheet xmlns:r="http://schemas.openxmlformats.org/officeDocument/2006/relationships" name="양식 설계 노트" sheetId="2" state="visible" r:id="rId2"/>
    <sheet xmlns:r="http://schemas.openxmlformats.org/officeDocument/2006/relationships" name="치수측정비교" sheetId="3" state="visible" r:id="rId3"/>
    <sheet xmlns:r="http://schemas.openxmlformats.org/officeDocument/2006/relationships" name="도입검토평가" sheetId="4" state="visible" r:id="rId4"/>
  </sheets>
  <definedNames>
    <definedName name="_xlnm.Print_Area" localSheetId="0">'테스트보고서'!$A$1:$H$72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0.000"/>
    <numFmt numFmtId="166" formatCode="0.0"/>
  </numFmts>
  <fonts count="3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맑은 고딕"/>
      <charset val="129"/>
      <family val="3"/>
      <color theme="1"/>
      <sz val="12"/>
    </font>
    <font>
      <name val="Noto Sans CJK SC"/>
      <charset val="1"/>
      <family val="2"/>
      <b val="1"/>
      <color rgb="FFFFFFFF"/>
      <sz val="22"/>
    </font>
    <font>
      <name val="맑은 고딕"/>
      <charset val="1"/>
      <family val="0"/>
      <i val="1"/>
      <color rgb="FF404040"/>
      <sz val="13"/>
    </font>
    <font>
      <name val="Noto Sans CJK SC"/>
      <family val="2"/>
      <i val="1"/>
      <color rgb="FF404040"/>
      <sz val="13"/>
    </font>
    <font>
      <name val="Noto Sans CJK SC"/>
      <charset val="1"/>
      <family val="2"/>
      <b val="1"/>
      <color rgb="FFFFFFFF"/>
      <sz val="15"/>
    </font>
    <font>
      <name val="Noto Sans CJK SC"/>
      <charset val="1"/>
      <family val="2"/>
      <b val="1"/>
      <color rgb="FF000000"/>
      <sz val="13"/>
    </font>
    <font>
      <name val="맑은 고딕"/>
      <charset val="129"/>
      <family val="3"/>
      <sz val="12"/>
    </font>
    <font>
      <name val="Noto Sans CJK SC"/>
      <charset val="1"/>
      <family val="2"/>
      <sz val="13"/>
    </font>
    <font>
      <name val="Noto Sans CJK SC"/>
      <charset val="1"/>
      <family val="2"/>
      <sz val="12"/>
    </font>
    <font>
      <name val="Noto Sans CJK SC"/>
      <family val="2"/>
      <sz val="12"/>
    </font>
    <font>
      <name val="Noto Sans CJK SC"/>
      <charset val="1"/>
      <family val="2"/>
      <color rgb="FF000000"/>
      <sz val="13"/>
    </font>
    <font>
      <name val="맑은 고딕"/>
      <charset val="129"/>
      <family val="3"/>
      <color rgb="FF0000FF"/>
      <sz val="12"/>
    </font>
    <font>
      <name val="Noto Sans CJK SC"/>
      <charset val="1"/>
      <family val="2"/>
      <color rgb="FF0000FF"/>
      <sz val="12"/>
    </font>
    <font>
      <name val="Noto Sans CJK SC"/>
      <charset val="1"/>
      <family val="2"/>
      <b val="1"/>
      <sz val="13"/>
    </font>
    <font>
      <name val="맑은 고딕"/>
      <charset val="1"/>
      <family val="0"/>
      <color rgb="FF000000"/>
      <sz val="13"/>
    </font>
    <font>
      <name val="Noto Sans CJK SC"/>
      <charset val="1"/>
      <family val="2"/>
      <i val="1"/>
      <color rgb="FF808080"/>
      <sz val="13"/>
    </font>
    <font>
      <name val="맑은 고딕"/>
      <charset val="1"/>
      <family val="0"/>
      <b val="1"/>
      <color rgb="FF000000"/>
      <sz val="13"/>
    </font>
    <font>
      <name val="Noto Sans CJK SC"/>
      <family val="2"/>
      <b val="1"/>
      <color rgb="FF000000"/>
      <sz val="13"/>
    </font>
    <font>
      <name val="맑은 고딕"/>
      <charset val="1"/>
      <family val="0"/>
      <b val="1"/>
      <sz val="13"/>
    </font>
    <font>
      <name val="Noto Sans CJK SC"/>
      <family val="2"/>
      <color rgb="FF0000FF"/>
      <sz val="12"/>
    </font>
    <font>
      <name val="Noto Sans CJK SC"/>
      <family val="2"/>
      <color rgb="FF000000"/>
      <sz val="13"/>
    </font>
    <font>
      <name val="Noto Sans CJK SC"/>
      <charset val="1"/>
      <family val="2"/>
      <color theme="1"/>
      <sz val="12"/>
    </font>
    <font>
      <name val="맑은 고딕"/>
      <charset val="1"/>
      <family val="0"/>
      <i val="1"/>
      <color rgb="FF808080"/>
      <sz val="13"/>
    </font>
    <font>
      <name val="Noto Sans CJK SC"/>
      <family val="2"/>
      <i val="1"/>
      <color rgb="FF808080"/>
      <sz val="13"/>
    </font>
    <font>
      <name val="Noto Sans CJK SC"/>
      <charset val="1"/>
      <family val="2"/>
      <b val="1"/>
      <sz val="14"/>
    </font>
    <font>
      <name val="맑은 고딕"/>
      <charset val="1"/>
      <family val="0"/>
      <sz val="12"/>
    </font>
    <font>
      <name val="맑은 고딕"/>
      <charset val="1"/>
      <family val="0"/>
      <b val="1"/>
      <sz val="12"/>
    </font>
    <font>
      <name val="Noto Sans CJK SC"/>
      <family val="2"/>
      <b val="1"/>
      <sz val="12"/>
    </font>
    <font>
      <name val="Noto Sans CJK SC"/>
      <charset val="1"/>
      <family val="2"/>
      <b val="1"/>
      <color rgb="FFFFFFFF"/>
      <sz val="14"/>
    </font>
    <font>
      <name val="Noto Sans CJK SC"/>
      <charset val="1"/>
      <family val="2"/>
      <i val="1"/>
      <color rgb="FF808080"/>
      <sz val="12"/>
    </font>
    <font>
      <name val="Noto Sans CJK SC"/>
      <charset val="1"/>
      <family val="2"/>
      <b val="1"/>
      <color rgb="FFFFFFFF"/>
      <sz val="12"/>
    </font>
    <font>
      <name val="Noto Sans CJK SC"/>
      <charset val="1"/>
      <family val="2"/>
      <b val="1"/>
      <sz val="12"/>
    </font>
    <font>
      <name val="맑은 고딕"/>
      <charset val="1"/>
      <family val="0"/>
      <color theme="1"/>
      <sz val="12"/>
    </font>
  </fonts>
  <fills count="16">
    <fill>
      <patternFill/>
    </fill>
    <fill>
      <patternFill patternType="gray125"/>
    </fill>
    <fill>
      <patternFill patternType="solid">
        <fgColor rgb="FF1F3864"/>
        <bgColor rgb="FF2E2E2E"/>
      </patternFill>
    </fill>
    <fill>
      <patternFill patternType="solid">
        <fgColor rgb="FFD9D9D9"/>
        <bgColor rgb="FFF2F2F2"/>
      </patternFill>
    </fill>
    <fill>
      <patternFill patternType="solid">
        <fgColor rgb="FF2E75B6"/>
        <bgColor rgb="FF31859C"/>
      </patternFill>
    </fill>
    <fill>
      <patternFill patternType="solid">
        <fgColor rgb="FF548235"/>
        <bgColor rgb="FF80808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BF8F00"/>
        <bgColor rgb="FFFF6600"/>
      </patternFill>
    </fill>
    <fill>
      <patternFill patternType="solid">
        <fgColor rgb="FF833C0C"/>
        <bgColor rgb="FF7F6000"/>
      </patternFill>
    </fill>
    <fill>
      <patternFill patternType="solid">
        <fgColor rgb="FF375623"/>
        <bgColor rgb="FF404040"/>
      </patternFill>
    </fill>
    <fill>
      <patternFill patternType="solid">
        <fgColor rgb="FFC00000"/>
        <bgColor rgb="FF800000"/>
      </patternFill>
    </fill>
    <fill>
      <patternFill patternType="solid">
        <fgColor rgb="FF3B3838"/>
        <bgColor rgb="FF404040"/>
      </patternFill>
    </fill>
    <fill>
      <patternFill patternType="solid">
        <fgColor rgb="FF2E2E2E"/>
        <bgColor rgb="FF3B3838"/>
      </patternFill>
    </fill>
    <fill>
      <patternFill patternType="solid">
        <fgColor rgb="FF31859C"/>
        <bgColor rgb="FF2E75B6"/>
      </patternFill>
    </fill>
    <fill>
      <patternFill patternType="solid">
        <fgColor rgb="FF7F6000"/>
        <bgColor rgb="FF833C0C"/>
      </patternFill>
    </fill>
  </fills>
  <borders count="7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inden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164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general" vertical="bottom"/>
    </xf>
    <xf numFmtId="0" fontId="8" fillId="5" borderId="1" applyAlignment="1" pivotButton="0" quotePrefix="0" xfId="0">
      <alignment horizontal="left" vertical="center" indent="1"/>
    </xf>
    <xf numFmtId="0" fontId="9" fillId="6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bottom"/>
    </xf>
    <xf numFmtId="0" fontId="8" fillId="8" borderId="1" applyAlignment="1" pivotButton="0" quotePrefix="0" xfId="0">
      <alignment horizontal="center" vertical="center"/>
    </xf>
    <xf numFmtId="2" fontId="18" fillId="7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0" fontId="20" fillId="0" borderId="1" applyAlignment="1" pivotButton="0" quotePrefix="0" xfId="0">
      <alignment horizontal="left" vertical="center" wrapText="1"/>
    </xf>
    <xf numFmtId="2" fontId="15" fillId="7" borderId="1" applyAlignment="1" pivotButton="0" quotePrefix="0" xfId="0">
      <alignment horizontal="center" vertical="center"/>
    </xf>
    <xf numFmtId="1" fontId="22" fillId="0" borderId="1" applyAlignment="1" pivotButton="0" quotePrefix="0" xfId="0">
      <alignment horizontal="center" vertical="bottom"/>
    </xf>
    <xf numFmtId="1" fontId="15" fillId="7" borderId="1" applyAlignment="1" pivotButton="0" quotePrefix="0" xfId="0">
      <alignment horizontal="center" vertical="center"/>
    </xf>
    <xf numFmtId="165" fontId="15" fillId="7" borderId="1" applyAlignment="1" pivotButton="0" quotePrefix="0" xfId="0">
      <alignment horizontal="center" vertical="center"/>
    </xf>
    <xf numFmtId="166" fontId="22" fillId="0" borderId="1" applyAlignment="1" pivotButton="0" quotePrefix="0" xfId="0">
      <alignment horizontal="center" vertical="bottom"/>
    </xf>
    <xf numFmtId="165" fontId="22" fillId="0" borderId="1" applyAlignment="1" pivotButton="0" quotePrefix="0" xfId="0">
      <alignment horizontal="center" vertical="bottom"/>
    </xf>
    <xf numFmtId="2" fontId="22" fillId="0" borderId="1" applyAlignment="1" pivotButton="0" quotePrefix="0" xfId="0">
      <alignment horizontal="center" vertical="bottom"/>
    </xf>
    <xf numFmtId="0" fontId="8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general" vertical="center" wrapText="1"/>
    </xf>
    <xf numFmtId="0" fontId="8" fillId="1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 wrapText="1"/>
    </xf>
    <xf numFmtId="0" fontId="25" fillId="0" borderId="3" applyAlignment="1" pivotButton="0" quotePrefix="0" xfId="0">
      <alignment horizontal="general" vertical="center" wrapText="1"/>
    </xf>
    <xf numFmtId="0" fontId="8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/>
    </xf>
    <xf numFmtId="164" fontId="15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top" wrapText="1"/>
    </xf>
    <xf numFmtId="0" fontId="29" fillId="0" borderId="0" applyAlignment="1" pivotButton="0" quotePrefix="0" xfId="0">
      <alignment horizontal="general" vertical="top" wrapText="1"/>
    </xf>
    <xf numFmtId="0" fontId="30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32" fillId="2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general" vertical="bottom"/>
    </xf>
    <xf numFmtId="0" fontId="34" fillId="4" borderId="1" applyAlignment="1" pivotButton="0" quotePrefix="0" xfId="0">
      <alignment horizontal="left" vertical="center" indent="1"/>
    </xf>
    <xf numFmtId="0" fontId="35" fillId="0" borderId="1" applyAlignment="1" pivotButton="0" quotePrefix="0" xfId="0">
      <alignment horizontal="general" vertical="bottom"/>
    </xf>
    <xf numFmtId="0" fontId="4" fillId="0" borderId="4" applyAlignment="1" pivotButton="0" quotePrefix="0" xfId="0">
      <alignment horizontal="general" vertical="bottom"/>
    </xf>
    <xf numFmtId="0" fontId="34" fillId="14" borderId="1" applyAlignment="1" pivotButton="0" quotePrefix="0" xfId="0">
      <alignment horizontal="left" vertical="center" indent="1"/>
    </xf>
    <xf numFmtId="0" fontId="35" fillId="6" borderId="1" applyAlignment="1" pivotButton="0" quotePrefix="0" xfId="0">
      <alignment horizontal="center" vertical="bottom"/>
    </xf>
    <xf numFmtId="0" fontId="30" fillId="6" borderId="1" applyAlignment="1" pivotButton="0" quotePrefix="0" xfId="0">
      <alignment horizontal="center" vertical="bottom"/>
    </xf>
    <xf numFmtId="0" fontId="4" fillId="0" borderId="1" applyAlignment="1" pivotButton="0" quotePrefix="0" xfId="0">
      <alignment horizontal="general" vertical="bottom"/>
    </xf>
    <xf numFmtId="0" fontId="36" fillId="0" borderId="1" applyAlignment="1" pivotButton="0" quotePrefix="0" xfId="0">
      <alignment horizontal="general" vertical="bottom"/>
    </xf>
    <xf numFmtId="0" fontId="34" fillId="15" borderId="1" applyAlignment="1" pivotButton="0" quotePrefix="0" xfId="0">
      <alignment horizontal="left" vertical="center" indent="1"/>
    </xf>
    <xf numFmtId="0" fontId="35" fillId="6" borderId="1" applyAlignment="1" pivotButton="0" quotePrefix="0" xfId="0">
      <alignment horizontal="general" vertical="bottom"/>
    </xf>
    <xf numFmtId="0" fontId="25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inden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164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general" vertical="bottom"/>
    </xf>
    <xf numFmtId="0" fontId="8" fillId="5" borderId="1" applyAlignment="1" pivotButton="0" quotePrefix="0" xfId="0">
      <alignment horizontal="left" vertical="center" indent="1"/>
    </xf>
    <xf numFmtId="0" fontId="9" fillId="6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center" wrapText="1"/>
    </xf>
    <xf numFmtId="0" fontId="8" fillId="8" borderId="1" applyAlignment="1" pivotButton="0" quotePrefix="0" xfId="0">
      <alignment horizontal="center" vertical="center"/>
    </xf>
    <xf numFmtId="2" fontId="18" fillId="7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0" fontId="20" fillId="0" borderId="1" applyAlignment="1" pivotButton="0" quotePrefix="0" xfId="0">
      <alignment horizontal="left" vertical="center" wrapText="1"/>
    </xf>
    <xf numFmtId="2" fontId="15" fillId="7" borderId="1" applyAlignment="1" pivotButton="0" quotePrefix="0" xfId="0">
      <alignment horizontal="center" vertical="center"/>
    </xf>
    <xf numFmtId="1" fontId="22" fillId="0" borderId="1" applyAlignment="1" pivotButton="0" quotePrefix="0" xfId="0">
      <alignment horizontal="center" vertical="bottom"/>
    </xf>
    <xf numFmtId="1" fontId="15" fillId="7" borderId="1" applyAlignment="1" pivotButton="0" quotePrefix="0" xfId="0">
      <alignment horizontal="center" vertical="center"/>
    </xf>
    <xf numFmtId="165" fontId="15" fillId="7" borderId="1" applyAlignment="1" pivotButton="0" quotePrefix="0" xfId="0">
      <alignment horizontal="center" vertical="center"/>
    </xf>
    <xf numFmtId="166" fontId="22" fillId="0" borderId="1" applyAlignment="1" pivotButton="0" quotePrefix="0" xfId="0">
      <alignment horizontal="center" vertical="bottom"/>
    </xf>
    <xf numFmtId="165" fontId="22" fillId="0" borderId="1" applyAlignment="1" pivotButton="0" quotePrefix="0" xfId="0">
      <alignment horizontal="center" vertical="bottom"/>
    </xf>
    <xf numFmtId="2" fontId="22" fillId="0" borderId="1" applyAlignment="1" pivotButton="0" quotePrefix="0" xfId="0">
      <alignment horizontal="center" vertical="bottom"/>
    </xf>
    <xf numFmtId="0" fontId="8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general" vertical="center" wrapText="1"/>
    </xf>
    <xf numFmtId="0" fontId="8" fillId="1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 wrapText="1"/>
    </xf>
    <xf numFmtId="0" fontId="25" fillId="0" borderId="3" applyAlignment="1" pivotButton="0" quotePrefix="0" xfId="0">
      <alignment horizontal="general" vertical="center" wrapText="1"/>
    </xf>
    <xf numFmtId="0" fontId="8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/>
    </xf>
    <xf numFmtId="164" fontId="15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top" wrapText="1"/>
    </xf>
    <xf numFmtId="0" fontId="29" fillId="0" borderId="0" applyAlignment="1" pivotButton="0" quotePrefix="0" xfId="0">
      <alignment horizontal="general" vertical="top" wrapText="1"/>
    </xf>
    <xf numFmtId="0" fontId="30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32" fillId="2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general" vertical="bottom"/>
    </xf>
    <xf numFmtId="0" fontId="34" fillId="4" borderId="1" applyAlignment="1" pivotButton="0" quotePrefix="0" xfId="0">
      <alignment horizontal="left" vertical="center" indent="1"/>
    </xf>
    <xf numFmtId="0" fontId="35" fillId="0" borderId="1" applyAlignment="1" pivotButton="0" quotePrefix="0" xfId="0">
      <alignment horizontal="general" vertical="bottom"/>
    </xf>
    <xf numFmtId="0" fontId="4" fillId="0" borderId="4" applyAlignment="1" pivotButton="0" quotePrefix="0" xfId="0">
      <alignment horizontal="general" vertical="bottom"/>
    </xf>
    <xf numFmtId="0" fontId="34" fillId="14" borderId="1" applyAlignment="1" pivotButton="0" quotePrefix="0" xfId="0">
      <alignment horizontal="left" vertical="center" indent="1"/>
    </xf>
    <xf numFmtId="0" fontId="35" fillId="6" borderId="1" applyAlignment="1" pivotButton="0" quotePrefix="0" xfId="0">
      <alignment horizontal="center" vertical="bottom"/>
    </xf>
    <xf numFmtId="0" fontId="30" fillId="6" borderId="1" applyAlignment="1" pivotButton="0" quotePrefix="0" xfId="0">
      <alignment horizontal="center" vertical="bottom"/>
    </xf>
    <xf numFmtId="0" fontId="4" fillId="0" borderId="1" applyAlignment="1" pivotButton="0" quotePrefix="0" xfId="0">
      <alignment horizontal="general" vertical="bottom"/>
    </xf>
    <xf numFmtId="0" fontId="36" fillId="0" borderId="1" applyAlignment="1" pivotButton="0" quotePrefix="0" xfId="0">
      <alignment horizontal="general" vertical="bottom"/>
    </xf>
    <xf numFmtId="0" fontId="34" fillId="15" borderId="1" applyAlignment="1" pivotButton="0" quotePrefix="0" xfId="0">
      <alignment horizontal="left" vertical="center" indent="1"/>
    </xf>
    <xf numFmtId="0" fontId="35" fillId="6" borderId="1" applyAlignment="1" pivotButton="0" quotePrefix="0" xfId="0">
      <alignment horizontal="general" vertical="bottom"/>
    </xf>
    <xf numFmtId="0" fontId="25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0B0B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548235"/>
      <rgbColor rgb="FF969696"/>
      <rgbColor rgb="FF1F3864"/>
      <rgbColor rgb="FF31859C"/>
      <rgbColor rgb="FF375623"/>
      <rgbColor rgb="FF3B3838"/>
      <rgbColor rgb="FF833C0C"/>
      <rgbColor rgb="FF993366"/>
      <rgbColor rgb="FF404040"/>
      <rgbColor rgb="FF2E2E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G76"/>
  <sheetViews>
    <sheetView showFormulas="0" showGridLines="0" showRowColHeaders="1" showZeros="1" rightToLeft="0" tabSelected="1" showOutlineSymbols="1" defaultGridColor="1" view="normal" topLeftCell="A28" colorId="64" zoomScale="100" zoomScaleNormal="100" zoomScalePageLayoutView="100" workbookViewId="0">
      <selection pane="topLeft" activeCell="K37" activeCellId="0" sqref="K37"/>
    </sheetView>
  </sheetViews>
  <sheetFormatPr baseColWidth="8" defaultColWidth="8.71484375" defaultRowHeight="15" customHeight="0" zeroHeight="0" outlineLevelRow="0"/>
  <cols>
    <col width="2.42" customWidth="1" style="66" min="1" max="1"/>
    <col width="48.71" customWidth="1" style="66" min="2" max="2"/>
    <col width="20" customWidth="1" style="66" min="3" max="4"/>
    <col width="22" customWidth="1" style="66" min="5" max="5"/>
    <col width="19" customWidth="1" style="66" min="6" max="6"/>
    <col width="20" customWidth="1" style="66" min="7" max="7"/>
    <col width="2.42" customWidth="1" style="66" min="8" max="8"/>
  </cols>
  <sheetData>
    <row r="1" ht="30" customHeight="1" s="67">
      <c r="A1" s="68" t="n"/>
      <c r="B1" s="69" t="inlineStr">
        <is>
          <t>가공·연삭 테스트 보고서 (표준양식 v1.2)</t>
        </is>
      </c>
      <c r="C1" s="70" t="n"/>
      <c r="D1" s="70" t="n"/>
      <c r="E1" s="70" t="n"/>
      <c r="F1" s="70" t="n"/>
      <c r="G1" s="71" t="n"/>
    </row>
    <row r="2" ht="18" customHeight="1" s="67">
      <c r="A2" s="68" t="n"/>
      <c r="B2" s="72" t="inlineStr">
        <is>
          <t>TOOLKOREA cnc-wiki 표준 · CLAUDE.md §9 / test-record 스킬 정합 · 단가·금액 기재 금지</t>
        </is>
      </c>
      <c r="C2" s="70" t="n"/>
      <c r="D2" s="70" t="n"/>
      <c r="E2" s="70" t="n"/>
      <c r="F2" s="70" t="n"/>
      <c r="G2" s="71" t="n"/>
    </row>
    <row r="3" ht="17.25" customHeight="1" s="67">
      <c r="A3" s="68" t="n"/>
      <c r="B3" s="68" t="n"/>
      <c r="C3" s="68" t="n"/>
      <c r="D3" s="68" t="n"/>
      <c r="E3" s="68" t="n"/>
      <c r="F3" s="68" t="n"/>
      <c r="G3" s="68" t="n"/>
    </row>
    <row r="4" ht="21" customHeight="1" s="67">
      <c r="A4" s="68" t="n"/>
      <c r="B4" s="73" t="inlineStr">
        <is>
          <t>① 기본 정보 — 테스트 목적을 먼저 명확히 합니다 (Walter Graf 6단계: 목적→준비→테스트→평가→기록→공유)</t>
        </is>
      </c>
      <c r="C4" s="70" t="n"/>
      <c r="D4" s="70" t="n"/>
      <c r="E4" s="70" t="n"/>
      <c r="F4" s="70" t="n"/>
      <c r="G4" s="71" t="n"/>
    </row>
    <row r="5" ht="25.5" customHeight="1" s="67">
      <c r="A5" s="68" t="n"/>
      <c r="B5" s="74" t="inlineStr">
        <is>
          <t>테스트 번호</t>
        </is>
      </c>
      <c r="C5" s="75" t="inlineStr">
        <is>
          <t>TK-13-AL-COAT-01</t>
        </is>
      </c>
      <c r="D5" s="71" t="n"/>
      <c r="E5" s="74" t="inlineStr">
        <is>
          <t>작성일</t>
        </is>
      </c>
      <c r="F5" s="76" t="inlineStr">
        <is>
          <t>2026-07-10</t>
        </is>
      </c>
      <c r="G5" s="71" t="n"/>
    </row>
    <row r="6" ht="25.5" customHeight="1" s="67">
      <c r="A6" s="68" t="n"/>
      <c r="B6" s="74" t="inlineStr">
        <is>
          <t>부서</t>
        </is>
      </c>
      <c r="C6" s="77" t="inlineStr">
        <is>
          <t>생산팀</t>
        </is>
      </c>
      <c r="D6" s="71" t="n"/>
      <c r="E6" s="74" t="inlineStr">
        <is>
          <t>작성자</t>
        </is>
      </c>
      <c r="F6" s="78" t="inlineStr">
        <is>
          <t>한경준</t>
        </is>
      </c>
      <c r="G6" s="71" t="n"/>
    </row>
    <row r="7" ht="30" customHeight="1" s="67">
      <c r="B7" s="74" t="inlineStr">
        <is>
          <t>실험 구분</t>
        </is>
      </c>
      <c r="C7" s="77" t="inlineStr">
        <is>
          <t>자체 실험</t>
        </is>
      </c>
      <c r="D7" s="79" t="n"/>
      <c r="E7" s="74" t="inlineStr">
        <is>
          <t>승인자</t>
        </is>
      </c>
      <c r="F7" s="78" t="inlineStr">
        <is>
          <t>확인 필요</t>
        </is>
      </c>
      <c r="G7" s="79" t="n"/>
    </row>
    <row r="8" ht="26.25" customHeight="1" s="67">
      <c r="A8" s="68" t="n"/>
      <c r="B8" s="74" t="inlineStr">
        <is>
          <t>테스트 목적 (한 줄)</t>
        </is>
      </c>
      <c r="C8" s="75" t="inlineStr">
        <is>
          <t>AL6061 측면가공 시 J.J. 엔드밀 코팅(ALEC) vs 비코팅(ALE) 부하·파손 비교</t>
        </is>
      </c>
      <c r="D8" s="70" t="n"/>
      <c r="E8" s="70" t="n"/>
      <c r="F8" s="70" t="n"/>
      <c r="G8" s="71" t="n"/>
    </row>
    <row r="9" ht="45.75" customHeight="1" s="67">
      <c r="A9" s="68" t="n"/>
      <c r="B9" s="74" t="inlineStr">
        <is>
          <t>신뢰도 수준</t>
        </is>
      </c>
      <c r="C9" s="77" t="inlineStr">
        <is>
          <t>사내 경험값 (1회 실측, 반복검증 전)</t>
        </is>
      </c>
      <c r="D9" s="71" t="n"/>
      <c r="E9" s="74" t="inlineStr">
        <is>
          <t>출처 ID (sources.md)</t>
        </is>
      </c>
      <c r="F9" s="78" t="inlineStr">
        <is>
          <t>사내 실측 — sources.md 미등재</t>
        </is>
      </c>
      <c r="G9" s="71" t="n"/>
    </row>
    <row r="10" ht="25.5" customHeight="1" s="67">
      <c r="A10" s="68" t="n"/>
      <c r="B10" s="74" t="inlineStr">
        <is>
          <t>장비 모델(제조사)</t>
        </is>
      </c>
      <c r="C10" s="75" t="inlineStr">
        <is>
          <t>CHEVALIER QP2040-L</t>
        </is>
      </c>
      <c r="D10" s="71" t="n"/>
      <c r="E10" s="74" t="inlineStr">
        <is>
          <t>컨트롤러 / 스핀들파워</t>
        </is>
      </c>
      <c r="F10" s="75" t="inlineStr">
        <is>
          <t>RPM 10,000 / 고속 수직 밀링센터</t>
        </is>
      </c>
      <c r="G10" s="71" t="n"/>
    </row>
    <row r="11" ht="25.5" customHeight="1" s="67">
      <c r="A11" s="68" t="n"/>
      <c r="B11" s="74" t="inlineStr">
        <is>
          <t>홀더</t>
        </is>
      </c>
      <c r="C11" s="75" t="inlineStr">
        <is>
          <t>BT40</t>
        </is>
      </c>
      <c r="D11" s="71" t="n"/>
      <c r="E11" s="74" t="inlineStr">
        <is>
          <t>홀더 메이커</t>
        </is>
      </c>
      <c r="F11" s="75" t="inlineStr">
        <is>
          <t>DINE</t>
        </is>
      </c>
      <c r="G11" s="71" t="n"/>
    </row>
    <row r="12" ht="29.25" customHeight="1" s="67">
      <c r="A12" s="68" t="n"/>
      <c r="B12" s="74" t="inlineStr">
        <is>
          <t>피삭재</t>
        </is>
      </c>
      <c r="C12" s="75" t="inlineStr">
        <is>
          <t>AL6061 250x150x40</t>
        </is>
      </c>
      <c r="D12" s="71" t="n"/>
      <c r="E12" s="74" t="inlineStr">
        <is>
          <t>소재등급 / 경도</t>
        </is>
      </c>
      <c r="F12" s="75" t="inlineStr">
        <is>
          <t>6061 / BHN 30</t>
        </is>
      </c>
      <c r="G12" s="71" t="n"/>
    </row>
    <row r="13" ht="45.75" customHeight="1" s="67">
      <c r="A13" s="68" t="n"/>
      <c r="B13" s="74" t="inlineStr">
        <is>
          <t>냉각방식</t>
        </is>
      </c>
      <c r="C13" s="77" t="inlineStr">
        <is>
          <t>습식</t>
        </is>
      </c>
      <c r="D13" s="71" t="n"/>
      <c r="E13" s="74" t="inlineStr">
        <is>
          <t>조도 요구사항(황삭/정삭)</t>
        </is>
      </c>
      <c r="F13" s="78" t="inlineStr">
        <is>
          <t>황삭</t>
        </is>
      </c>
      <c r="G13" s="71" t="n"/>
    </row>
    <row r="14" ht="21" customHeight="1" s="67">
      <c r="A14" s="68" t="n"/>
      <c r="B14" s="68" t="n"/>
      <c r="C14" s="68" t="n"/>
      <c r="D14" s="68" t="n"/>
      <c r="E14" s="68" t="n"/>
      <c r="F14" s="68" t="n"/>
      <c r="G14" s="68" t="n"/>
    </row>
    <row r="15" ht="29.25" customHeight="1" s="67">
      <c r="A15" s="68" t="n"/>
      <c r="B15" s="80" t="inlineStr">
        <is>
          <t>② 비교 대상 공구  ⚠️ 단가·금액 기재 금지 (정보 분류 원칙 — 대외비)</t>
        </is>
      </c>
      <c r="C15" s="70" t="n"/>
      <c r="D15" s="70" t="n"/>
      <c r="E15" s="70" t="n"/>
      <c r="F15" s="70" t="n"/>
      <c r="G15" s="71" t="n"/>
    </row>
    <row r="16" ht="30" customHeight="1" s="67">
      <c r="A16" s="68" t="n"/>
      <c r="B16" s="81" t="inlineStr">
        <is>
          <t>항목</t>
        </is>
      </c>
      <c r="C16" s="81" t="inlineStr">
        <is>
          <t>대상 1</t>
        </is>
      </c>
      <c r="D16" s="81" t="inlineStr">
        <is>
          <t>대상 2</t>
        </is>
      </c>
      <c r="E16" s="81" t="inlineStr">
        <is>
          <t>대상 3</t>
        </is>
      </c>
      <c r="F16" s="81" t="inlineStr">
        <is>
          <t>대상 4</t>
        </is>
      </c>
      <c r="G16" s="81" t="inlineStr">
        <is>
          <t>비고</t>
        </is>
      </c>
    </row>
    <row r="17" ht="33.75" customHeight="1" s="67">
      <c r="A17" s="68" t="n"/>
      <c r="B17" s="82" t="inlineStr">
        <is>
          <t>제조사</t>
        </is>
      </c>
      <c r="C17" s="83" t="inlineStr">
        <is>
          <t>J.J.</t>
        </is>
      </c>
      <c r="D17" s="83" t="inlineStr">
        <is>
          <t>J.J.</t>
        </is>
      </c>
      <c r="E17" s="83" t="n"/>
      <c r="F17" s="83" t="n"/>
      <c r="G17" s="78" t="n"/>
    </row>
    <row r="18" ht="42.75" customHeight="1" s="67">
      <c r="A18" s="68" t="n"/>
      <c r="B18" s="82" t="inlineStr">
        <is>
          <t>모델명 / 사양</t>
        </is>
      </c>
      <c r="C18" s="83" t="inlineStr">
        <is>
          <t>3ALE 100 250 070</t>
        </is>
      </c>
      <c r="D18" s="83" t="inlineStr">
        <is>
          <t>3ALEC 100 250 070</t>
        </is>
      </c>
      <c r="E18" s="83" t="n"/>
      <c r="F18" s="83" t="n"/>
      <c r="G18" s="78" t="n"/>
    </row>
    <row r="19" ht="80.25" customHeight="1" s="67">
      <c r="A19" s="68" t="n"/>
      <c r="B19" s="82" t="inlineStr">
        <is>
          <t>코팅</t>
        </is>
      </c>
      <c r="C19" s="84" t="inlineStr">
        <is>
          <t>비코팅</t>
        </is>
      </c>
      <c r="D19" s="84" t="inlineStr">
        <is>
          <t>코팅 (종류 미기재 — 확인 필요)</t>
        </is>
      </c>
      <c r="E19" s="83" t="n"/>
      <c r="F19" s="83" t="n"/>
      <c r="G19" s="78" t="inlineStr">
        <is>
          <t>둘 다 에지호닝(Edge Honing) 처리됨 (2026-07-10 확인) — 코팅만 변수, 호닝은 통제됨</t>
        </is>
      </c>
    </row>
    <row r="20" ht="30" customHeight="1" s="67">
      <c r="A20" s="68" t="n"/>
      <c r="B20" s="82" t="inlineStr">
        <is>
          <t>직경 D (mm)</t>
        </is>
      </c>
      <c r="C20" s="83" t="n">
        <v>10</v>
      </c>
      <c r="D20" s="83" t="n">
        <v>10</v>
      </c>
      <c r="E20" s="83" t="n"/>
      <c r="F20" s="83" t="n"/>
      <c r="G20" s="78" t="n"/>
    </row>
    <row r="21" ht="30" customHeight="1" s="67">
      <c r="A21" s="68" t="n"/>
      <c r="B21" s="82" t="inlineStr">
        <is>
          <t>날수</t>
        </is>
      </c>
      <c r="C21" s="83" t="n">
        <v>3</v>
      </c>
      <c r="D21" s="83" t="n">
        <v>3</v>
      </c>
      <c r="E21" s="83" t="n"/>
      <c r="F21" s="83" t="n"/>
      <c r="G21" s="78" t="n"/>
    </row>
    <row r="22" ht="30" customHeight="1" s="67">
      <c r="A22" s="68" t="n"/>
      <c r="B22" s="82" t="inlineStr">
        <is>
          <t>오버행 Overhang (mm)</t>
        </is>
      </c>
      <c r="C22" s="83" t="n">
        <v>35</v>
      </c>
      <c r="D22" s="83" t="n">
        <v>35</v>
      </c>
      <c r="E22" s="83" t="n"/>
      <c r="F22" s="83" t="n"/>
      <c r="G22" s="78" t="n"/>
    </row>
    <row r="23" ht="25.5" customHeight="1" s="67">
      <c r="A23" s="68" t="n"/>
      <c r="B23" s="85" t="inlineStr">
        <is>
          <t>조건 신규실측 여부 ⚠️</t>
        </is>
      </c>
      <c r="C23" s="86" t="inlineStr">
        <is>
          <t>신규</t>
        </is>
      </c>
      <c r="D23" s="86" t="inlineStr">
        <is>
          <t>신규</t>
        </is>
      </c>
      <c r="E23" s="86" t="inlineStr">
        <is>
          <t>신규</t>
        </is>
      </c>
      <c r="F23" s="86" t="inlineStr">
        <is>
          <t>신규</t>
        </is>
      </c>
      <c r="G23" s="87" t="n"/>
    </row>
    <row r="24" ht="21" customHeight="1" s="67">
      <c r="A24" s="68" t="n"/>
      <c r="B24" s="68" t="n"/>
    </row>
    <row r="25" ht="29.25" customHeight="1" s="67">
      <c r="A25" s="68" t="n"/>
      <c r="B25" s="88" t="inlineStr">
        <is>
          <t>③ 절삭조건 (공통 계산기 — 수식 자동계산, 검산 가능)</t>
        </is>
      </c>
      <c r="C25" s="70" t="n"/>
      <c r="D25" s="70" t="n"/>
      <c r="E25" s="70" t="n"/>
      <c r="F25" s="70" t="n"/>
      <c r="G25" s="71" t="n"/>
    </row>
    <row r="26" ht="126.75" customHeight="1" s="67">
      <c r="A26" s="68" t="n"/>
      <c r="B26" s="74" t="inlineStr">
        <is>
          <t>직경 D (mm)</t>
        </is>
      </c>
      <c r="C26" s="89" t="n">
        <v>10</v>
      </c>
      <c r="D26" s="90" t="inlineStr">
        <is>
          <t>※ 대상별 조건이 다르면 아래 결과표 '비고'란에 개별 기재</t>
        </is>
      </c>
      <c r="E26" s="91" t="n"/>
      <c r="F26" s="91" t="n"/>
      <c r="G26" s="92" t="n"/>
    </row>
    <row r="27" ht="25.5" customHeight="1" s="67">
      <c r="A27" s="68" t="n"/>
      <c r="B27" s="93" t="inlineStr">
        <is>
          <t>Vc 목표 절삭속도 (m/min)</t>
        </is>
      </c>
      <c r="C27" s="94" t="n">
        <v>207.3</v>
      </c>
      <c r="D27" s="68" t="n"/>
      <c r="E27" s="68" t="n"/>
      <c r="F27" s="68" t="n"/>
      <c r="G27" s="68" t="n"/>
    </row>
    <row r="28" ht="45.75" customHeight="1" s="67">
      <c r="A28" s="68" t="n"/>
      <c r="B28" s="93" t="inlineStr">
        <is>
          <t>N 회전수 (rpm) = 1000×Vc÷(π×D)</t>
        </is>
      </c>
      <c r="C28" s="95">
        <f>IFERROR(1000*C27/(PI()*C26),"")</f>
        <v/>
      </c>
      <c r="D28" s="68" t="n"/>
      <c r="E28" s="68" t="n"/>
      <c r="F28" s="68" t="n"/>
      <c r="G28" s="68" t="n"/>
    </row>
    <row r="29" ht="26.25" customHeight="1" s="67">
      <c r="A29" s="68" t="n"/>
      <c r="B29" s="74" t="inlineStr">
        <is>
          <t>날수 Z</t>
        </is>
      </c>
      <c r="C29" s="96" t="n">
        <v>3</v>
      </c>
      <c r="D29" s="68" t="n"/>
      <c r="E29" s="68" t="n"/>
      <c r="F29" s="68" t="n"/>
      <c r="G29" s="68" t="n"/>
    </row>
    <row r="30" ht="26.25" customHeight="1" s="67">
      <c r="A30" s="68" t="n"/>
      <c r="B30" s="93" t="inlineStr">
        <is>
          <t>fz 날당이송 (mm/tooth)</t>
        </is>
      </c>
      <c r="C30" s="97" t="n">
        <v>0.07199999999999999</v>
      </c>
      <c r="D30" s="68" t="n"/>
      <c r="E30" s="68" t="n"/>
      <c r="F30" s="68" t="n"/>
      <c r="G30" s="68" t="n"/>
    </row>
    <row r="31" ht="45.75" customHeight="1" s="67">
      <c r="A31" s="68" t="n"/>
      <c r="B31" s="93" t="inlineStr">
        <is>
          <t>Vf 이송속도 (mm/min) = N×Z×fz</t>
        </is>
      </c>
      <c r="C31" s="98">
        <f>IFERROR(C28*C29*C30,"")</f>
        <v/>
      </c>
      <c r="D31" s="68" t="n"/>
      <c r="E31" s="68" t="n"/>
      <c r="F31" s="68" t="n"/>
      <c r="G31" s="68" t="n"/>
    </row>
    <row r="32" ht="45.75" customHeight="1" s="67">
      <c r="A32" s="68" t="n"/>
      <c r="B32" s="93" t="inlineStr">
        <is>
          <t>fr 회전당이송 (mm/rev) = Z×fz</t>
        </is>
      </c>
      <c r="C32" s="99">
        <f>IFERROR(C29*C30,"")</f>
        <v/>
      </c>
      <c r="D32" s="68" t="n"/>
      <c r="E32" s="68" t="n"/>
      <c r="F32" s="68" t="n"/>
      <c r="G32" s="68" t="n"/>
    </row>
    <row r="33" ht="37.5" customHeight="1" s="67">
      <c r="A33" s="68" t="n"/>
      <c r="B33" s="93" t="inlineStr">
        <is>
          <t>ap 절입깊이 축방향 (mm)</t>
        </is>
      </c>
      <c r="C33" s="94" t="n">
        <v>10</v>
      </c>
      <c r="D33" s="68" t="n"/>
      <c r="E33" s="68" t="n"/>
      <c r="F33" s="68" t="n"/>
      <c r="G33" s="68" t="n"/>
    </row>
    <row r="34" ht="40.5" customHeight="1" s="67">
      <c r="A34" s="68" t="n"/>
      <c r="B34" s="93" t="inlineStr">
        <is>
          <t>ae 절입폭 반경방향 (mm)</t>
        </is>
      </c>
      <c r="C34" s="94" t="n">
        <v>2</v>
      </c>
      <c r="D34" s="68" t="n"/>
      <c r="E34" s="68" t="n"/>
      <c r="F34" s="68" t="n"/>
      <c r="G34" s="68" t="n"/>
    </row>
    <row r="35" ht="45.75" customHeight="1" s="67">
      <c r="A35" s="68" t="n"/>
      <c r="B35" s="93" t="inlineStr">
        <is>
          <t>MRR 재료제거율 
(mm³/min) = Vf×ap×ae</t>
        </is>
      </c>
      <c r="C35" s="98">
        <f>IFERROR(C31*C33*C34,"")</f>
        <v/>
      </c>
      <c r="D35" s="68" t="n"/>
      <c r="E35" s="68" t="n"/>
      <c r="F35" s="68" t="n"/>
      <c r="G35" s="68" t="n"/>
    </row>
    <row r="36" ht="45.75" customHeight="1" s="67">
      <c r="A36" s="68" t="n"/>
      <c r="B36" s="93" t="inlineStr">
        <is>
          <t>Q'w 단위폭당 연삭량 
(mm³/(mm·s)) [연삭 전용] = Vf×ae÷60</t>
        </is>
      </c>
      <c r="C36" s="100">
        <f>IFERROR(C31*C34/60,"")</f>
        <v/>
      </c>
      <c r="D36" s="68" t="n"/>
      <c r="E36" s="68" t="n"/>
      <c r="F36" s="68" t="n"/>
      <c r="G36" s="68" t="n"/>
    </row>
    <row r="37" ht="21" customHeight="1" s="67">
      <c r="A37" s="68" t="n"/>
      <c r="B37" s="68" t="n"/>
    </row>
    <row r="38" ht="30" customHeight="1" s="67">
      <c r="A38" s="68" t="n"/>
      <c r="B38" s="101" t="inlineStr">
        <is>
          <t>④ 설비 상태 (CLAUDE.md §9-2 — 결과에 영향 주는 조건)</t>
        </is>
      </c>
      <c r="C38" s="70" t="n"/>
      <c r="D38" s="70" t="n"/>
      <c r="E38" s="70" t="n"/>
      <c r="F38" s="70" t="n"/>
      <c r="G38" s="71" t="n"/>
    </row>
    <row r="39" ht="30" customHeight="1" s="67">
      <c r="A39" s="68" t="n"/>
      <c r="B39" s="74" t="inlineStr">
        <is>
          <t>스핀들 런아웃 (mm)</t>
        </is>
      </c>
      <c r="C39" s="78" t="inlineStr">
        <is>
          <t>확인 필요</t>
        </is>
      </c>
      <c r="D39" s="71" t="n"/>
      <c r="E39" s="74" t="inlineStr">
        <is>
          <t>휠/공구 밸런스</t>
        </is>
      </c>
      <c r="F39" s="78" t="inlineStr">
        <is>
          <t>해당없음 (절삭공구, 연삭 아님)</t>
        </is>
      </c>
      <c r="G39" s="71" t="n"/>
    </row>
    <row r="40" ht="42.75" customHeight="1" s="67">
      <c r="A40" s="68" t="n"/>
      <c r="B40" s="74" t="inlineStr">
        <is>
          <t>드레싱 상태 (최종시점/횟수)</t>
        </is>
      </c>
      <c r="C40" s="78" t="inlineStr">
        <is>
          <t>해당없음 (절삭공구, 연삭 아님)</t>
        </is>
      </c>
      <c r="D40" s="71" t="n"/>
      <c r="E40" s="74" t="inlineStr">
        <is>
          <t>쿨런트 농도(%) / pH</t>
        </is>
      </c>
      <c r="F40" s="78" t="inlineStr">
        <is>
          <t>확인 필요 (수용성, 농도 미기재)</t>
        </is>
      </c>
      <c r="G40" s="71" t="n"/>
    </row>
    <row r="41" ht="42.75" customHeight="1" s="67">
      <c r="A41" s="68" t="n"/>
      <c r="B41" s="74" t="inlineStr">
        <is>
          <t>예열 여부</t>
        </is>
      </c>
      <c r="C41" s="77" t="inlineStr">
        <is>
          <t>미확인</t>
        </is>
      </c>
      <c r="D41" s="102" t="n"/>
      <c r="E41" s="74" t="inlineStr">
        <is>
          <t>장비 가동 연수(추정)</t>
        </is>
      </c>
      <c r="F41" s="78" t="inlineStr">
        <is>
          <t>약 10년 (사내 경험값)</t>
        </is>
      </c>
      <c r="G41" s="102" t="n"/>
    </row>
    <row r="42" ht="21" customHeight="1" s="67">
      <c r="A42" s="68" t="n"/>
      <c r="B42" s="68" t="n"/>
    </row>
    <row r="43" ht="29.25" customHeight="1" s="67">
      <c r="A43" s="68" t="n"/>
      <c r="B43" s="103" t="inlineStr">
        <is>
          <t>⑤ 결과 기록 (비교대상별)</t>
        </is>
      </c>
      <c r="C43" s="70" t="n"/>
      <c r="D43" s="70" t="n"/>
      <c r="E43" s="70" t="n"/>
      <c r="F43" s="70" t="n"/>
      <c r="G43" s="71" t="n"/>
    </row>
    <row r="44" ht="33.75" customHeight="1" s="67">
      <c r="B44" s="104" t="inlineStr">
        <is>
          <t>항목</t>
        </is>
      </c>
      <c r="C44" s="104" t="inlineStr">
        <is>
          <t>대상 1</t>
        </is>
      </c>
      <c r="D44" s="104" t="inlineStr">
        <is>
          <t>대상 2</t>
        </is>
      </c>
      <c r="E44" s="104" t="inlineStr">
        <is>
          <t>대상 3</t>
        </is>
      </c>
      <c r="F44" s="104" t="inlineStr">
        <is>
          <t>대상 4</t>
        </is>
      </c>
      <c r="G44" s="104" t="inlineStr">
        <is>
          <t>비고</t>
        </is>
      </c>
    </row>
    <row r="45" ht="86.25" customHeight="1" s="67">
      <c r="A45" s="68" t="n"/>
      <c r="B45" s="104" t="inlineStr">
        <is>
          <t>수명 (정성적 결과)</t>
        </is>
      </c>
      <c r="C45" s="104" t="inlineStr">
        <is>
          <t>미기재 (원본에 정성적 수명 평가 없음)</t>
        </is>
      </c>
      <c r="D45" s="104" t="inlineStr">
        <is>
          <t>미기재 (원본에 정성적 수명 평가 없음)</t>
        </is>
      </c>
      <c r="E45" s="104" t="n"/>
      <c r="F45" s="104" t="n"/>
      <c r="G45" s="104" t="n"/>
    </row>
    <row r="46" ht="42.75" customHeight="1" s="67">
      <c r="B46" s="82" t="inlineStr">
        <is>
          <t>부하량 (%)</t>
        </is>
      </c>
      <c r="C46" s="83" t="inlineStr">
        <is>
          <t>17% - 17% - 17%</t>
        </is>
      </c>
      <c r="D46" s="83" t="inlineStr">
        <is>
          <t>13% - 13% - 13%</t>
        </is>
      </c>
      <c r="E46" s="83" t="n"/>
      <c r="F46" s="83" t="n"/>
      <c r="G46" s="78" t="inlineStr">
        <is>
          <t>원본 공란 없음</t>
        </is>
      </c>
    </row>
    <row r="47" ht="80.25" customHeight="1" s="67">
      <c r="A47" s="68" t="n"/>
      <c r="B47" s="82" t="inlineStr">
        <is>
          <t>소음</t>
        </is>
      </c>
      <c r="C47" s="84" t="inlineStr">
        <is>
          <t>미기재 (원본에 소음 항목 없음)</t>
        </is>
      </c>
      <c r="D47" s="84" t="inlineStr">
        <is>
          <t>미기재 (원본에 소음 항목 없음)</t>
        </is>
      </c>
      <c r="E47" s="83" t="n"/>
      <c r="F47" s="83" t="n"/>
      <c r="G47" s="78" t="n"/>
    </row>
    <row r="48" ht="30" customHeight="1" s="67">
      <c r="B48" s="82" t="inlineStr">
        <is>
          <t>파손 형태</t>
        </is>
      </c>
      <c r="C48" s="84" t="inlineStr">
        <is>
          <t>마모 및 버닝, 착색</t>
        </is>
      </c>
      <c r="D48" s="84" t="inlineStr">
        <is>
          <t>마모</t>
        </is>
      </c>
      <c r="E48" s="83" t="n"/>
      <c r="F48" s="83" t="n"/>
      <c r="G48" s="78" t="n"/>
    </row>
    <row r="49" ht="117" customHeight="1" s="67">
      <c r="A49" s="68" t="n"/>
      <c r="B49" s="82" t="inlineStr">
        <is>
          <t>마모 부위 (치즐에지·씨닝·외주코너·절삭날 등)</t>
        </is>
      </c>
      <c r="C49" s="84" t="inlineStr">
        <is>
          <t>미기재 (원본에 부위별 관찰 없음 — 실물/사진 확인 필요)</t>
        </is>
      </c>
      <c r="D49" s="84" t="inlineStr">
        <is>
          <t>미기재 (원본에 부위별 관찰 없음 — 실물/사진 확인 필요)</t>
        </is>
      </c>
      <c r="E49" s="83" t="n"/>
      <c r="F49" s="83" t="n"/>
      <c r="G49" s="78" t="n"/>
    </row>
    <row r="50" ht="42.75" customHeight="1" s="67">
      <c r="A50" s="68" t="n"/>
      <c r="B50" s="82" t="inlineStr">
        <is>
          <t>가공수량 / 절삭시간</t>
        </is>
      </c>
      <c r="C50" s="83" t="inlineStr">
        <is>
          <t>1회 / 20분</t>
        </is>
      </c>
      <c r="D50" s="83" t="inlineStr">
        <is>
          <t>1회 / 20분</t>
        </is>
      </c>
      <c r="E50" s="83" t="n"/>
      <c r="F50" s="83" t="n"/>
      <c r="G50" s="78" t="n"/>
    </row>
    <row r="51" ht="25.5" customHeight="1" s="67">
      <c r="A51" s="68" t="n"/>
      <c r="B51" s="82" t="inlineStr">
        <is>
          <t>칩 형태</t>
        </is>
      </c>
      <c r="C51" s="84" t="inlineStr">
        <is>
          <t>양호</t>
        </is>
      </c>
      <c r="D51" s="84" t="inlineStr">
        <is>
          <t>양호</t>
        </is>
      </c>
      <c r="E51" s="83" t="n"/>
      <c r="F51" s="83" t="n"/>
      <c r="G51" s="78" t="n"/>
    </row>
    <row r="52" ht="42.75" customHeight="1" s="67">
      <c r="A52" s="68" t="n"/>
      <c r="B52" s="105" t="inlineStr">
        <is>
          <t>Ra 표면조도 (μm)</t>
        </is>
      </c>
      <c r="C52" s="84" t="inlineStr">
        <is>
          <t>미측정</t>
        </is>
      </c>
      <c r="D52" s="84" t="inlineStr">
        <is>
          <t>미측정</t>
        </is>
      </c>
      <c r="E52" s="83" t="n"/>
      <c r="F52" s="83" t="n"/>
      <c r="G52" s="78" t="inlineStr">
        <is>
          <t>정량 측정 권장(미실시)</t>
        </is>
      </c>
    </row>
    <row r="53" ht="25.5" customHeight="1" s="67">
      <c r="A53" s="68" t="n"/>
      <c r="B53" s="82" t="inlineStr">
        <is>
          <t>순위</t>
        </is>
      </c>
      <c r="C53" s="84" t="inlineStr">
        <is>
          <t>미기재 (원본 공란, 현장 확인 필요) — 부하·파손형태만으로는 ALE/ALEC 우열을 확정하지 않음</t>
        </is>
      </c>
      <c r="D53" s="70" t="n"/>
      <c r="E53" s="70" t="n"/>
      <c r="F53" s="70" t="n"/>
      <c r="G53" s="71" t="n"/>
    </row>
    <row r="54" ht="42.75" customHeight="1" s="67">
      <c r="A54" s="68" t="n"/>
      <c r="B54" s="74" t="inlineStr">
        <is>
          <t>원인 / 총평</t>
        </is>
      </c>
      <c r="C54" s="78" t="inlineStr">
        <is>
          <t>미기재 (확인 필요)</t>
        </is>
      </c>
      <c r="D54" s="106" t="inlineStr">
        <is>
          <t>미기재 (확인 필요)</t>
        </is>
      </c>
      <c r="E54" s="106" t="n"/>
      <c r="F54" s="106" t="n"/>
      <c r="G54" s="102" t="n"/>
    </row>
    <row r="55" ht="18" customHeight="1" s="67">
      <c r="A55" s="68" t="n"/>
      <c r="B55" s="68" t="n"/>
    </row>
    <row r="56" ht="29.25" customHeight="1" s="67">
      <c r="A56" s="68" t="n"/>
      <c r="B56" s="107" t="inlineStr">
        <is>
          <t>⑥ 불량 발생 시 기록 (해당 시에만 작성)</t>
        </is>
      </c>
      <c r="C56" s="70" t="n"/>
      <c r="D56" s="70" t="n"/>
      <c r="E56" s="70" t="n"/>
      <c r="F56" s="70" t="n"/>
      <c r="G56" s="71" t="n"/>
    </row>
    <row r="57" ht="42.75" customHeight="1" s="67">
      <c r="A57" s="68" t="n"/>
      <c r="B57" s="74" t="inlineStr">
        <is>
          <t>증상</t>
        </is>
      </c>
      <c r="C57" s="78" t="inlineStr">
        <is>
          <t>해당없음 (성능비교 테스트 — §5 파손형태 참조. ALE에서 버닝·착색 관찰되었으나 불량판정 아님)</t>
        </is>
      </c>
      <c r="D57" s="70" t="n"/>
      <c r="E57" s="70" t="n"/>
      <c r="F57" s="70" t="n"/>
      <c r="G57" s="71" t="n"/>
    </row>
    <row r="58" ht="25.5" customHeight="1" s="67">
      <c r="A58" s="68" t="n"/>
      <c r="B58" s="74" t="inlineStr">
        <is>
          <t>발생 위치</t>
        </is>
      </c>
      <c r="C58" s="78" t="n"/>
      <c r="D58" s="70" t="n"/>
      <c r="E58" s="70" t="n"/>
      <c r="F58" s="70" t="n"/>
      <c r="G58" s="71" t="n"/>
    </row>
    <row r="59" ht="25.5" customHeight="1" s="67">
      <c r="A59" s="68" t="n"/>
      <c r="B59" s="74" t="inlineStr">
        <is>
          <t>추정 원인</t>
        </is>
      </c>
      <c r="C59" s="78" t="n"/>
      <c r="D59" s="70" t="n"/>
      <c r="E59" s="70" t="n"/>
      <c r="F59" s="70" t="n"/>
      <c r="G59" s="71" t="n"/>
    </row>
    <row r="60" ht="25.5" customHeight="1" s="67">
      <c r="A60" s="68" t="n"/>
      <c r="B60" s="74" t="inlineStr">
        <is>
          <t>대응 방법</t>
        </is>
      </c>
      <c r="C60" s="75" t="n"/>
      <c r="D60" s="71" t="n"/>
      <c r="E60" s="91" t="n"/>
      <c r="F60" s="91" t="n"/>
      <c r="G60" s="92" t="n"/>
    </row>
    <row r="61" ht="25.5" customHeight="1" s="67">
      <c r="A61" s="68" t="n"/>
      <c r="B61" s="74" t="inlineStr">
        <is>
          <t>재발 여부</t>
        </is>
      </c>
      <c r="C61" s="77" t="inlineStr">
        <is>
          <t>해당없음</t>
        </is>
      </c>
      <c r="D61" s="92" t="n"/>
      <c r="E61" s="68" t="n"/>
      <c r="F61" s="68" t="n"/>
      <c r="G61" s="68" t="n"/>
    </row>
    <row r="62" ht="18" customHeight="1" s="67">
      <c r="A62" s="68" t="n"/>
      <c r="B62" s="68" t="n"/>
    </row>
    <row r="63" ht="29.25" customHeight="1" s="67">
      <c r="A63" s="68" t="n"/>
      <c r="B63" s="108" t="inlineStr">
        <is>
          <t>⑦ 조건 변경 이력 (기존 값 삭제 금지 — 항상 추가)</t>
        </is>
      </c>
      <c r="C63" s="70" t="n"/>
      <c r="D63" s="70" t="n"/>
      <c r="E63" s="70" t="n"/>
      <c r="F63" s="70" t="n"/>
      <c r="G63" s="71" t="n"/>
    </row>
    <row r="64" ht="25.5" customHeight="1" s="67">
      <c r="A64" s="68" t="n"/>
      <c r="B64" s="104" t="inlineStr">
        <is>
          <t>날짜</t>
        </is>
      </c>
      <c r="C64" s="109" t="inlineStr">
        <is>
          <t>변경 내용</t>
        </is>
      </c>
      <c r="D64" s="71" t="n"/>
      <c r="E64" s="109" t="inlineStr">
        <is>
          <t>사유</t>
        </is>
      </c>
      <c r="F64" s="71" t="n"/>
      <c r="G64" s="104" t="inlineStr">
        <is>
          <t>양산 적용</t>
        </is>
      </c>
    </row>
    <row r="65" ht="61.5" customHeight="1" s="67">
      <c r="A65" s="68" t="n"/>
      <c r="B65" s="110" t="inlineStr">
        <is>
          <t>2026-07-09</t>
        </is>
      </c>
      <c r="C65" s="75" t="inlineStr">
        <is>
          <t>J.J. ALE(비코팅)/ALEC(코팅) 동시비교 착수 (Vc/RPM/Vf 등 조건은 폴더6 그대로 재사용)</t>
        </is>
      </c>
      <c r="D65" s="71" t="n"/>
      <c r="E65" s="78" t="inlineStr">
        <is>
          <t>코팅 유무에 따른 부하·파손 차이 확인</t>
        </is>
      </c>
      <c r="F65" s="71" t="n"/>
      <c r="G65" s="111" t="inlineStr">
        <is>
          <t>🔄 검증 중</t>
        </is>
      </c>
    </row>
    <row r="66" ht="25.5" customHeight="1" s="67">
      <c r="A66" s="68" t="n"/>
      <c r="B66" s="110" t="n"/>
      <c r="C66" s="75" t="n"/>
      <c r="D66" s="71" t="n"/>
      <c r="E66" s="75" t="n"/>
      <c r="F66" s="71" t="n"/>
      <c r="G66" s="111" t="inlineStr">
        <is>
          <t>미적용</t>
        </is>
      </c>
    </row>
    <row r="67" ht="25.5" customHeight="1" s="67">
      <c r="A67" s="68" t="n"/>
      <c r="B67" s="110" t="n"/>
      <c r="C67" s="75" t="n"/>
      <c r="D67" s="71" t="n"/>
      <c r="E67" s="75" t="n"/>
      <c r="F67" s="71" t="n"/>
      <c r="G67" s="111" t="inlineStr">
        <is>
          <t>미적용</t>
        </is>
      </c>
    </row>
    <row r="68" ht="33.75" customHeight="1" s="67">
      <c r="A68" s="68" t="n"/>
      <c r="B68" s="110" t="n"/>
      <c r="C68" s="78" t="n"/>
      <c r="D68" s="92" t="n"/>
      <c r="E68" s="78" t="n"/>
      <c r="F68" s="92" t="n"/>
      <c r="G68" s="111" t="inlineStr">
        <is>
          <t>미적용</t>
        </is>
      </c>
    </row>
    <row r="69" ht="33.75" customHeight="1" s="67">
      <c r="A69" s="68" t="n"/>
      <c r="B69" s="68" t="n"/>
    </row>
    <row r="70" ht="29.25" customHeight="1" s="67">
      <c r="A70" s="68" t="n"/>
      <c r="B70" s="112" t="inlineStr">
        <is>
          <t>⑧ 출처 및 후속 조치</t>
        </is>
      </c>
      <c r="C70" s="70" t="n"/>
      <c r="D70" s="70" t="n"/>
      <c r="E70" s="70" t="n"/>
      <c r="F70" s="70" t="n"/>
      <c r="G70" s="71" t="n"/>
    </row>
    <row r="71" ht="42.75" customHeight="1" s="67">
      <c r="A71" s="68" t="n"/>
      <c r="B71" s="74" t="inlineStr">
        <is>
          <t>출처 (sources.md ID)</t>
        </is>
      </c>
      <c r="C71" s="78" t="inlineStr">
        <is>
          <t>사내 실측 — raw/report/13.AL엔드밀(호닝)/1. 테스트 보고서.xlsx (AL_1 시트, 2026-07-09 작성)</t>
        </is>
      </c>
      <c r="D71" s="70" t="n"/>
      <c r="E71" s="70" t="n"/>
      <c r="F71" s="70" t="n"/>
      <c r="G71" s="71" t="n"/>
    </row>
    <row r="72" ht="60.75" customHeight="1" s="67">
      <c r="A72" s="68" t="n"/>
      <c r="B72" s="74" t="inlineStr">
        <is>
          <t>종합 판정 / 결론</t>
        </is>
      </c>
      <c r="C72" s="78" t="inlineStr">
        <is>
          <t>순위·원인 미기재 상태 — 코팅(ALEC)이 부하 4%p 낮고 버닝·착색 없음(마모만 관찰), 다만 현장 최종 판정이 없어 확정 결론으로 기록하지 않음 ※ 호닝은 ALE/ALEC 양쪽 모두 적용되어 통제된 변수 — 이는 순수 코팅 비교임 (2026-07-10 확인)</t>
        </is>
      </c>
      <c r="D72" s="70" t="n"/>
      <c r="E72" s="70" t="n"/>
      <c r="F72" s="70" t="n"/>
      <c r="G72" s="71" t="n"/>
    </row>
    <row r="73" ht="42.75" customHeight="1" s="67">
      <c r="A73" s="68" t="n"/>
      <c r="B73" s="74" t="inlineStr">
        <is>
          <t>다음 단계 제안</t>
        </is>
      </c>
      <c r="C73" s="78" t="inlineStr">
        <is>
          <t>① 순위/원인/총평/고객의견/소음/마모부위/수명 현장 확인 후 보강 ② Ra 정량측정 ③ 호닝 효과(2024 미호닝→2026 호닝) 비교는 comparisons/AL엔드밀-호닝-비교.md §5-C 참조 (2026-07-10 구조 재정정)</t>
        </is>
      </c>
      <c r="D73" s="70" t="n"/>
      <c r="E73" s="70" t="n"/>
      <c r="F73" s="70" t="n"/>
      <c r="G73" s="71" t="n"/>
    </row>
    <row r="74" ht="25.5" customHeight="1" s="67">
      <c r="A74" s="68" t="n"/>
      <c r="B74" s="74" t="inlineStr">
        <is>
          <t>고객 / 현장 의견</t>
        </is>
      </c>
      <c r="C74" s="78" t="inlineStr">
        <is>
          <t>미기재</t>
        </is>
      </c>
      <c r="D74" s="91" t="n"/>
      <c r="E74" s="91" t="n"/>
      <c r="F74" s="91" t="n"/>
      <c r="G74" s="92" t="n"/>
    </row>
    <row r="75" ht="15" customHeight="1" s="67">
      <c r="A75" s="68" t="n"/>
      <c r="B75" s="68" t="n"/>
    </row>
    <row r="76" ht="45.75" customHeight="1" s="67">
      <c r="A76" s="68" t="n"/>
      <c r="B76" s="113" t="inlineStr">
        <is>
          <t>※ AI 제시 수치는 참고값입니다. 신규 조건은 테스트→측정→검증 후에만 양산 적용을 권장합니다. 작성 완료 후 test-record 스킬로 해당 wiki 페이지에 옮겨 기록하세요.</t>
        </is>
      </c>
      <c r="C76" s="70" t="n"/>
      <c r="D76" s="70" t="n"/>
      <c r="E76" s="70" t="n"/>
      <c r="F76" s="70" t="n"/>
      <c r="G76" s="71" t="n"/>
    </row>
  </sheetData>
  <mergeCells count="53">
    <mergeCell ref="B2:G2"/>
    <mergeCell ref="F11:G11"/>
    <mergeCell ref="C6:D6"/>
    <mergeCell ref="B42:G42"/>
    <mergeCell ref="F10:G10"/>
    <mergeCell ref="C58:G58"/>
    <mergeCell ref="C5:D5"/>
    <mergeCell ref="B1:G1"/>
    <mergeCell ref="E67:F67"/>
    <mergeCell ref="F6:G6"/>
    <mergeCell ref="F40:G40"/>
    <mergeCell ref="C64:D64"/>
    <mergeCell ref="E64:F64"/>
    <mergeCell ref="B69:G69"/>
    <mergeCell ref="B38:G38"/>
    <mergeCell ref="C73:G73"/>
    <mergeCell ref="F12:G12"/>
    <mergeCell ref="C10:D10"/>
    <mergeCell ref="B37:G37"/>
    <mergeCell ref="C65:D65"/>
    <mergeCell ref="F5:G5"/>
    <mergeCell ref="C40:D40"/>
    <mergeCell ref="C9:D9"/>
    <mergeCell ref="B15:G15"/>
    <mergeCell ref="B55:G55"/>
    <mergeCell ref="E65:F65"/>
    <mergeCell ref="B24:G24"/>
    <mergeCell ref="C12:D12"/>
    <mergeCell ref="C59:G59"/>
    <mergeCell ref="C60:D60"/>
    <mergeCell ref="B76:G76"/>
    <mergeCell ref="C11:D11"/>
    <mergeCell ref="B63:G63"/>
    <mergeCell ref="B4:G4"/>
    <mergeCell ref="C71:G71"/>
    <mergeCell ref="B75:G75"/>
    <mergeCell ref="F13:G13"/>
    <mergeCell ref="C8:G8"/>
    <mergeCell ref="B62:G62"/>
    <mergeCell ref="C39:D39"/>
    <mergeCell ref="F9:G9"/>
    <mergeCell ref="B25:G25"/>
    <mergeCell ref="F39:G39"/>
    <mergeCell ref="C67:D67"/>
    <mergeCell ref="C72:G72"/>
    <mergeCell ref="C57:G57"/>
    <mergeCell ref="C66:D66"/>
    <mergeCell ref="B43:G43"/>
    <mergeCell ref="C13:D13"/>
    <mergeCell ref="C53:G53"/>
    <mergeCell ref="B56:G56"/>
    <mergeCell ref="B70:G70"/>
    <mergeCell ref="E66:F66"/>
  </mergeCells>
  <dataValidations count="5">
    <dataValidation sqref="C8" showDropDown="0" showInputMessage="0" showErrorMessage="0" allowBlank="1" type="list" errorStyle="stop" operator="between">
      <formula1>"제조사 기준,실측 검증,사내 경험값,추정값"</formula1>
      <formula2>0</formula2>
    </dataValidation>
    <dataValidation sqref="C39" showDropDown="0" showInputMessage="0" showErrorMessage="0" allowBlank="1" type="list" errorStyle="stop" operator="between">
      <formula1>"예,아니오,미확인"</formula1>
      <formula2>0</formula2>
    </dataValidation>
    <dataValidation sqref="C56" showDropDown="0" showInputMessage="0" showErrorMessage="0" allowBlank="1" type="list" errorStyle="stop" operator="between">
      <formula1>"추적 중,재발 없음,재발"</formula1>
      <formula2>0</formula2>
    </dataValidation>
    <dataValidation sqref="G60:G63" showDropDown="0" showInputMessage="0" showErrorMessage="0" allowBlank="1" type="list" errorStyle="stop" operator="between">
      <formula1>"✅ 적용 중,🔄 검증 중,❌ 미적용"</formula1>
      <formula2>0</formula2>
    </dataValidation>
    <dataValidation sqref="C22:F22" showDropDown="0" showInputMessage="0" showErrorMessage="0" allowBlank="1" type="list" errorStyle="stop" operator="between">
      <formula1>"신규,이전값 재사용,확인 필요"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customHeight="0" zeroHeight="0" outlineLevelRow="0"/>
  <cols>
    <col width="100" customWidth="1" style="66" min="1" max="1"/>
  </cols>
  <sheetData>
    <row r="1" ht="15" customHeight="1" s="67">
      <c r="A1" s="114" t="inlineStr">
        <is>
          <t>가공·연삭 테스트 보고서 표준양식 v1.0 — 설계 노트 (2026-07-09)</t>
        </is>
      </c>
    </row>
    <row r="2" ht="15" customHeight="1" s="67">
      <c r="A2" s="115" t="n"/>
    </row>
    <row r="3" ht="15" customHeight="1" s="67">
      <c r="A3" s="116" t="inlineStr">
        <is>
          <t>비교한 기존 양식 3종:</t>
        </is>
      </c>
    </row>
    <row r="4" ht="29.25" customHeight="1" s="67">
      <c r="A4" s="117" t="inlineStr">
        <is>
          <t>1) raw/report/6.al엔드밀/1. 테스트 보고서(AL).xlsx — 'CUTTING TOOLS TEST REPORT' (벤더 비교용, 부서/고객사/장비/조건/전후사진/결과/순위 항목 우수, 단가 컬럼 포함이 문제)</t>
        </is>
      </c>
    </row>
    <row r="5" ht="26.25" customHeight="1" s="67">
      <c r="A5" s="117" t="inlineStr">
        <is>
          <t>2) raw/report/6.al엔드밀/2. 절삭조건 계산식.xlsx — Vc/N/Vf/fz/fr/MRR 계산기 (수식은 좋으나 별도 파일이라 보고서와 분리됨)</t>
        </is>
      </c>
    </row>
    <row r="6" ht="29.25" customHeight="1" s="67">
      <c r="A6" s="117" t="inlineStr">
        <is>
          <t>3) wiki test-record 스킬 §9 표준 (CLAUDE.md) — 신뢰도 4단계·설비상태·조건변경이력·불량기록·출처ID 필수 항목 정의, 그러나 실제 xlsx 양식은 없었음</t>
        </is>
      </c>
    </row>
    <row r="7" ht="15" customHeight="1" s="67">
      <c r="A7" s="115" t="n"/>
    </row>
    <row r="8" ht="15" customHeight="1" s="67">
      <c r="A8" s="116" t="inlineStr">
        <is>
          <t>최적화 포인트:</t>
        </is>
      </c>
    </row>
    <row r="9" ht="15" customHeight="1" s="67">
      <c r="A9" s="117" t="inlineStr">
        <is>
          <t>- 단가/정가/할인율 컬럼 삭제 (CLAUDE.md §4 정보분류 원칙 — 단가만 대외비, 위키·보고서에 두지 않음)</t>
        </is>
      </c>
    </row>
    <row r="10" ht="15" customHeight="1" s="67">
      <c r="A10" s="117" t="inlineStr">
        <is>
          <t>- 절삭조건 계산기를 보고서 본문에 수식으로 내장 (검산 가능, 파일 분리 불필요)</t>
        </is>
      </c>
    </row>
    <row r="11" ht="15" customHeight="1" s="67">
      <c r="A11" s="117" t="inlineStr">
        <is>
          <t>- CLAUDE.md §9 필수 항목(신뢰도 4단계, 출처 ID, 설비상태, 조건변경이력, 불량기록) 신규 추가 — 기존 벤더 양식엔 없었음</t>
        </is>
      </c>
    </row>
    <row r="12" ht="15" customHeight="1" s="67">
      <c r="A12" s="117" t="inlineStr">
        <is>
          <t>- 비교 대상 수를 4개로 일반화 (기존은 3사 고정) — 향후 2~4개 비교 테스트 모두 대응</t>
        </is>
      </c>
    </row>
    <row r="13" ht="15" customHeight="1" s="67">
      <c r="A13" s="117" t="inlineStr">
        <is>
          <t>- 조건 변경 이력 표를 내장해 값 삭제 없이 버전 관리 가능하게 함</t>
        </is>
      </c>
    </row>
    <row r="14" ht="15" customHeight="1" s="67">
      <c r="A14" s="115" t="n"/>
    </row>
    <row r="15" ht="15" customHeight="1" s="67">
      <c r="A15" s="116" t="inlineStr">
        <is>
          <t>사용 흐름:</t>
        </is>
      </c>
    </row>
    <row r="16" ht="15" customHeight="1" s="67">
      <c r="A16" s="117" t="inlineStr">
        <is>
          <t>1. 테스트 전 ①②③ 작성 (목적·비교대상·절삭조건)</t>
        </is>
      </c>
    </row>
    <row r="17" ht="15" customHeight="1" s="67">
      <c r="A17" s="117" t="inlineStr">
        <is>
          <t>2. 가공 중/후 ④⑤ 기록 (설비상태·결과)</t>
        </is>
      </c>
    </row>
    <row r="18" ht="15" customHeight="1" s="67">
      <c r="A18" s="117" t="inlineStr">
        <is>
          <t>3. 불량 발생 시 ⑥ 작성</t>
        </is>
      </c>
    </row>
    <row r="19" ht="15" customHeight="1" s="67">
      <c r="A19" s="117" t="inlineStr">
        <is>
          <t>4. 완료 후 test-record 스킬로 wiki/comparisons 또는 wiki/tools 페이지에 옮겨 기록 (본 xlsx는 raw 원본으로 보존)</t>
        </is>
      </c>
    </row>
    <row r="20" ht="15" customHeight="1" s="67">
      <c r="A20" s="115" t="n"/>
    </row>
    <row r="21" ht="15" customHeight="1" s="67">
      <c r="A21" s="116" t="inlineStr">
        <is>
          <t>신뢰도: 사내 경험값 (기존 3개 양식의 실측 비교 기반 설계, 별도 외부 표준 인용 없음)</t>
        </is>
      </c>
    </row>
    <row r="22" ht="17.25" customHeight="1" s="67">
      <c r="A22" s="68" t="n"/>
    </row>
    <row r="23" ht="15" customHeight="1" s="67">
      <c r="A23" s="115" t="n"/>
    </row>
    <row r="24" ht="15" customHeight="1" s="67">
      <c r="A24" s="118" t="inlineStr">
        <is>
          <t>v1.1 개정 (2026-07-09) — raw/report 13개 폴더 전체 원본 재검토 결과 반영</t>
        </is>
      </c>
    </row>
    <row r="25" ht="15" customHeight="1" s="67">
      <c r="A25" s="115" t="n"/>
    </row>
    <row r="26" ht="43.5" customHeight="1" s="67">
      <c r="A26" s="116" t="inlineStr">
        <is>
          <t>개정 배경: 13개 폴더(아큐센터·드릴·NC드릴·맥스드릴·4F측면가공·AL엔드밀·AL코팅엔드밀·T드릴·T드릴인서트·외경홀다·ER척·앵글헤드·AL엔드밀호닝) 원본을 전량 재확인한 결과, 'CUTTING TOOLS TEST REPORT' 형식(v1.0 기반) 외에 최소 2개의 다른 반복 패턴이 확인됨.</t>
        </is>
      </c>
    </row>
    <row r="27" ht="15" customHeight="1" s="67">
      <c r="A27" s="115" t="n"/>
    </row>
    <row r="28" ht="15" customHeight="1" s="67">
      <c r="A28" s="116" t="inlineStr">
        <is>
          <t>개정 내용:</t>
        </is>
      </c>
    </row>
    <row r="29" ht="43.5" customHeight="1" s="67">
      <c r="A29" s="117" t="inlineStr">
        <is>
          <t>1. ②비교 대상 공구 표에 '조건 신규실측 여부' 행 추가 (신규/이전값 재사용/확인 필요) — AL코팅엔드밀 OKE 행이 폴더6 값을 그대로 복사해온 것을 뒤늦게 발견한 사례, AL엔드밀호닝 폴더의 '원인' 칸이 이전 테스트 문구 그대로인 사례가 반복 확인되어, 재사용 여부를 처음부터 명시하도록 함.</t>
        </is>
      </c>
    </row>
    <row r="30" ht="29.25" customHeight="1" s="67">
      <c r="A30" s="117" t="inlineStr">
        <is>
          <t>2. 신규 시트 '치수측정비교' 추가 — T드릴 인서트 외경편차, 외경홀더 인서트 포인트, T드릴 인덱서블 런아웃/경도 비교 등 '절삭 성능이 아닌 치수 정밀도 비교' 패턴이 3개 폴더에서 반복 확인되어 별도 시트로 표준화. 평균·편차 수식 내장.</t>
        </is>
      </c>
    </row>
    <row r="31" ht="29.25" customHeight="1" s="67">
      <c r="A31" s="117" t="inlineStr">
        <is>
          <t>3. 신규 시트 '도입검토평가' 추가 — 앵글헤드 테스트에서 확인된 5점 척도 종합평가+결론 형식(정밀도/가공품질/작업성/내구성 점수화, 현장적용가능여부 결론)이 장비·부속품 도입 검토에 재사용 가능한 패턴으로 판단되어 표준화.</t>
        </is>
      </c>
    </row>
    <row r="32" ht="15" customHeight="1" s="67">
      <c r="A32" s="115" t="n"/>
    </row>
    <row r="33" ht="29.25" customHeight="1" s="67">
      <c r="A33" s="116" t="inlineStr">
        <is>
          <t>미반영 사항 (v1.2 이후 검토): 순수 정성적 hwp 서술형 보고서(아큐센터·맥스드릴처럼 표/이미지 위주로 수식화하기 어려운 경우)는 표준 xlsx 양식 대상에서 제외 — 위키 문서(md)로 직접 정리하는 것이 더 적합.</t>
        </is>
      </c>
    </row>
    <row r="35" ht="17.25" customHeight="1" s="67">
      <c r="A35" s="119" t="inlineStr">
        <is>
          <t>폰트 통일 (2026-07-09): 전체 시트 맑은 고딕으로 통일, 제목 14pt / 본문·표 안 12pt (한경준님 요청)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customHeight="0" zeroHeight="0" outlineLevelRow="0"/>
  <cols>
    <col width="2.42" customWidth="1" style="66" min="1" max="1"/>
    <col width="16" customWidth="1" style="66" min="2" max="2"/>
    <col width="18" customWidth="1" style="66" min="3" max="3"/>
    <col width="12" customWidth="1" style="66" min="4" max="8"/>
    <col width="22" customWidth="1" style="66" min="9" max="9"/>
  </cols>
  <sheetData>
    <row r="1" ht="27.75" customHeight="1" s="67">
      <c r="A1" s="68" t="n"/>
      <c r="B1" s="120" t="inlineStr">
        <is>
          <t>치수 측정 비교 (인서트·홀더·공구 외경/런아웃/경도 등)</t>
        </is>
      </c>
      <c r="J1" s="68" t="n"/>
    </row>
    <row r="2" ht="15" customHeight="1" s="67">
      <c r="A2" s="68" t="n"/>
      <c r="B2" s="121" t="inlineStr">
        <is>
          <t>적용 예: T드릴 인서트 외경 편차, 외경홀더 인서트 포인트, T드릴 인덱서블 런아웃/경도 비교 등 — 절삭 성능이 아닌 치수 정밀도 비교용</t>
        </is>
      </c>
      <c r="J2" s="68" t="n"/>
    </row>
    <row r="3" ht="17.25" customHeight="1" s="67">
      <c r="A3" s="68" t="n"/>
      <c r="B3" s="68" t="n"/>
      <c r="C3" s="68" t="n"/>
      <c r="D3" s="68" t="n"/>
      <c r="E3" s="68" t="n"/>
      <c r="F3" s="68" t="n"/>
      <c r="G3" s="68" t="n"/>
      <c r="H3" s="68" t="n"/>
      <c r="I3" s="68" t="n"/>
      <c r="J3" s="68" t="n"/>
    </row>
    <row r="4" ht="19.5" customHeight="1" s="67">
      <c r="A4" s="68" t="n"/>
      <c r="B4" s="122" t="inlineStr">
        <is>
          <t>① 측정 개요</t>
        </is>
      </c>
      <c r="C4" s="70" t="n"/>
      <c r="D4" s="70" t="n"/>
      <c r="E4" s="70" t="n"/>
      <c r="F4" s="70" t="n"/>
      <c r="G4" s="70" t="n"/>
      <c r="H4" s="70" t="n"/>
      <c r="I4" s="71" t="n"/>
      <c r="J4" s="68" t="n"/>
    </row>
    <row r="5" ht="15" customHeight="1" s="67">
      <c r="A5" s="68" t="n"/>
      <c r="B5" s="123" t="inlineStr">
        <is>
          <t>측정 목적</t>
        </is>
      </c>
      <c r="C5" s="124" t="n"/>
      <c r="D5" s="70" t="n"/>
      <c r="E5" s="70" t="n"/>
      <c r="F5" s="70" t="n"/>
      <c r="G5" s="70" t="n"/>
      <c r="H5" s="70" t="n"/>
      <c r="I5" s="70" t="n"/>
      <c r="J5" s="68" t="n"/>
    </row>
    <row r="6" ht="15" customHeight="1" s="67">
      <c r="A6" s="68" t="n"/>
      <c r="B6" s="123" t="inlineStr">
        <is>
          <t>측정 장비</t>
        </is>
      </c>
      <c r="C6" s="124" t="n"/>
      <c r="D6" s="70" t="n"/>
      <c r="E6" s="70" t="n"/>
      <c r="F6" s="70" t="n"/>
      <c r="G6" s="70" t="n"/>
      <c r="H6" s="70" t="n"/>
      <c r="I6" s="70" t="n"/>
      <c r="J6" s="68" t="n"/>
    </row>
    <row r="7" ht="15" customHeight="1" s="67">
      <c r="A7" s="68" t="n"/>
      <c r="B7" s="123" t="inlineStr">
        <is>
          <t>측정 방법</t>
        </is>
      </c>
      <c r="C7" s="124" t="n"/>
      <c r="D7" s="70" t="n"/>
      <c r="E7" s="70" t="n"/>
      <c r="F7" s="70" t="n"/>
      <c r="G7" s="70" t="n"/>
      <c r="H7" s="70" t="n"/>
      <c r="I7" s="70" t="n"/>
      <c r="J7" s="68" t="n"/>
    </row>
    <row r="8" ht="15" customHeight="1" s="67">
      <c r="A8" s="68" t="n"/>
      <c r="B8" s="123" t="inlineStr">
        <is>
          <t>기준 규격/품번</t>
        </is>
      </c>
      <c r="C8" s="124" t="n"/>
      <c r="D8" s="70" t="n"/>
      <c r="E8" s="70" t="n"/>
      <c r="F8" s="70" t="n"/>
      <c r="G8" s="70" t="n"/>
      <c r="H8" s="70" t="n"/>
      <c r="I8" s="70" t="n"/>
      <c r="J8" s="68" t="n"/>
    </row>
    <row r="9" ht="17.25" customHeight="1" s="67">
      <c r="A9" s="68" t="n"/>
      <c r="B9" s="68" t="n"/>
      <c r="C9" s="68" t="n"/>
      <c r="D9" s="68" t="n"/>
      <c r="E9" s="68" t="n"/>
      <c r="F9" s="68" t="n"/>
      <c r="G9" s="68" t="n"/>
      <c r="H9" s="68" t="n"/>
      <c r="I9" s="68" t="n"/>
      <c r="J9" s="68" t="n"/>
    </row>
    <row r="10" ht="19.5" customHeight="1" s="67">
      <c r="A10" s="68" t="n"/>
      <c r="B10" s="125" t="inlineStr">
        <is>
          <t>② 측정 결과 (제조사별 반복 측정)</t>
        </is>
      </c>
      <c r="C10" s="70" t="n"/>
      <c r="D10" s="70" t="n"/>
      <c r="E10" s="70" t="n"/>
      <c r="F10" s="70" t="n"/>
      <c r="G10" s="70" t="n"/>
      <c r="H10" s="70" t="n"/>
      <c r="I10" s="71" t="n"/>
      <c r="J10" s="68" t="n"/>
    </row>
    <row r="11" ht="15" customHeight="1" s="67">
      <c r="A11" s="68" t="n"/>
      <c r="B11" s="126" t="inlineStr">
        <is>
          <t>제조사</t>
        </is>
      </c>
      <c r="C11" s="126" t="inlineStr">
        <is>
          <t>품번/모델</t>
        </is>
      </c>
      <c r="D11" s="126" t="inlineStr">
        <is>
          <t>측정항목</t>
        </is>
      </c>
      <c r="E11" s="127" t="inlineStr">
        <is>
          <t>1차</t>
        </is>
      </c>
      <c r="F11" s="127" t="inlineStr">
        <is>
          <t>2차</t>
        </is>
      </c>
      <c r="G11" s="126" t="inlineStr">
        <is>
          <t>평균</t>
        </is>
      </c>
      <c r="H11" s="126" t="inlineStr">
        <is>
          <t>최대</t>
        </is>
      </c>
      <c r="I11" s="126" t="inlineStr">
        <is>
          <t>최소</t>
        </is>
      </c>
      <c r="J11" s="126" t="inlineStr">
        <is>
          <t>편차</t>
        </is>
      </c>
    </row>
    <row r="12" ht="15" customHeight="1" s="67">
      <c r="A12" s="68" t="n"/>
      <c r="B12" s="128" t="n"/>
      <c r="C12" s="128" t="n"/>
      <c r="D12" s="128" t="n"/>
      <c r="E12" s="128" t="n"/>
      <c r="F12" s="128" t="n"/>
      <c r="G12" s="129">
        <f>IFERROR(AVERAGE(E12:F12),"")</f>
        <v/>
      </c>
      <c r="H12" s="128" t="n"/>
      <c r="I12" s="128" t="n"/>
      <c r="J12" s="129">
        <f>IFERROR(H12-I12,"")</f>
        <v/>
      </c>
    </row>
    <row r="13" ht="15" customHeight="1" s="67">
      <c r="A13" s="68" t="n"/>
      <c r="B13" s="128" t="n"/>
      <c r="C13" s="128" t="n"/>
      <c r="D13" s="128" t="n"/>
      <c r="E13" s="128" t="n"/>
      <c r="F13" s="128" t="n"/>
      <c r="G13" s="129">
        <f>IFERROR(AVERAGE(E13:F13),"")</f>
        <v/>
      </c>
      <c r="H13" s="128" t="n"/>
      <c r="I13" s="128" t="n"/>
      <c r="J13" s="129">
        <f>IFERROR(H13-I13,"")</f>
        <v/>
      </c>
    </row>
    <row r="14" ht="15" customHeight="1" s="67">
      <c r="A14" s="68" t="n"/>
      <c r="B14" s="128" t="n"/>
      <c r="C14" s="128" t="n"/>
      <c r="D14" s="128" t="n"/>
      <c r="E14" s="128" t="n"/>
      <c r="F14" s="128" t="n"/>
      <c r="G14" s="129">
        <f>IFERROR(AVERAGE(E14:F14),"")</f>
        <v/>
      </c>
      <c r="H14" s="128" t="n"/>
      <c r="I14" s="128" t="n"/>
      <c r="J14" s="129">
        <f>IFERROR(H14-I14,"")</f>
        <v/>
      </c>
    </row>
    <row r="15" ht="15" customHeight="1" s="67">
      <c r="A15" s="68" t="n"/>
      <c r="B15" s="128" t="n"/>
      <c r="C15" s="128" t="n"/>
      <c r="D15" s="128" t="n"/>
      <c r="E15" s="128" t="n"/>
      <c r="F15" s="128" t="n"/>
      <c r="G15" s="129">
        <f>IFERROR(AVERAGE(E15:F15),"")</f>
        <v/>
      </c>
      <c r="H15" s="128" t="n"/>
      <c r="I15" s="128" t="n"/>
      <c r="J15" s="129">
        <f>IFERROR(H15-I15,"")</f>
        <v/>
      </c>
    </row>
    <row r="16" ht="15" customHeight="1" s="67">
      <c r="A16" s="68" t="n"/>
      <c r="B16" s="128" t="n"/>
      <c r="C16" s="128" t="n"/>
      <c r="D16" s="128" t="n"/>
      <c r="E16" s="128" t="n"/>
      <c r="F16" s="128" t="n"/>
      <c r="G16" s="129">
        <f>IFERROR(AVERAGE(E16:F16),"")</f>
        <v/>
      </c>
      <c r="H16" s="128" t="n"/>
      <c r="I16" s="128" t="n"/>
      <c r="J16" s="129">
        <f>IFERROR(H16-I16,"")</f>
        <v/>
      </c>
    </row>
    <row r="17" ht="15" customHeight="1" s="67">
      <c r="A17" s="68" t="n"/>
      <c r="B17" s="128" t="n"/>
      <c r="C17" s="128" t="n"/>
      <c r="D17" s="128" t="n"/>
      <c r="E17" s="128" t="n"/>
      <c r="F17" s="128" t="n"/>
      <c r="G17" s="129">
        <f>IFERROR(AVERAGE(E17:F17),"")</f>
        <v/>
      </c>
      <c r="H17" s="128" t="n"/>
      <c r="I17" s="128" t="n"/>
      <c r="J17" s="129">
        <f>IFERROR(H17-I17,"")</f>
        <v/>
      </c>
    </row>
    <row r="18" ht="15" customHeight="1" s="67">
      <c r="A18" s="68" t="n"/>
      <c r="B18" s="128" t="n"/>
      <c r="C18" s="128" t="n"/>
      <c r="D18" s="128" t="n"/>
      <c r="E18" s="128" t="n"/>
      <c r="F18" s="128" t="n"/>
      <c r="G18" s="129">
        <f>IFERROR(AVERAGE(E18:F18),"")</f>
        <v/>
      </c>
      <c r="H18" s="128" t="n"/>
      <c r="I18" s="128" t="n"/>
      <c r="J18" s="129">
        <f>IFERROR(H18-I18,"")</f>
        <v/>
      </c>
    </row>
    <row r="19" ht="15" customHeight="1" s="67">
      <c r="A19" s="68" t="n"/>
      <c r="B19" s="128" t="n"/>
      <c r="C19" s="128" t="n"/>
      <c r="D19" s="128" t="n"/>
      <c r="E19" s="128" t="n"/>
      <c r="F19" s="128" t="n"/>
      <c r="G19" s="129">
        <f>IFERROR(AVERAGE(E19:F19),"")</f>
        <v/>
      </c>
      <c r="H19" s="128" t="n"/>
      <c r="I19" s="128" t="n"/>
      <c r="J19" s="129">
        <f>IFERROR(H19-I19,"")</f>
        <v/>
      </c>
    </row>
    <row r="20" ht="15" customHeight="1" s="67">
      <c r="A20" s="68" t="n"/>
      <c r="B20" s="128" t="n"/>
      <c r="C20" s="128" t="n"/>
      <c r="D20" s="128" t="n"/>
      <c r="E20" s="128" t="n"/>
      <c r="F20" s="128" t="n"/>
      <c r="G20" s="129">
        <f>IFERROR(AVERAGE(E20:F20),"")</f>
        <v/>
      </c>
      <c r="H20" s="128" t="n"/>
      <c r="I20" s="128" t="n"/>
      <c r="J20" s="129">
        <f>IFERROR(H20-I20,"")</f>
        <v/>
      </c>
    </row>
    <row r="21" ht="15" customHeight="1" s="67">
      <c r="A21" s="68" t="n"/>
      <c r="B21" s="128" t="n"/>
      <c r="C21" s="128" t="n"/>
      <c r="D21" s="128" t="n"/>
      <c r="E21" s="128" t="n"/>
      <c r="F21" s="128" t="n"/>
      <c r="G21" s="129">
        <f>IFERROR(AVERAGE(E21:F21),"")</f>
        <v/>
      </c>
      <c r="H21" s="128" t="n"/>
      <c r="I21" s="128" t="n"/>
      <c r="J21" s="129">
        <f>IFERROR(H21-I21,"")</f>
        <v/>
      </c>
    </row>
    <row r="22" ht="17.25" customHeight="1" s="67">
      <c r="A22" s="68" t="n"/>
      <c r="B22" s="68" t="n"/>
      <c r="C22" s="68" t="n"/>
      <c r="D22" s="68" t="n"/>
      <c r="E22" s="68" t="n"/>
      <c r="F22" s="68" t="n"/>
      <c r="G22" s="68" t="n"/>
      <c r="H22" s="68" t="n"/>
      <c r="I22" s="68" t="n"/>
      <c r="J22" s="68" t="n"/>
    </row>
    <row r="23" ht="19.5" customHeight="1" s="67">
      <c r="A23" s="68" t="n"/>
      <c r="B23" s="125" t="inlineStr">
        <is>
          <t>③ 판정</t>
        </is>
      </c>
      <c r="C23" s="70" t="n"/>
      <c r="D23" s="70" t="n"/>
      <c r="E23" s="70" t="n"/>
      <c r="F23" s="70" t="n"/>
      <c r="G23" s="70" t="n"/>
      <c r="H23" s="70" t="n"/>
      <c r="I23" s="71" t="n"/>
      <c r="J23" s="68" t="n"/>
    </row>
    <row r="24" ht="15" customHeight="1" s="67">
      <c r="A24" s="68" t="n"/>
      <c r="B24" s="123" t="inlineStr">
        <is>
          <t>편차 최소(최우수)</t>
        </is>
      </c>
      <c r="C24" s="124" t="n"/>
      <c r="D24" s="70" t="n"/>
      <c r="E24" s="70" t="n"/>
      <c r="F24" s="70" t="n"/>
      <c r="G24" s="70" t="n"/>
      <c r="H24" s="70" t="n"/>
      <c r="I24" s="70" t="n"/>
      <c r="J24" s="68" t="n"/>
    </row>
    <row r="25" ht="15" customHeight="1" s="67">
      <c r="A25" s="68" t="n"/>
      <c r="B25" s="123" t="inlineStr">
        <is>
          <t>정밀 가공 추천</t>
        </is>
      </c>
      <c r="C25" s="124" t="n"/>
      <c r="D25" s="70" t="n"/>
      <c r="E25" s="70" t="n"/>
      <c r="F25" s="70" t="n"/>
      <c r="G25" s="70" t="n"/>
      <c r="H25" s="70" t="n"/>
      <c r="I25" s="70" t="n"/>
      <c r="J25" s="68" t="n"/>
    </row>
    <row r="26" ht="15" customHeight="1" s="67">
      <c r="A26" s="68" t="n"/>
      <c r="B26" s="123" t="inlineStr">
        <is>
          <t>부적합 판정</t>
        </is>
      </c>
      <c r="C26" s="124" t="n"/>
      <c r="D26" s="70" t="n"/>
      <c r="E26" s="70" t="n"/>
      <c r="F26" s="70" t="n"/>
      <c r="G26" s="70" t="n"/>
      <c r="H26" s="70" t="n"/>
      <c r="I26" s="70" t="n"/>
      <c r="J26" s="68" t="n"/>
    </row>
  </sheetData>
  <mergeCells count="12">
    <mergeCell ref="B1:I1"/>
    <mergeCell ref="C26:I26"/>
    <mergeCell ref="B2:I2"/>
    <mergeCell ref="C8:I8"/>
    <mergeCell ref="B10:I10"/>
    <mergeCell ref="C5:I5"/>
    <mergeCell ref="C6:I6"/>
    <mergeCell ref="C7:I7"/>
    <mergeCell ref="C24:I24"/>
    <mergeCell ref="B23:I23"/>
    <mergeCell ref="C25:I25"/>
    <mergeCell ref="B4:I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customHeight="0" zeroHeight="0" outlineLevelRow="0"/>
  <cols>
    <col width="2.42" customWidth="1" style="66" min="1" max="1"/>
    <col width="22" customWidth="1" style="66" min="2" max="2"/>
    <col width="14" customWidth="1" style="66" min="3" max="3"/>
    <col width="40" customWidth="1" style="66" min="4" max="4"/>
    <col width="2.42" customWidth="1" style="66" min="5" max="5"/>
  </cols>
  <sheetData>
    <row r="1" ht="27.75" customHeight="1" s="67">
      <c r="A1" s="68" t="n"/>
      <c r="B1" s="120" t="inlineStr">
        <is>
          <t>장비·부속품 도입 검토 평가 (5점 척도)</t>
        </is>
      </c>
    </row>
    <row r="2" ht="15" customHeight="1" s="67">
      <c r="A2" s="68" t="n"/>
      <c r="B2" s="121" t="inlineStr">
        <is>
          <t>적용 예: 앵글헤드·홀더·아큐센터 등 신규 장비/부속품 현장 적용 여부 검토용</t>
        </is>
      </c>
    </row>
    <row r="3" ht="17.25" customHeight="1" s="67">
      <c r="A3" s="68" t="n"/>
      <c r="B3" s="68" t="n"/>
      <c r="C3" s="68" t="n"/>
      <c r="D3" s="68" t="n"/>
    </row>
    <row r="4" ht="19.5" customHeight="1" s="67">
      <c r="A4" s="68" t="n"/>
      <c r="B4" s="122" t="inlineStr">
        <is>
          <t>① 기본 정보</t>
        </is>
      </c>
      <c r="C4" s="70" t="n"/>
      <c r="D4" s="71" t="n"/>
    </row>
    <row r="5" ht="15" customHeight="1" s="67">
      <c r="A5" s="68" t="n"/>
      <c r="B5" s="123" t="inlineStr">
        <is>
          <t>제품명/모델</t>
        </is>
      </c>
      <c r="C5" s="128" t="n"/>
      <c r="D5" s="71" t="n"/>
    </row>
    <row r="6" ht="15" customHeight="1" s="67">
      <c r="A6" s="68" t="n"/>
      <c r="B6" s="123" t="inlineStr">
        <is>
          <t>제조사</t>
        </is>
      </c>
      <c r="C6" s="128" t="n"/>
      <c r="D6" s="71" t="n"/>
    </row>
    <row r="7" ht="15" customHeight="1" s="67">
      <c r="A7" s="68" t="n"/>
      <c r="B7" s="123" t="inlineStr">
        <is>
          <t>테스트 일자</t>
        </is>
      </c>
      <c r="C7" s="128" t="n"/>
      <c r="D7" s="71" t="n"/>
    </row>
    <row r="8" ht="15" customHeight="1" s="67">
      <c r="A8" s="68" t="n"/>
      <c r="B8" s="123" t="inlineStr">
        <is>
          <t>적용 장비</t>
        </is>
      </c>
      <c r="C8" s="128" t="n"/>
      <c r="D8" s="71" t="n"/>
    </row>
    <row r="9" ht="15" customHeight="1" s="67">
      <c r="A9" s="68" t="n"/>
      <c r="B9" s="123" t="inlineStr">
        <is>
          <t>테스트 목적</t>
        </is>
      </c>
      <c r="C9" s="128" t="n"/>
      <c r="D9" s="71" t="n"/>
    </row>
    <row r="10" ht="17.25" customHeight="1" s="67">
      <c r="A10" s="68" t="n"/>
      <c r="B10" s="68" t="n"/>
      <c r="C10" s="68" t="n"/>
      <c r="D10" s="68" t="n"/>
    </row>
    <row r="11" ht="19.5" customHeight="1" s="67">
      <c r="A11" s="68" t="n"/>
      <c r="B11" s="130" t="inlineStr">
        <is>
          <t>② 평가 (5점 만점)</t>
        </is>
      </c>
      <c r="C11" s="70" t="n"/>
      <c r="D11" s="71" t="n"/>
    </row>
    <row r="12" ht="15" customHeight="1" s="67">
      <c r="A12" s="68" t="n"/>
      <c r="B12" s="131" t="inlineStr">
        <is>
          <t>평가 항목</t>
        </is>
      </c>
      <c r="C12" s="131" t="inlineStr">
        <is>
          <t>점수(5점)</t>
        </is>
      </c>
      <c r="D12" s="131" t="inlineStr">
        <is>
          <t>비고</t>
        </is>
      </c>
    </row>
    <row r="13" ht="15" customHeight="1" s="67">
      <c r="A13" s="68" t="n"/>
      <c r="B13" s="132" t="inlineStr">
        <is>
          <t>정밀도</t>
        </is>
      </c>
      <c r="C13" s="128" t="n"/>
      <c r="D13" s="128" t="n"/>
    </row>
    <row r="14" ht="15" customHeight="1" s="67">
      <c r="A14" s="68" t="n"/>
      <c r="B14" s="132" t="inlineStr">
        <is>
          <t>가공품질</t>
        </is>
      </c>
      <c r="C14" s="128" t="n"/>
      <c r="D14" s="128" t="n"/>
    </row>
    <row r="15" ht="15" customHeight="1" s="67">
      <c r="A15" s="68" t="n"/>
      <c r="B15" s="132" t="inlineStr">
        <is>
          <t>작업성</t>
        </is>
      </c>
      <c r="C15" s="128" t="n"/>
      <c r="D15" s="128" t="n"/>
    </row>
    <row r="16" ht="15" customHeight="1" s="67">
      <c r="A16" s="68" t="n"/>
      <c r="B16" s="132" t="inlineStr">
        <is>
          <t>내구성</t>
        </is>
      </c>
      <c r="C16" s="128" t="n"/>
      <c r="D16" s="128" t="n"/>
    </row>
    <row r="17" ht="15" customHeight="1" s="67">
      <c r="A17" s="68" t="n"/>
      <c r="B17" s="123" t="inlineStr">
        <is>
          <t>종합 (20점 만점)</t>
        </is>
      </c>
      <c r="C17" s="123">
        <f>SUM(C13:C16)</f>
        <v/>
      </c>
      <c r="D17" s="128" t="n"/>
    </row>
    <row r="18" ht="17.25" customHeight="1" s="67">
      <c r="A18" s="68" t="n"/>
      <c r="B18" s="68" t="n"/>
      <c r="C18" s="68" t="n"/>
      <c r="D18" s="68" t="n"/>
    </row>
    <row r="19" ht="19.5" customHeight="1" s="67">
      <c r="A19" s="68" t="n"/>
      <c r="B19" s="130" t="inlineStr">
        <is>
          <t>③ 결론</t>
        </is>
      </c>
      <c r="C19" s="70" t="n"/>
      <c r="D19" s="71" t="n"/>
    </row>
    <row r="20" ht="15" customHeight="1" s="67">
      <c r="A20" s="68" t="n"/>
      <c r="B20" s="123" t="inlineStr">
        <is>
          <t>현장 적용 가능 여부 (가능/조건부/불가)</t>
        </is>
      </c>
      <c r="C20" s="128" t="n"/>
      <c r="D20" s="71" t="n"/>
    </row>
    <row r="21" ht="15" customHeight="1" s="67">
      <c r="A21" s="68" t="n"/>
      <c r="B21" s="123" t="inlineStr">
        <is>
          <t>추천 적용 공정</t>
        </is>
      </c>
      <c r="C21" s="128" t="n"/>
      <c r="D21" s="71" t="n"/>
    </row>
    <row r="22" ht="15" customHeight="1" s="67">
      <c r="A22" s="68" t="n"/>
      <c r="B22" s="123" t="inlineStr">
        <is>
          <t>문제점·개선사항</t>
        </is>
      </c>
      <c r="C22" s="128" t="n"/>
      <c r="D22" s="71" t="n"/>
    </row>
    <row r="23" ht="15" customHeight="1" s="67">
      <c r="A23" s="68" t="n"/>
      <c r="B23" s="123" t="inlineStr">
        <is>
          <t>추가 테스트 필요 여부</t>
        </is>
      </c>
      <c r="C23" s="128" t="n"/>
      <c r="D23" s="71" t="n"/>
    </row>
  </sheetData>
  <mergeCells count="14">
    <mergeCell ref="B11:D11"/>
    <mergeCell ref="C20:D20"/>
    <mergeCell ref="B19:D19"/>
    <mergeCell ref="C6:D6"/>
    <mergeCell ref="C7:D7"/>
    <mergeCell ref="C21:D21"/>
    <mergeCell ref="B1:D1"/>
    <mergeCell ref="C5:D5"/>
    <mergeCell ref="B4:D4"/>
    <mergeCell ref="B2:D2"/>
    <mergeCell ref="C22:D22"/>
    <mergeCell ref="C9:D9"/>
    <mergeCell ref="C23:D23"/>
    <mergeCell ref="C8:D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2026-07-09T01:18:14Z</dcterms:created>
  <dcterms:modified xmlns:dcterms="http://purl.org/dc/terms/" xmlns:xsi="http://www.w3.org/2001/XMLSchema-instance" xsi:type="dcterms:W3CDTF">2026-07-10T02:31:41Z</dcterms:modified>
  <cp:lastModifiedBy>TOOLKOREA</cp:lastModifiedBy>
  <cp:revision>0</cp:revision>
</cp:coreProperties>
</file>