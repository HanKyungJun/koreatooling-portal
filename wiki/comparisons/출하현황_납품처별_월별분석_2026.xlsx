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월" sheetId="2" state="visible" r:id="rId2"/>
    <sheet xmlns:r="http://schemas.openxmlformats.org/officeDocument/2006/relationships" name="2월" sheetId="3" state="visible" r:id="rId3"/>
    <sheet xmlns:r="http://schemas.openxmlformats.org/officeDocument/2006/relationships" name="3월" sheetId="4" state="visible" r:id="rId4"/>
    <sheet xmlns:r="http://schemas.openxmlformats.org/officeDocument/2006/relationships" name="4월" sheetId="5" state="visible" r:id="rId5"/>
    <sheet xmlns:r="http://schemas.openxmlformats.org/officeDocument/2006/relationships" name="5월" sheetId="6" state="visible" r:id="rId6"/>
    <sheet xmlns:r="http://schemas.openxmlformats.org/officeDocument/2006/relationships" name="6월" sheetId="7" state="visible" r:id="rId7"/>
    <sheet xmlns:r="http://schemas.openxmlformats.org/officeDocument/2006/relationships" name="7월" sheetId="8" state="visible" r:id="rId8"/>
    <sheet xmlns:r="http://schemas.openxmlformats.org/officeDocument/2006/relationships" name="8월" sheetId="9" state="visible" r:id="rId9"/>
    <sheet xmlns:r="http://schemas.openxmlformats.org/officeDocument/2006/relationships" name="9월" sheetId="10" state="visible" r:id="rId10"/>
    <sheet xmlns:r="http://schemas.openxmlformats.org/officeDocument/2006/relationships" name="10월" sheetId="11" state="visible" r:id="rId11"/>
    <sheet xmlns:r="http://schemas.openxmlformats.org/officeDocument/2006/relationships" name="11월" sheetId="12" state="visible" r:id="rId12"/>
    <sheet xmlns:r="http://schemas.openxmlformats.org/officeDocument/2006/relationships"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164" fontId="3" fillId="3" borderId="5" applyAlignment="1" pivotButton="0" quotePrefix="0" xfId="0">
      <alignment horizontal="center" vertical="center"/>
    </xf>
    <xf numFmtId="3" fontId="3" fillId="3" borderId="5" applyAlignment="1" pivotButton="0" quotePrefix="0" xfId="0">
      <alignment horizontal="center" vertical="center"/>
    </xf>
    <xf numFmtId="165" fontId="3" fillId="3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164" fontId="3" fillId="4" borderId="5" applyAlignment="1" pivotButton="0" quotePrefix="0" xfId="0">
      <alignment horizontal="center" vertical="center"/>
    </xf>
    <xf numFmtId="3" fontId="3" fillId="4" borderId="5" applyAlignment="1" pivotButton="0" quotePrefix="0" xfId="0">
      <alignment horizontal="center" vertical="center"/>
    </xf>
    <xf numFmtId="165" fontId="3" fillId="4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164" fontId="3" fillId="0" borderId="5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3" fontId="4" fillId="5" borderId="5" applyAlignment="1" pivotButton="0" quotePrefix="0" xfId="0">
      <alignment horizontal="center" vertical="center"/>
    </xf>
    <xf numFmtId="165" fontId="4" fillId="5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 ht="18" customHeight="1">
      <c r="A1" s="1" t="inlineStr">
        <is>
          <t>2026년 출하현황 — 납품처별 월별 출고량  (단위: 개)</t>
        </is>
      </c>
    </row>
    <row r="2" ht="28" customHeight="1">
      <c r="A2" s="23" t="inlineStr">
        <is>
          <t>순위</t>
        </is>
      </c>
      <c r="B2" s="23" t="inlineStr">
        <is>
          <t>납품처명</t>
        </is>
      </c>
      <c r="C2" s="23" t="inlineStr">
        <is>
          <t>1월</t>
        </is>
      </c>
      <c r="D2" s="23" t="inlineStr">
        <is>
          <t>2월</t>
        </is>
      </c>
      <c r="E2" s="23" t="inlineStr">
        <is>
          <t>3월</t>
        </is>
      </c>
      <c r="F2" s="23" t="inlineStr">
        <is>
          <t>4월</t>
        </is>
      </c>
      <c r="G2" s="23" t="inlineStr">
        <is>
          <t>5월</t>
        </is>
      </c>
      <c r="H2" s="23" t="inlineStr">
        <is>
          <t>6월</t>
        </is>
      </c>
      <c r="I2" s="23" t="inlineStr">
        <is>
          <t>7월</t>
        </is>
      </c>
      <c r="J2" s="23" t="inlineStr">
        <is>
          <t>8월</t>
        </is>
      </c>
      <c r="K2" s="23" t="inlineStr">
        <is>
          <t>9월</t>
        </is>
      </c>
      <c r="L2" s="23" t="inlineStr">
        <is>
          <t>10월</t>
        </is>
      </c>
      <c r="M2" s="23" t="inlineStr">
        <is>
          <t>11월</t>
        </is>
      </c>
      <c r="N2" s="23" t="inlineStr">
        <is>
          <t>12월</t>
        </is>
      </c>
      <c r="O2" s="23" t="inlineStr">
        <is>
          <t>연간합계</t>
        </is>
      </c>
      <c r="P2" s="23" t="inlineStr">
        <is>
          <t>비율(%)</t>
        </is>
      </c>
    </row>
    <row r="3">
      <c r="A3" s="24" t="n">
        <v>1</v>
      </c>
      <c r="B3" s="25" t="inlineStr">
        <is>
          <t>원영공구(구,원영상사)</t>
        </is>
      </c>
      <c r="C3" s="26" t="n">
        <v>429</v>
      </c>
      <c r="D3" s="26" t="n">
        <v>58</v>
      </c>
      <c r="E3" s="26" t="n">
        <v>112</v>
      </c>
      <c r="F3" s="26" t="n">
        <v>164</v>
      </c>
      <c r="G3" s="26" t="n">
        <v>81</v>
      </c>
      <c r="H3" s="26" t="n">
        <v>134</v>
      </c>
      <c r="I3" s="26" t="n">
        <v>493</v>
      </c>
      <c r="J3" s="26" t="n">
        <v>107</v>
      </c>
      <c r="K3" s="26" t="n">
        <v>257</v>
      </c>
      <c r="L3" s="26" t="n">
        <v>0</v>
      </c>
      <c r="M3" s="26" t="n">
        <v>0</v>
      </c>
      <c r="N3" s="26" t="n">
        <v>0</v>
      </c>
      <c r="O3" s="27">
        <f>SUM(C3:N3)</f>
        <v/>
      </c>
      <c r="P3" s="28">
        <f>O3/O$77</f>
        <v/>
      </c>
    </row>
    <row r="4">
      <c r="A4" s="24" t="n">
        <v>2</v>
      </c>
      <c r="B4" s="25" t="inlineStr">
        <is>
          <t>초경툴(구,성민TOOL)-코고툴</t>
        </is>
      </c>
      <c r="C4" s="26" t="n">
        <v>0</v>
      </c>
      <c r="D4" s="26" t="n">
        <v>383</v>
      </c>
      <c r="E4" s="26" t="n">
        <v>123</v>
      </c>
      <c r="F4" s="26" t="n">
        <v>251</v>
      </c>
      <c r="G4" s="26" t="n">
        <v>237</v>
      </c>
      <c r="H4" s="26" t="n">
        <v>0</v>
      </c>
      <c r="I4" s="26" t="n">
        <v>433</v>
      </c>
      <c r="J4" s="26" t="n">
        <v>29</v>
      </c>
      <c r="K4" s="26" t="n">
        <v>0</v>
      </c>
      <c r="L4" s="26" t="n">
        <v>0</v>
      </c>
      <c r="M4" s="26" t="n">
        <v>0</v>
      </c>
      <c r="N4" s="26" t="n">
        <v>0</v>
      </c>
      <c r="O4" s="27">
        <f>SUM(C4:N4)</f>
        <v/>
      </c>
      <c r="P4" s="28">
        <f>O4/O$77</f>
        <v/>
      </c>
    </row>
    <row r="5">
      <c r="A5" s="24" t="n">
        <v>3</v>
      </c>
      <c r="B5" s="25" t="inlineStr">
        <is>
          <t>건영테크(광주)</t>
        </is>
      </c>
      <c r="C5" s="26" t="n">
        <v>0</v>
      </c>
      <c r="D5" s="26" t="n">
        <v>194</v>
      </c>
      <c r="E5" s="26" t="n">
        <v>137</v>
      </c>
      <c r="F5" s="26" t="n">
        <v>341</v>
      </c>
      <c r="G5" s="26" t="n">
        <v>168</v>
      </c>
      <c r="H5" s="26" t="n">
        <v>313</v>
      </c>
      <c r="I5" s="26" t="n">
        <v>183</v>
      </c>
      <c r="J5" s="26" t="n">
        <v>77</v>
      </c>
      <c r="K5" s="26" t="n">
        <v>0</v>
      </c>
      <c r="L5" s="26" t="n">
        <v>0</v>
      </c>
      <c r="M5" s="26" t="n">
        <v>0</v>
      </c>
      <c r="N5" s="26" t="n">
        <v>0</v>
      </c>
      <c r="O5" s="27">
        <f>SUM(C5:N5)</f>
        <v/>
      </c>
      <c r="P5" s="28">
        <f>O5/O$77</f>
        <v/>
      </c>
    </row>
    <row r="6">
      <c r="A6" s="24" t="n">
        <v>4</v>
      </c>
      <c r="B6" s="25" t="inlineStr">
        <is>
          <t>(주)대일정공-코고툴</t>
        </is>
      </c>
      <c r="C6" s="26" t="n">
        <v>401</v>
      </c>
      <c r="D6" s="26" t="n">
        <v>5</v>
      </c>
      <c r="E6" s="26" t="n">
        <v>0</v>
      </c>
      <c r="F6" s="26" t="n">
        <v>394</v>
      </c>
      <c r="G6" s="26" t="n">
        <v>0</v>
      </c>
      <c r="H6" s="26" t="n">
        <v>370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6" t="n">
        <v>0</v>
      </c>
      <c r="O6" s="27">
        <f>SUM(C6:N6)</f>
        <v/>
      </c>
      <c r="P6" s="28">
        <f>O6/O$77</f>
        <v/>
      </c>
    </row>
    <row r="7">
      <c r="A7" s="24" t="n">
        <v>5</v>
      </c>
      <c r="B7" s="25" t="inlineStr">
        <is>
          <t>강민툴링(비봉)</t>
        </is>
      </c>
      <c r="C7" s="26" t="n">
        <v>10</v>
      </c>
      <c r="D7" s="26" t="n">
        <v>143</v>
      </c>
      <c r="E7" s="26" t="n">
        <v>310</v>
      </c>
      <c r="F7" s="26" t="n">
        <v>199</v>
      </c>
      <c r="G7" s="26" t="n">
        <v>85</v>
      </c>
      <c r="H7" s="26" t="n">
        <v>155</v>
      </c>
      <c r="I7" s="26" t="n">
        <v>35</v>
      </c>
      <c r="J7" s="26" t="n">
        <v>16</v>
      </c>
      <c r="K7" s="26" t="n">
        <v>78</v>
      </c>
      <c r="L7" s="26" t="n">
        <v>0</v>
      </c>
      <c r="M7" s="26" t="n">
        <v>0</v>
      </c>
      <c r="N7" s="26" t="n">
        <v>0</v>
      </c>
      <c r="O7" s="27">
        <f>SUM(C7:N7)</f>
        <v/>
      </c>
      <c r="P7" s="28">
        <f>O7/O$77</f>
        <v/>
      </c>
    </row>
    <row r="8">
      <c r="A8" s="24" t="n">
        <v>6</v>
      </c>
      <c r="B8" s="25" t="inlineStr">
        <is>
          <t>덕원종합상사</t>
        </is>
      </c>
      <c r="C8" s="26" t="n">
        <v>69</v>
      </c>
      <c r="D8" s="26" t="n">
        <v>110</v>
      </c>
      <c r="E8" s="26" t="n">
        <v>75</v>
      </c>
      <c r="F8" s="26" t="n">
        <v>138</v>
      </c>
      <c r="G8" s="26" t="n">
        <v>62</v>
      </c>
      <c r="H8" s="26" t="n">
        <v>69</v>
      </c>
      <c r="I8" s="26" t="n">
        <v>116</v>
      </c>
      <c r="J8" s="26" t="n">
        <v>107</v>
      </c>
      <c r="K8" s="26" t="n">
        <v>81</v>
      </c>
      <c r="L8" s="26" t="n">
        <v>0</v>
      </c>
      <c r="M8" s="26" t="n">
        <v>0</v>
      </c>
      <c r="N8" s="26" t="n">
        <v>0</v>
      </c>
      <c r="O8" s="27">
        <f>SUM(C8:N8)</f>
        <v/>
      </c>
      <c r="P8" s="28">
        <f>O8/O$77</f>
        <v/>
      </c>
    </row>
    <row r="9">
      <c r="A9" s="24" t="n">
        <v>7</v>
      </c>
      <c r="B9" s="25" t="inlineStr">
        <is>
          <t>아이티공구</t>
        </is>
      </c>
      <c r="C9" s="26" t="n">
        <v>61</v>
      </c>
      <c r="D9" s="26" t="n">
        <v>83</v>
      </c>
      <c r="E9" s="26" t="n">
        <v>43</v>
      </c>
      <c r="F9" s="26" t="n">
        <v>41</v>
      </c>
      <c r="G9" s="26" t="n">
        <v>118</v>
      </c>
      <c r="H9" s="26" t="n">
        <v>13</v>
      </c>
      <c r="I9" s="26" t="n">
        <v>128</v>
      </c>
      <c r="J9" s="26" t="n">
        <v>67</v>
      </c>
      <c r="K9" s="26" t="n">
        <v>127</v>
      </c>
      <c r="L9" s="26" t="n">
        <v>0</v>
      </c>
      <c r="M9" s="26" t="n">
        <v>0</v>
      </c>
      <c r="N9" s="26" t="n">
        <v>0</v>
      </c>
      <c r="O9" s="27">
        <f>SUM(C9:N9)</f>
        <v/>
      </c>
      <c r="P9" s="28">
        <f>O9/O$77</f>
        <v/>
      </c>
    </row>
    <row r="10">
      <c r="A10" s="24" t="n">
        <v>8</v>
      </c>
      <c r="B10" s="25" t="inlineStr">
        <is>
          <t>영우툴링(창성툴)</t>
        </is>
      </c>
      <c r="C10" s="26" t="n">
        <v>159</v>
      </c>
      <c r="D10" s="26" t="n">
        <v>72</v>
      </c>
      <c r="E10" s="26" t="n">
        <v>34</v>
      </c>
      <c r="F10" s="26" t="n">
        <v>41</v>
      </c>
      <c r="G10" s="26" t="n">
        <v>66</v>
      </c>
      <c r="H10" s="26" t="n">
        <v>57</v>
      </c>
      <c r="I10" s="26" t="n">
        <v>109</v>
      </c>
      <c r="J10" s="26" t="n">
        <v>40</v>
      </c>
      <c r="K10" s="26" t="n">
        <v>79</v>
      </c>
      <c r="L10" s="26" t="n">
        <v>0</v>
      </c>
      <c r="M10" s="26" t="n">
        <v>0</v>
      </c>
      <c r="N10" s="26" t="n">
        <v>0</v>
      </c>
      <c r="O10" s="27">
        <f>SUM(C10:N10)</f>
        <v/>
      </c>
      <c r="P10" s="28">
        <f>O10/O$77</f>
        <v/>
      </c>
    </row>
    <row r="11">
      <c r="A11" s="24" t="n">
        <v>9</v>
      </c>
      <c r="B11" s="25" t="inlineStr">
        <is>
          <t>연성기공(주)</t>
        </is>
      </c>
      <c r="C11" s="26" t="n">
        <v>7</v>
      </c>
      <c r="D11" s="26" t="n">
        <v>88</v>
      </c>
      <c r="E11" s="26" t="n">
        <v>0</v>
      </c>
      <c r="F11" s="26" t="n">
        <v>56</v>
      </c>
      <c r="G11" s="26" t="n">
        <v>192</v>
      </c>
      <c r="H11" s="26" t="n">
        <v>121</v>
      </c>
      <c r="I11" s="26" t="n">
        <v>139</v>
      </c>
      <c r="J11" s="26" t="n">
        <v>23</v>
      </c>
      <c r="K11" s="26" t="n">
        <v>0</v>
      </c>
      <c r="L11" s="26" t="n">
        <v>0</v>
      </c>
      <c r="M11" s="26" t="n">
        <v>0</v>
      </c>
      <c r="N11" s="26" t="n">
        <v>0</v>
      </c>
      <c r="O11" s="27">
        <f>SUM(C11:N11)</f>
        <v/>
      </c>
      <c r="P11" s="28">
        <f>O11/O$77</f>
        <v/>
      </c>
    </row>
    <row r="12">
      <c r="A12" s="24" t="n">
        <v>10</v>
      </c>
      <c r="B12" s="25" t="inlineStr">
        <is>
          <t>아신상사</t>
        </is>
      </c>
      <c r="C12" s="26" t="n">
        <v>0</v>
      </c>
      <c r="D12" s="26" t="n">
        <v>134</v>
      </c>
      <c r="E12" s="26" t="n">
        <v>152</v>
      </c>
      <c r="F12" s="26" t="n">
        <v>0</v>
      </c>
      <c r="G12" s="26" t="n">
        <v>0</v>
      </c>
      <c r="H12" s="26" t="n">
        <v>138</v>
      </c>
      <c r="I12" s="26" t="n">
        <v>0</v>
      </c>
      <c r="J12" s="26" t="n">
        <v>155</v>
      </c>
      <c r="K12" s="26" t="n">
        <v>0</v>
      </c>
      <c r="L12" s="26" t="n">
        <v>0</v>
      </c>
      <c r="M12" s="26" t="n">
        <v>0</v>
      </c>
      <c r="N12" s="26" t="n">
        <v>0</v>
      </c>
      <c r="O12" s="27">
        <f>SUM(C12:N12)</f>
        <v/>
      </c>
      <c r="P12" s="28">
        <f>O12/O$77</f>
        <v/>
      </c>
    </row>
    <row r="13">
      <c r="A13" s="24" t="n">
        <v>11</v>
      </c>
      <c r="B13" s="25" t="inlineStr">
        <is>
          <t>왕삼아공구</t>
        </is>
      </c>
      <c r="C13" s="26" t="n">
        <v>13</v>
      </c>
      <c r="D13" s="26" t="n">
        <v>15</v>
      </c>
      <c r="E13" s="26" t="n">
        <v>0</v>
      </c>
      <c r="F13" s="26" t="n">
        <v>40</v>
      </c>
      <c r="G13" s="26" t="n">
        <v>156</v>
      </c>
      <c r="H13" s="26" t="n">
        <v>54</v>
      </c>
      <c r="I13" s="26" t="n">
        <v>15</v>
      </c>
      <c r="J13" s="26" t="n">
        <v>1</v>
      </c>
      <c r="K13" s="26" t="n">
        <v>151</v>
      </c>
      <c r="L13" s="26" t="n">
        <v>0</v>
      </c>
      <c r="M13" s="26" t="n">
        <v>0</v>
      </c>
      <c r="N13" s="26" t="n">
        <v>0</v>
      </c>
      <c r="O13" s="27">
        <f>SUM(C13:N13)</f>
        <v/>
      </c>
      <c r="P13" s="28">
        <f>O13/O$77</f>
        <v/>
      </c>
    </row>
    <row r="14">
      <c r="A14" s="24" t="n">
        <v>12</v>
      </c>
      <c r="B14" s="25" t="inlineStr">
        <is>
          <t>유비툴</t>
        </is>
      </c>
      <c r="C14" s="26" t="n">
        <v>38</v>
      </c>
      <c r="D14" s="26" t="n">
        <v>29</v>
      </c>
      <c r="E14" s="26" t="n">
        <v>53</v>
      </c>
      <c r="F14" s="26" t="n">
        <v>53</v>
      </c>
      <c r="G14" s="26" t="n">
        <v>182</v>
      </c>
      <c r="H14" s="26" t="n">
        <v>18</v>
      </c>
      <c r="I14" s="26" t="n">
        <v>15</v>
      </c>
      <c r="J14" s="26" t="n">
        <v>0</v>
      </c>
      <c r="K14" s="26" t="n">
        <v>52</v>
      </c>
      <c r="L14" s="26" t="n">
        <v>0</v>
      </c>
      <c r="M14" s="26" t="n">
        <v>0</v>
      </c>
      <c r="N14" s="26" t="n">
        <v>0</v>
      </c>
      <c r="O14" s="27">
        <f>SUM(C14:N14)</f>
        <v/>
      </c>
      <c r="P14" s="28">
        <f>O14/O$77</f>
        <v/>
      </c>
    </row>
    <row r="15">
      <c r="A15" s="24" t="n">
        <v>13</v>
      </c>
      <c r="B15" s="25" t="inlineStr">
        <is>
          <t>신우툴링(남동)</t>
        </is>
      </c>
      <c r="C15" s="26" t="n">
        <v>0</v>
      </c>
      <c r="D15" s="26" t="n">
        <v>0</v>
      </c>
      <c r="E15" s="26" t="n">
        <v>32</v>
      </c>
      <c r="F15" s="26" t="n">
        <v>0</v>
      </c>
      <c r="G15" s="26" t="n">
        <v>190</v>
      </c>
      <c r="H15" s="26" t="n">
        <v>36</v>
      </c>
      <c r="I15" s="26" t="n">
        <v>0</v>
      </c>
      <c r="J15" s="26" t="n">
        <v>67</v>
      </c>
      <c r="K15" s="26" t="n">
        <v>44</v>
      </c>
      <c r="L15" s="26" t="n">
        <v>0</v>
      </c>
      <c r="M15" s="26" t="n">
        <v>0</v>
      </c>
      <c r="N15" s="26" t="n">
        <v>0</v>
      </c>
      <c r="O15" s="27">
        <f>SUM(C15:N15)</f>
        <v/>
      </c>
      <c r="P15" s="28">
        <f>O15/O$77</f>
        <v/>
      </c>
    </row>
    <row r="16">
      <c r="A16" s="24" t="n">
        <v>14</v>
      </c>
      <c r="B16" s="25" t="inlineStr">
        <is>
          <t>(주)공화공구</t>
        </is>
      </c>
      <c r="C16" s="26" t="n">
        <v>66</v>
      </c>
      <c r="D16" s="26" t="n">
        <v>47</v>
      </c>
      <c r="E16" s="26" t="n">
        <v>11</v>
      </c>
      <c r="F16" s="26" t="n">
        <v>3</v>
      </c>
      <c r="G16" s="26" t="n">
        <v>34</v>
      </c>
      <c r="H16" s="26" t="n">
        <v>17</v>
      </c>
      <c r="I16" s="26" t="n">
        <v>90</v>
      </c>
      <c r="J16" s="26" t="n">
        <v>74</v>
      </c>
      <c r="K16" s="26" t="n">
        <v>11</v>
      </c>
      <c r="L16" s="26" t="n">
        <v>0</v>
      </c>
      <c r="M16" s="26" t="n">
        <v>0</v>
      </c>
      <c r="N16" s="26" t="n">
        <v>0</v>
      </c>
      <c r="O16" s="27">
        <f>SUM(C16:N16)</f>
        <v/>
      </c>
      <c r="P16" s="28">
        <f>O16/O$77</f>
        <v/>
      </c>
    </row>
    <row r="17">
      <c r="A17" s="24" t="n">
        <v>15</v>
      </c>
      <c r="B17" s="25" t="inlineStr">
        <is>
          <t>반석공구</t>
        </is>
      </c>
      <c r="C17" s="26" t="n">
        <v>32</v>
      </c>
      <c r="D17" s="26" t="n">
        <v>22</v>
      </c>
      <c r="E17" s="26" t="n">
        <v>28</v>
      </c>
      <c r="F17" s="26" t="n">
        <v>13</v>
      </c>
      <c r="G17" s="26" t="n">
        <v>85</v>
      </c>
      <c r="H17" s="26" t="n">
        <v>56</v>
      </c>
      <c r="I17" s="26" t="n">
        <v>12</v>
      </c>
      <c r="J17" s="26" t="n">
        <v>59</v>
      </c>
      <c r="K17" s="26" t="n">
        <v>14</v>
      </c>
      <c r="L17" s="26" t="n">
        <v>0</v>
      </c>
      <c r="M17" s="26" t="n">
        <v>0</v>
      </c>
      <c r="N17" s="26" t="n">
        <v>0</v>
      </c>
      <c r="O17" s="27">
        <f>SUM(C17:N17)</f>
        <v/>
      </c>
      <c r="P17" s="28">
        <f>O17/O$77</f>
        <v/>
      </c>
    </row>
    <row r="18">
      <c r="A18" s="24" t="n">
        <v>16</v>
      </c>
      <c r="B18" s="25" t="inlineStr">
        <is>
          <t>알제이코리아</t>
        </is>
      </c>
      <c r="C18" s="26" t="n">
        <v>64</v>
      </c>
      <c r="D18" s="26" t="n">
        <v>0</v>
      </c>
      <c r="E18" s="26" t="n">
        <v>70</v>
      </c>
      <c r="F18" s="26" t="n">
        <v>75</v>
      </c>
      <c r="G18" s="26" t="n">
        <v>8</v>
      </c>
      <c r="H18" s="26" t="n">
        <v>58</v>
      </c>
      <c r="I18" s="26" t="n">
        <v>35</v>
      </c>
      <c r="J18" s="26" t="n">
        <v>0</v>
      </c>
      <c r="K18" s="26" t="n">
        <v>5</v>
      </c>
      <c r="L18" s="26" t="n">
        <v>0</v>
      </c>
      <c r="M18" s="26" t="n">
        <v>0</v>
      </c>
      <c r="N18" s="26" t="n">
        <v>0</v>
      </c>
      <c r="O18" s="27">
        <f>SUM(C18:N18)</f>
        <v/>
      </c>
      <c r="P18" s="28">
        <f>O18/O$77</f>
        <v/>
      </c>
    </row>
    <row r="19">
      <c r="A19" s="24" t="n">
        <v>17</v>
      </c>
      <c r="B19" s="25" t="inlineStr">
        <is>
          <t>대륙기계공구</t>
        </is>
      </c>
      <c r="C19" s="26" t="n">
        <v>0</v>
      </c>
      <c r="D19" s="26" t="n">
        <v>0</v>
      </c>
      <c r="E19" s="26" t="n">
        <v>30</v>
      </c>
      <c r="F19" s="26" t="n">
        <v>0</v>
      </c>
      <c r="G19" s="26" t="n">
        <v>60</v>
      </c>
      <c r="H19" s="26" t="n">
        <v>3</v>
      </c>
      <c r="I19" s="26" t="n">
        <v>158</v>
      </c>
      <c r="J19" s="26" t="n">
        <v>3</v>
      </c>
      <c r="K19" s="26" t="n">
        <v>0</v>
      </c>
      <c r="L19" s="26" t="n">
        <v>0</v>
      </c>
      <c r="M19" s="26" t="n">
        <v>0</v>
      </c>
      <c r="N19" s="26" t="n">
        <v>0</v>
      </c>
      <c r="O19" s="27">
        <f>SUM(C19:N19)</f>
        <v/>
      </c>
      <c r="P19" s="28">
        <f>O19/O$77</f>
        <v/>
      </c>
    </row>
    <row r="20">
      <c r="A20" s="24" t="n">
        <v>18</v>
      </c>
      <c r="B20" s="25" t="inlineStr">
        <is>
          <t>(주)금형티에스</t>
        </is>
      </c>
      <c r="C20" s="26" t="n">
        <v>4</v>
      </c>
      <c r="D20" s="26" t="n">
        <v>6</v>
      </c>
      <c r="E20" s="26" t="n">
        <v>0</v>
      </c>
      <c r="F20" s="26" t="n">
        <v>7</v>
      </c>
      <c r="G20" s="26" t="n">
        <v>145</v>
      </c>
      <c r="H20" s="26" t="n">
        <v>74</v>
      </c>
      <c r="I20" s="26" t="n">
        <v>9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7">
        <f>SUM(C20:N20)</f>
        <v/>
      </c>
      <c r="P20" s="28">
        <f>O20/O$77</f>
        <v/>
      </c>
    </row>
    <row r="21">
      <c r="A21" s="24" t="n">
        <v>19</v>
      </c>
      <c r="B21" s="25" t="inlineStr">
        <is>
          <t>유진상사(문래)</t>
        </is>
      </c>
      <c r="C21" s="26" t="n">
        <v>0</v>
      </c>
      <c r="D21" s="26" t="n">
        <v>7</v>
      </c>
      <c r="E21" s="26" t="n">
        <v>0</v>
      </c>
      <c r="F21" s="26" t="n">
        <v>0</v>
      </c>
      <c r="G21" s="26" t="n">
        <v>19</v>
      </c>
      <c r="H21" s="26" t="n">
        <v>0</v>
      </c>
      <c r="I21" s="26" t="n">
        <v>1</v>
      </c>
      <c r="J21" s="26" t="n">
        <v>11</v>
      </c>
      <c r="K21" s="26" t="n">
        <v>195</v>
      </c>
      <c r="L21" s="26" t="n">
        <v>0</v>
      </c>
      <c r="M21" s="26" t="n">
        <v>0</v>
      </c>
      <c r="N21" s="26" t="n">
        <v>0</v>
      </c>
      <c r="O21" s="27">
        <f>SUM(C21:N21)</f>
        <v/>
      </c>
      <c r="P21" s="28">
        <f>O21/O$77</f>
        <v/>
      </c>
    </row>
    <row r="22">
      <c r="A22" s="24" t="n">
        <v>20</v>
      </c>
      <c r="B22" s="25" t="inlineStr">
        <is>
          <t>케이엠툴링</t>
        </is>
      </c>
      <c r="C22" s="26" t="n">
        <v>30</v>
      </c>
      <c r="D22" s="26" t="n">
        <v>0</v>
      </c>
      <c r="E22" s="26" t="n">
        <v>25</v>
      </c>
      <c r="F22" s="26" t="n">
        <v>40</v>
      </c>
      <c r="G22" s="26" t="n">
        <v>21</v>
      </c>
      <c r="H22" s="26" t="n">
        <v>0</v>
      </c>
      <c r="I22" s="26" t="n">
        <v>81</v>
      </c>
      <c r="J22" s="26" t="n">
        <v>0</v>
      </c>
      <c r="K22" s="26" t="n">
        <v>35</v>
      </c>
      <c r="L22" s="26" t="n">
        <v>0</v>
      </c>
      <c r="M22" s="26" t="n">
        <v>0</v>
      </c>
      <c r="N22" s="26" t="n">
        <v>0</v>
      </c>
      <c r="O22" s="27">
        <f>SUM(C22:N22)</f>
        <v/>
      </c>
      <c r="P22" s="28">
        <f>O22/O$77</f>
        <v/>
      </c>
    </row>
    <row r="23">
      <c r="A23" s="24" t="n">
        <v>21</v>
      </c>
      <c r="B23" s="25" t="inlineStr">
        <is>
          <t>서림툴링</t>
        </is>
      </c>
      <c r="C23" s="26" t="n">
        <v>7</v>
      </c>
      <c r="D23" s="26" t="n">
        <v>42</v>
      </c>
      <c r="E23" s="26" t="n">
        <v>20</v>
      </c>
      <c r="F23" s="26" t="n">
        <v>36</v>
      </c>
      <c r="G23" s="26" t="n">
        <v>0</v>
      </c>
      <c r="H23" s="26" t="n">
        <v>27</v>
      </c>
      <c r="I23" s="26" t="n">
        <v>21</v>
      </c>
      <c r="J23" s="26" t="n">
        <v>18</v>
      </c>
      <c r="K23" s="26" t="n">
        <v>48</v>
      </c>
      <c r="L23" s="26" t="n">
        <v>0</v>
      </c>
      <c r="M23" s="26" t="n">
        <v>0</v>
      </c>
      <c r="N23" s="26" t="n">
        <v>0</v>
      </c>
      <c r="O23" s="27">
        <f>SUM(C23:N23)</f>
        <v/>
      </c>
      <c r="P23" s="28">
        <f>O23/O$77</f>
        <v/>
      </c>
    </row>
    <row r="24">
      <c r="A24" s="24" t="n">
        <v>22</v>
      </c>
      <c r="B24" s="25" t="inlineStr">
        <is>
          <t>(주)세종종합상사(미산동)</t>
        </is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64</v>
      </c>
      <c r="H24" s="26" t="n">
        <v>0</v>
      </c>
      <c r="I24" s="26" t="n">
        <v>134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7">
        <f>SUM(C24:N24)</f>
        <v/>
      </c>
      <c r="P24" s="28">
        <f>O24/O$77</f>
        <v/>
      </c>
    </row>
    <row r="25">
      <c r="A25" s="24" t="n">
        <v>23</v>
      </c>
      <c r="B25" s="25" t="inlineStr">
        <is>
          <t>핫몰드엔지니어링주식회사-코고툴(재연마)</t>
        </is>
      </c>
      <c r="C25" s="26" t="n">
        <v>0</v>
      </c>
      <c r="D25" s="26" t="n">
        <v>0</v>
      </c>
      <c r="E25" s="26" t="n">
        <v>79</v>
      </c>
      <c r="F25" s="26" t="n">
        <v>0</v>
      </c>
      <c r="G25" s="26" t="n">
        <v>0</v>
      </c>
      <c r="H25" s="26" t="n">
        <v>52</v>
      </c>
      <c r="I25" s="26" t="n">
        <v>0</v>
      </c>
      <c r="J25" s="26" t="n">
        <v>57</v>
      </c>
      <c r="K25" s="26" t="n">
        <v>0</v>
      </c>
      <c r="L25" s="26" t="n">
        <v>0</v>
      </c>
      <c r="M25" s="26" t="n">
        <v>0</v>
      </c>
      <c r="N25" s="26" t="n">
        <v>0</v>
      </c>
      <c r="O25" s="27">
        <f>SUM(C25:N25)</f>
        <v/>
      </c>
      <c r="P25" s="28">
        <f>O25/O$77</f>
        <v/>
      </c>
    </row>
    <row r="26">
      <c r="A26" s="24" t="n">
        <v>24</v>
      </c>
      <c r="B26" s="25" t="inlineStr">
        <is>
          <t>동명ENG-코고툴(재연마)</t>
        </is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84</v>
      </c>
      <c r="I26" s="26" t="n">
        <v>0</v>
      </c>
      <c r="J26" s="26" t="n">
        <v>86</v>
      </c>
      <c r="K26" s="26" t="n">
        <v>0</v>
      </c>
      <c r="L26" s="26" t="n">
        <v>0</v>
      </c>
      <c r="M26" s="26" t="n">
        <v>0</v>
      </c>
      <c r="N26" s="26" t="n">
        <v>0</v>
      </c>
      <c r="O26" s="27">
        <f>SUM(C26:N26)</f>
        <v/>
      </c>
      <c r="P26" s="28">
        <f>O26/O$77</f>
        <v/>
      </c>
    </row>
    <row r="27">
      <c r="A27" s="24" t="n">
        <v>25</v>
      </c>
      <c r="B27" s="25" t="inlineStr">
        <is>
          <t>지니툴(구로)_코고툴</t>
        </is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30</v>
      </c>
      <c r="I27" s="26" t="n">
        <v>0</v>
      </c>
      <c r="J27" s="26" t="n">
        <v>116</v>
      </c>
      <c r="K27" s="26" t="n">
        <v>0</v>
      </c>
      <c r="L27" s="26" t="n">
        <v>0</v>
      </c>
      <c r="M27" s="26" t="n">
        <v>0</v>
      </c>
      <c r="N27" s="26" t="n">
        <v>0</v>
      </c>
      <c r="O27" s="27">
        <f>SUM(C27:N27)</f>
        <v/>
      </c>
      <c r="P27" s="28">
        <f>O27/O$77</f>
        <v/>
      </c>
    </row>
    <row r="28">
      <c r="A28" s="24" t="n">
        <v>26</v>
      </c>
      <c r="B28" s="25" t="inlineStr">
        <is>
          <t>영창툴링</t>
        </is>
      </c>
      <c r="C28" s="26" t="n">
        <v>40</v>
      </c>
      <c r="D28" s="26" t="n">
        <v>10</v>
      </c>
      <c r="E28" s="26" t="n">
        <v>17</v>
      </c>
      <c r="F28" s="26" t="n">
        <v>16</v>
      </c>
      <c r="G28" s="26" t="n">
        <v>26</v>
      </c>
      <c r="H28" s="26" t="n">
        <v>10</v>
      </c>
      <c r="I28" s="26" t="n">
        <v>0</v>
      </c>
      <c r="J28" s="26" t="n">
        <v>0</v>
      </c>
      <c r="K28" s="26" t="n">
        <v>25</v>
      </c>
      <c r="L28" s="26" t="n">
        <v>0</v>
      </c>
      <c r="M28" s="26" t="n">
        <v>0</v>
      </c>
      <c r="N28" s="26" t="n">
        <v>0</v>
      </c>
      <c r="O28" s="27">
        <f>SUM(C28:N28)</f>
        <v/>
      </c>
      <c r="P28" s="28">
        <f>O28/O$77</f>
        <v/>
      </c>
    </row>
    <row r="29">
      <c r="A29" s="24" t="n">
        <v>27</v>
      </c>
      <c r="B29" s="25" t="inlineStr">
        <is>
          <t>대우툴링</t>
        </is>
      </c>
      <c r="C29" s="26" t="n">
        <v>60</v>
      </c>
      <c r="D29" s="26" t="n">
        <v>0</v>
      </c>
      <c r="E29" s="26" t="n">
        <v>10</v>
      </c>
      <c r="F29" s="26" t="n">
        <v>0</v>
      </c>
      <c r="G29" s="26" t="n">
        <v>24</v>
      </c>
      <c r="H29" s="26" t="n">
        <v>20</v>
      </c>
      <c r="I29" s="26" t="n">
        <v>10</v>
      </c>
      <c r="J29" s="26" t="n">
        <v>9</v>
      </c>
      <c r="K29" s="26" t="n">
        <v>0</v>
      </c>
      <c r="L29" s="26" t="n">
        <v>0</v>
      </c>
      <c r="M29" s="26" t="n">
        <v>0</v>
      </c>
      <c r="N29" s="26" t="n">
        <v>0</v>
      </c>
      <c r="O29" s="27">
        <f>SUM(C29:N29)</f>
        <v/>
      </c>
      <c r="P29" s="28">
        <f>O29/O$77</f>
        <v/>
      </c>
    </row>
    <row r="30">
      <c r="A30" s="24" t="n">
        <v>28</v>
      </c>
      <c r="B30" s="25" t="inlineStr">
        <is>
          <t>이엠티(EMT)</t>
        </is>
      </c>
      <c r="C30" s="26" t="n">
        <v>0</v>
      </c>
      <c r="D30" s="26" t="n">
        <v>9</v>
      </c>
      <c r="E30" s="26" t="n">
        <v>104</v>
      </c>
      <c r="F30" s="26" t="n">
        <v>5</v>
      </c>
      <c r="G30" s="26" t="n">
        <v>7</v>
      </c>
      <c r="H30" s="26" t="n">
        <v>2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7">
        <f>SUM(C30:N30)</f>
        <v/>
      </c>
      <c r="P30" s="28">
        <f>O30/O$77</f>
        <v/>
      </c>
    </row>
    <row r="31">
      <c r="A31" s="24" t="n">
        <v>29</v>
      </c>
      <c r="B31" s="25" t="inlineStr">
        <is>
          <t>유성상공사</t>
        </is>
      </c>
      <c r="C31" s="26" t="n">
        <v>5</v>
      </c>
      <c r="D31" s="26" t="n">
        <v>0</v>
      </c>
      <c r="E31" s="26" t="n">
        <v>8</v>
      </c>
      <c r="F31" s="26" t="n">
        <v>4</v>
      </c>
      <c r="G31" s="26" t="n">
        <v>0</v>
      </c>
      <c r="H31" s="26" t="n">
        <v>73</v>
      </c>
      <c r="I31" s="26" t="n">
        <v>2</v>
      </c>
      <c r="J31" s="26" t="n">
        <v>5</v>
      </c>
      <c r="K31" s="26" t="n">
        <v>10</v>
      </c>
      <c r="L31" s="26" t="n">
        <v>0</v>
      </c>
      <c r="M31" s="26" t="n">
        <v>0</v>
      </c>
      <c r="N31" s="26" t="n">
        <v>0</v>
      </c>
      <c r="O31" s="27">
        <f>SUM(C31:N31)</f>
        <v/>
      </c>
      <c r="P31" s="28">
        <f>O31/O$77</f>
        <v/>
      </c>
    </row>
    <row r="32">
      <c r="A32" s="24" t="n">
        <v>30</v>
      </c>
      <c r="B32" s="25" t="inlineStr">
        <is>
          <t>다영툴링</t>
        </is>
      </c>
      <c r="C32" s="26" t="n">
        <v>0</v>
      </c>
      <c r="D32" s="26" t="n">
        <v>82</v>
      </c>
      <c r="E32" s="26" t="n">
        <v>17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7">
        <f>SUM(C32:N32)</f>
        <v/>
      </c>
      <c r="P32" s="28">
        <f>O32/O$77</f>
        <v/>
      </c>
    </row>
    <row r="33">
      <c r="A33" s="24" t="n">
        <v>31</v>
      </c>
      <c r="B33" s="25" t="inlineStr">
        <is>
          <t>스마트툴스</t>
        </is>
      </c>
      <c r="C33" s="26" t="n">
        <v>0</v>
      </c>
      <c r="D33" s="26" t="n">
        <v>0</v>
      </c>
      <c r="E33" s="26" t="n">
        <v>95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7">
        <f>SUM(C33:N33)</f>
        <v/>
      </c>
      <c r="P33" s="28">
        <f>O33/O$77</f>
        <v/>
      </c>
    </row>
    <row r="34">
      <c r="A34" s="24" t="n">
        <v>32</v>
      </c>
      <c r="B34" s="25" t="inlineStr">
        <is>
          <t>E-tech(이테크)</t>
        </is>
      </c>
      <c r="C34" s="26" t="n">
        <v>40</v>
      </c>
      <c r="D34" s="26" t="n">
        <v>44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10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7">
        <f>SUM(C34:N34)</f>
        <v/>
      </c>
      <c r="P34" s="28">
        <f>O34/O$77</f>
        <v/>
      </c>
    </row>
    <row r="35">
      <c r="A35" s="24" t="n">
        <v>33</v>
      </c>
      <c r="B35" s="25" t="inlineStr">
        <is>
          <t>(주)정원테크</t>
        </is>
      </c>
      <c r="C35" s="26" t="n">
        <v>0</v>
      </c>
      <c r="D35" s="26" t="n">
        <v>50</v>
      </c>
      <c r="E35" s="26" t="n">
        <v>0</v>
      </c>
      <c r="F35" s="26" t="n">
        <v>0</v>
      </c>
      <c r="G35" s="26" t="n">
        <v>20</v>
      </c>
      <c r="H35" s="26" t="n">
        <v>0</v>
      </c>
      <c r="I35" s="26" t="n">
        <v>0</v>
      </c>
      <c r="J35" s="26" t="n">
        <v>20</v>
      </c>
      <c r="K35" s="26" t="n">
        <v>0</v>
      </c>
      <c r="L35" s="26" t="n">
        <v>0</v>
      </c>
      <c r="M35" s="26" t="n">
        <v>0</v>
      </c>
      <c r="N35" s="26" t="n">
        <v>0</v>
      </c>
      <c r="O35" s="27">
        <f>SUM(C35:N35)</f>
        <v/>
      </c>
      <c r="P35" s="28">
        <f>O35/O$77</f>
        <v/>
      </c>
    </row>
    <row r="36">
      <c r="A36" s="24" t="n">
        <v>34</v>
      </c>
      <c r="B36" s="25" t="inlineStr">
        <is>
          <t>(주)일등정밀공구(안산)</t>
        </is>
      </c>
      <c r="C36" s="26" t="n">
        <v>0</v>
      </c>
      <c r="D36" s="26" t="n">
        <v>13</v>
      </c>
      <c r="E36" s="26" t="n">
        <v>0</v>
      </c>
      <c r="F36" s="26" t="n">
        <v>0</v>
      </c>
      <c r="G36" s="26" t="n">
        <v>45</v>
      </c>
      <c r="H36" s="26" t="n">
        <v>7</v>
      </c>
      <c r="I36" s="26" t="n">
        <v>0</v>
      </c>
      <c r="J36" s="26" t="n">
        <v>1</v>
      </c>
      <c r="K36" s="26" t="n">
        <v>22</v>
      </c>
      <c r="L36" s="26" t="n">
        <v>0</v>
      </c>
      <c r="M36" s="26" t="n">
        <v>0</v>
      </c>
      <c r="N36" s="26" t="n">
        <v>0</v>
      </c>
      <c r="O36" s="27">
        <f>SUM(C36:N36)</f>
        <v/>
      </c>
      <c r="P36" s="28">
        <f>O36/O$77</f>
        <v/>
      </c>
    </row>
    <row r="37">
      <c r="A37" s="24" t="n">
        <v>35</v>
      </c>
      <c r="B37" s="25" t="inlineStr">
        <is>
          <t>광진테크</t>
        </is>
      </c>
      <c r="C37" s="26" t="n">
        <v>37</v>
      </c>
      <c r="D37" s="26" t="n">
        <v>0</v>
      </c>
      <c r="E37" s="26" t="n">
        <v>10</v>
      </c>
      <c r="F37" s="26" t="n">
        <v>13</v>
      </c>
      <c r="G37" s="26" t="n">
        <v>0</v>
      </c>
      <c r="H37" s="26" t="n">
        <v>8</v>
      </c>
      <c r="I37" s="26" t="n">
        <v>0</v>
      </c>
      <c r="J37" s="26" t="n">
        <v>5</v>
      </c>
      <c r="K37" s="26" t="n">
        <v>7</v>
      </c>
      <c r="L37" s="26" t="n">
        <v>0</v>
      </c>
      <c r="M37" s="26" t="n">
        <v>0</v>
      </c>
      <c r="N37" s="26" t="n">
        <v>0</v>
      </c>
      <c r="O37" s="27">
        <f>SUM(C37:N37)</f>
        <v/>
      </c>
      <c r="P37" s="28">
        <f>O37/O$77</f>
        <v/>
      </c>
    </row>
    <row r="38">
      <c r="A38" s="24" t="n">
        <v>36</v>
      </c>
      <c r="B38" s="25" t="inlineStr">
        <is>
          <t>뉴툴(New tool)</t>
        </is>
      </c>
      <c r="C38" s="26" t="n">
        <v>70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7">
        <f>SUM(C38:N38)</f>
        <v/>
      </c>
      <c r="P38" s="28">
        <f>O38/O$77</f>
        <v/>
      </c>
    </row>
    <row r="39">
      <c r="A39" s="24" t="n">
        <v>37</v>
      </c>
      <c r="B39" s="25" t="inlineStr">
        <is>
          <t>(주)전진공구</t>
        </is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53</v>
      </c>
      <c r="I39" s="26" t="n">
        <v>2</v>
      </c>
      <c r="J39" s="26" t="n">
        <v>14</v>
      </c>
      <c r="K39" s="26" t="n">
        <v>0</v>
      </c>
      <c r="L39" s="26" t="n">
        <v>0</v>
      </c>
      <c r="M39" s="26" t="n">
        <v>0</v>
      </c>
      <c r="N39" s="26" t="n">
        <v>0</v>
      </c>
      <c r="O39" s="27">
        <f>SUM(C39:N39)</f>
        <v/>
      </c>
      <c r="P39" s="28">
        <f>O39/O$77</f>
        <v/>
      </c>
    </row>
    <row r="40">
      <c r="A40" s="24" t="n">
        <v>38</v>
      </c>
      <c r="B40" s="25" t="inlineStr">
        <is>
          <t>맨날툴이야</t>
        </is>
      </c>
      <c r="C40" s="26" t="n">
        <v>13</v>
      </c>
      <c r="D40" s="26" t="n">
        <v>0</v>
      </c>
      <c r="E40" s="26" t="n">
        <v>14</v>
      </c>
      <c r="F40" s="26" t="n">
        <v>0</v>
      </c>
      <c r="G40" s="26" t="n">
        <v>16</v>
      </c>
      <c r="H40" s="26" t="n">
        <v>0</v>
      </c>
      <c r="I40" s="26" t="n">
        <v>7</v>
      </c>
      <c r="J40" s="26" t="n">
        <v>14</v>
      </c>
      <c r="K40" s="26" t="n">
        <v>0</v>
      </c>
      <c r="L40" s="26" t="n">
        <v>0</v>
      </c>
      <c r="M40" s="26" t="n">
        <v>0</v>
      </c>
      <c r="N40" s="26" t="n">
        <v>0</v>
      </c>
      <c r="O40" s="27">
        <f>SUM(C40:N40)</f>
        <v/>
      </c>
      <c r="P40" s="28">
        <f>O40/O$77</f>
        <v/>
      </c>
    </row>
    <row r="41">
      <c r="A41" s="24" t="n">
        <v>39</v>
      </c>
      <c r="B41" s="25" t="inlineStr">
        <is>
          <t>공구백화점(미산동)</t>
        </is>
      </c>
      <c r="C41" s="26" t="n">
        <v>16</v>
      </c>
      <c r="D41" s="26" t="n">
        <v>3</v>
      </c>
      <c r="E41" s="26" t="n">
        <v>5</v>
      </c>
      <c r="F41" s="26" t="n">
        <v>8</v>
      </c>
      <c r="G41" s="26" t="n">
        <v>0</v>
      </c>
      <c r="H41" s="26" t="n">
        <v>4</v>
      </c>
      <c r="I41" s="26" t="n">
        <v>0</v>
      </c>
      <c r="J41" s="26" t="n">
        <v>25</v>
      </c>
      <c r="K41" s="26" t="n">
        <v>2</v>
      </c>
      <c r="L41" s="26" t="n">
        <v>0</v>
      </c>
      <c r="M41" s="26" t="n">
        <v>0</v>
      </c>
      <c r="N41" s="26" t="n">
        <v>0</v>
      </c>
      <c r="O41" s="27">
        <f>SUM(C41:N41)</f>
        <v/>
      </c>
      <c r="P41" s="28">
        <f>O41/O$77</f>
        <v/>
      </c>
    </row>
    <row r="42">
      <c r="A42" s="24" t="n">
        <v>40</v>
      </c>
      <c r="B42" s="25" t="inlineStr">
        <is>
          <t>예일공구상사</t>
        </is>
      </c>
      <c r="C42" s="26" t="n">
        <v>0</v>
      </c>
      <c r="D42" s="26" t="n">
        <v>0</v>
      </c>
      <c r="E42" s="26" t="n">
        <v>57</v>
      </c>
      <c r="F42" s="26" t="n">
        <v>0</v>
      </c>
      <c r="G42" s="26" t="n">
        <v>0</v>
      </c>
      <c r="H42" s="26" t="n">
        <v>0</v>
      </c>
      <c r="I42" s="26" t="n">
        <v>0</v>
      </c>
      <c r="J42" s="26" t="n">
        <v>0</v>
      </c>
      <c r="K42" s="26" t="n">
        <v>0</v>
      </c>
      <c r="L42" s="26" t="n">
        <v>0</v>
      </c>
      <c r="M42" s="26" t="n">
        <v>0</v>
      </c>
      <c r="N42" s="26" t="n">
        <v>0</v>
      </c>
      <c r="O42" s="27">
        <f>SUM(C42:N42)</f>
        <v/>
      </c>
      <c r="P42" s="28">
        <f>O42/O$77</f>
        <v/>
      </c>
    </row>
    <row r="43">
      <c r="A43" s="24" t="n">
        <v>41</v>
      </c>
      <c r="B43" s="25" t="inlineStr">
        <is>
          <t>(주)바로공구(정남)</t>
        </is>
      </c>
      <c r="C43" s="26" t="n">
        <v>0</v>
      </c>
      <c r="D43" s="26" t="n">
        <v>0</v>
      </c>
      <c r="E43" s="26" t="n">
        <v>10</v>
      </c>
      <c r="F43" s="26" t="n">
        <v>0</v>
      </c>
      <c r="G43" s="26" t="n">
        <v>0</v>
      </c>
      <c r="H43" s="26" t="n">
        <v>0</v>
      </c>
      <c r="I43" s="26" t="n">
        <v>21</v>
      </c>
      <c r="J43" s="26" t="n">
        <v>11</v>
      </c>
      <c r="K43" s="26" t="n">
        <v>10</v>
      </c>
      <c r="L43" s="26" t="n">
        <v>0</v>
      </c>
      <c r="M43" s="26" t="n">
        <v>0</v>
      </c>
      <c r="N43" s="26" t="n">
        <v>0</v>
      </c>
      <c r="O43" s="27">
        <f>SUM(C43:N43)</f>
        <v/>
      </c>
      <c r="P43" s="28">
        <f>O43/O$77</f>
        <v/>
      </c>
    </row>
    <row r="44">
      <c r="A44" s="24" t="n">
        <v>42</v>
      </c>
      <c r="B44" s="25" t="inlineStr">
        <is>
          <t>대성테크</t>
        </is>
      </c>
      <c r="C44" s="26" t="n">
        <v>0</v>
      </c>
      <c r="D44" s="26" t="n">
        <v>0</v>
      </c>
      <c r="E44" s="26" t="n">
        <v>0</v>
      </c>
      <c r="F44" s="26" t="n">
        <v>29</v>
      </c>
      <c r="G44" s="26" t="n">
        <v>0</v>
      </c>
      <c r="H44" s="26" t="n">
        <v>12</v>
      </c>
      <c r="I44" s="26" t="n">
        <v>0</v>
      </c>
      <c r="J44" s="26" t="n">
        <v>0</v>
      </c>
      <c r="K44" s="26" t="n">
        <v>9</v>
      </c>
      <c r="L44" s="26" t="n">
        <v>0</v>
      </c>
      <c r="M44" s="26" t="n">
        <v>0</v>
      </c>
      <c r="N44" s="26" t="n">
        <v>0</v>
      </c>
      <c r="O44" s="27">
        <f>SUM(C44:N44)</f>
        <v/>
      </c>
      <c r="P44" s="28">
        <f>O44/O$77</f>
        <v/>
      </c>
    </row>
    <row r="45">
      <c r="A45" s="24" t="n">
        <v>43</v>
      </c>
      <c r="B45" s="25" t="inlineStr">
        <is>
          <t>신우툴스</t>
        </is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12</v>
      </c>
      <c r="J45" s="26" t="n">
        <v>20</v>
      </c>
      <c r="K45" s="26" t="n">
        <v>18</v>
      </c>
      <c r="L45" s="26" t="n">
        <v>0</v>
      </c>
      <c r="M45" s="26" t="n">
        <v>0</v>
      </c>
      <c r="N45" s="26" t="n">
        <v>0</v>
      </c>
      <c r="O45" s="27">
        <f>SUM(C45:N45)</f>
        <v/>
      </c>
      <c r="P45" s="28">
        <f>O45/O$77</f>
        <v/>
      </c>
    </row>
    <row r="46">
      <c r="A46" s="24" t="n">
        <v>44</v>
      </c>
      <c r="B46" s="25" t="inlineStr">
        <is>
          <t>하나테크</t>
        </is>
      </c>
      <c r="C46" s="26" t="n">
        <v>0</v>
      </c>
      <c r="D46" s="26" t="n">
        <v>0</v>
      </c>
      <c r="E46" s="26" t="n">
        <v>0</v>
      </c>
      <c r="F46" s="26" t="n">
        <v>39</v>
      </c>
      <c r="G46" s="26" t="n">
        <v>0</v>
      </c>
      <c r="H46" s="26" t="n">
        <v>2</v>
      </c>
      <c r="I46" s="26" t="n">
        <v>2</v>
      </c>
      <c r="J46" s="26" t="n">
        <v>0</v>
      </c>
      <c r="K46" s="26" t="n">
        <v>0</v>
      </c>
      <c r="L46" s="26" t="n">
        <v>0</v>
      </c>
      <c r="M46" s="26" t="n">
        <v>0</v>
      </c>
      <c r="N46" s="26" t="n">
        <v>0</v>
      </c>
      <c r="O46" s="27">
        <f>SUM(C46:N46)</f>
        <v/>
      </c>
      <c r="P46" s="28">
        <f>O46/O$77</f>
        <v/>
      </c>
    </row>
    <row r="47">
      <c r="A47" s="24" t="n">
        <v>45</v>
      </c>
      <c r="B47" s="25" t="inlineStr">
        <is>
          <t>인코테크 포승</t>
        </is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40</v>
      </c>
      <c r="J47" s="26" t="n">
        <v>0</v>
      </c>
      <c r="K47" s="26" t="n">
        <v>0</v>
      </c>
      <c r="L47" s="26" t="n">
        <v>0</v>
      </c>
      <c r="M47" s="26" t="n">
        <v>0</v>
      </c>
      <c r="N47" s="26" t="n">
        <v>0</v>
      </c>
      <c r="O47" s="27">
        <f>SUM(C47:N47)</f>
        <v/>
      </c>
      <c r="P47" s="28">
        <f>O47/O$77</f>
        <v/>
      </c>
    </row>
    <row r="48">
      <c r="A48" s="24" t="n">
        <v>46</v>
      </c>
      <c r="B48" s="25" t="inlineStr">
        <is>
          <t>코끼리공구</t>
        </is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3</v>
      </c>
      <c r="H48" s="26" t="n">
        <v>0</v>
      </c>
      <c r="I48" s="26" t="n">
        <v>13</v>
      </c>
      <c r="J48" s="26" t="n">
        <v>0</v>
      </c>
      <c r="K48" s="26" t="n">
        <v>23</v>
      </c>
      <c r="L48" s="26" t="n">
        <v>0</v>
      </c>
      <c r="M48" s="26" t="n">
        <v>0</v>
      </c>
      <c r="N48" s="26" t="n">
        <v>0</v>
      </c>
      <c r="O48" s="27">
        <f>SUM(C48:N48)</f>
        <v/>
      </c>
      <c r="P48" s="28">
        <f>O48/O$77</f>
        <v/>
      </c>
    </row>
    <row r="49">
      <c r="A49" s="24" t="n">
        <v>47</v>
      </c>
      <c r="B49" s="25" t="inlineStr">
        <is>
          <t>대명종합공구-코고툴(재연마)</t>
        </is>
      </c>
      <c r="C49" s="26" t="n">
        <v>0</v>
      </c>
      <c r="D49" s="26" t="n">
        <v>12</v>
      </c>
      <c r="E49" s="26" t="n">
        <v>0</v>
      </c>
      <c r="F49" s="26" t="n">
        <v>5</v>
      </c>
      <c r="G49" s="26" t="n">
        <v>0</v>
      </c>
      <c r="H49" s="26" t="n">
        <v>20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  <c r="N49" s="26" t="n">
        <v>0</v>
      </c>
      <c r="O49" s="27">
        <f>SUM(C49:N49)</f>
        <v/>
      </c>
      <c r="P49" s="28">
        <f>O49/O$77</f>
        <v/>
      </c>
    </row>
    <row r="50">
      <c r="A50" s="24" t="n">
        <v>48</v>
      </c>
      <c r="B50" s="25" t="inlineStr">
        <is>
          <t>툴모아(시화)</t>
        </is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36</v>
      </c>
      <c r="L50" s="26" t="n">
        <v>0</v>
      </c>
      <c r="M50" s="26" t="n">
        <v>0</v>
      </c>
      <c r="N50" s="26" t="n">
        <v>0</v>
      </c>
      <c r="O50" s="27">
        <f>SUM(C50:N50)</f>
        <v/>
      </c>
      <c r="P50" s="28">
        <f>O50/O$77</f>
        <v/>
      </c>
    </row>
    <row r="51">
      <c r="A51" s="24" t="n">
        <v>49</v>
      </c>
      <c r="B51" s="25" t="inlineStr">
        <is>
          <t>영호종합공구(향남)</t>
        </is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8</v>
      </c>
      <c r="I51" s="26" t="n">
        <v>0</v>
      </c>
      <c r="J51" s="26" t="n">
        <v>24</v>
      </c>
      <c r="K51" s="26" t="n">
        <v>0</v>
      </c>
      <c r="L51" s="26" t="n">
        <v>0</v>
      </c>
      <c r="M51" s="26" t="n">
        <v>0</v>
      </c>
      <c r="N51" s="26" t="n">
        <v>0</v>
      </c>
      <c r="O51" s="27">
        <f>SUM(C51:N51)</f>
        <v/>
      </c>
      <c r="P51" s="28">
        <f>O51/O$77</f>
        <v/>
      </c>
    </row>
    <row r="52">
      <c r="A52" s="24" t="n">
        <v>50</v>
      </c>
      <c r="B52" s="25" t="inlineStr">
        <is>
          <t>(주)코리아테크닉스</t>
        </is>
      </c>
      <c r="C52" s="26" t="n">
        <v>0</v>
      </c>
      <c r="D52" s="26" t="n">
        <v>0</v>
      </c>
      <c r="E52" s="26" t="n">
        <v>15</v>
      </c>
      <c r="F52" s="26" t="n">
        <v>15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  <c r="N52" s="26" t="n">
        <v>0</v>
      </c>
      <c r="O52" s="27">
        <f>SUM(C52:N52)</f>
        <v/>
      </c>
      <c r="P52" s="28">
        <f>O52/O$77</f>
        <v/>
      </c>
    </row>
    <row r="53">
      <c r="A53" s="24" t="n">
        <v>51</v>
      </c>
      <c r="B53" s="25" t="inlineStr">
        <is>
          <t>공구공구</t>
        </is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30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n">
        <v>0</v>
      </c>
      <c r="M53" s="26" t="n">
        <v>0</v>
      </c>
      <c r="N53" s="26" t="n">
        <v>0</v>
      </c>
      <c r="O53" s="27">
        <f>SUM(C53:N53)</f>
        <v/>
      </c>
      <c r="P53" s="28">
        <f>O53/O$77</f>
        <v/>
      </c>
    </row>
    <row r="54">
      <c r="A54" s="24" t="n">
        <v>52</v>
      </c>
      <c r="B54" s="25" t="inlineStr">
        <is>
          <t>유성종합공구</t>
        </is>
      </c>
      <c r="C54" s="26" t="n">
        <v>0</v>
      </c>
      <c r="D54" s="26" t="n">
        <v>7</v>
      </c>
      <c r="E54" s="26" t="n">
        <v>2</v>
      </c>
      <c r="F54" s="26" t="n">
        <v>0</v>
      </c>
      <c r="G54" s="26" t="n">
        <v>7</v>
      </c>
      <c r="H54" s="26" t="n">
        <v>5</v>
      </c>
      <c r="I54" s="26" t="n">
        <v>7</v>
      </c>
      <c r="J54" s="26" t="n">
        <v>0</v>
      </c>
      <c r="K54" s="26" t="n">
        <v>0</v>
      </c>
      <c r="L54" s="26" t="n">
        <v>0</v>
      </c>
      <c r="M54" s="26" t="n">
        <v>0</v>
      </c>
      <c r="N54" s="26" t="n">
        <v>0</v>
      </c>
      <c r="O54" s="27">
        <f>SUM(C54:N54)</f>
        <v/>
      </c>
      <c r="P54" s="28">
        <f>O54/O$77</f>
        <v/>
      </c>
    </row>
    <row r="55">
      <c r="A55" s="24" t="n">
        <v>53</v>
      </c>
      <c r="B55" s="25" t="inlineStr">
        <is>
          <t>대양공구(인천)</t>
        </is>
      </c>
      <c r="C55" s="26" t="n">
        <v>0</v>
      </c>
      <c r="D55" s="26" t="n">
        <v>0</v>
      </c>
      <c r="E55" s="26" t="n">
        <v>0</v>
      </c>
      <c r="F55" s="26" t="n">
        <v>14</v>
      </c>
      <c r="G55" s="26" t="n">
        <v>0</v>
      </c>
      <c r="H55" s="26" t="n">
        <v>0</v>
      </c>
      <c r="I55" s="26" t="n">
        <v>0</v>
      </c>
      <c r="J55" s="26" t="n">
        <v>4</v>
      </c>
      <c r="K55" s="26" t="n">
        <v>0</v>
      </c>
      <c r="L55" s="26" t="n">
        <v>0</v>
      </c>
      <c r="M55" s="26" t="n">
        <v>0</v>
      </c>
      <c r="N55" s="26" t="n">
        <v>0</v>
      </c>
      <c r="O55" s="27">
        <f>SUM(C55:N55)</f>
        <v/>
      </c>
      <c r="P55" s="28">
        <f>O55/O$77</f>
        <v/>
      </c>
    </row>
    <row r="56">
      <c r="A56" s="24" t="n">
        <v>54</v>
      </c>
      <c r="B56" s="25" t="inlineStr">
        <is>
          <t>세운상사</t>
        </is>
      </c>
      <c r="C56" s="26" t="n">
        <v>0</v>
      </c>
      <c r="D56" s="26" t="n">
        <v>0</v>
      </c>
      <c r="E56" s="26" t="n">
        <v>0</v>
      </c>
      <c r="F56" s="26" t="n">
        <v>1</v>
      </c>
      <c r="G56" s="26" t="n">
        <v>0</v>
      </c>
      <c r="H56" s="26" t="n">
        <v>11</v>
      </c>
      <c r="I56" s="26" t="n">
        <v>0</v>
      </c>
      <c r="J56" s="26" t="n">
        <v>0</v>
      </c>
      <c r="K56" s="26" t="n">
        <v>6</v>
      </c>
      <c r="L56" s="26" t="n">
        <v>0</v>
      </c>
      <c r="M56" s="26" t="n">
        <v>0</v>
      </c>
      <c r="N56" s="26" t="n">
        <v>0</v>
      </c>
      <c r="O56" s="27">
        <f>SUM(C56:N56)</f>
        <v/>
      </c>
      <c r="P56" s="28">
        <f>O56/O$77</f>
        <v/>
      </c>
    </row>
    <row r="57">
      <c r="A57" s="24" t="n">
        <v>55</v>
      </c>
      <c r="B57" s="25" t="inlineStr">
        <is>
          <t>(주)두영</t>
        </is>
      </c>
      <c r="C57" s="26" t="n">
        <v>0</v>
      </c>
      <c r="D57" s="26" t="n">
        <v>14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7">
        <f>SUM(C57:N57)</f>
        <v/>
      </c>
      <c r="P57" s="28">
        <f>O57/O$77</f>
        <v/>
      </c>
    </row>
    <row r="58">
      <c r="A58" s="24" t="n">
        <v>56</v>
      </c>
      <c r="B58" s="25" t="inlineStr">
        <is>
          <t>N.T.S(엔티에스)-코고툴</t>
        </is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12</v>
      </c>
      <c r="H58" s="26" t="n">
        <v>0</v>
      </c>
      <c r="I58" s="26" t="n">
        <v>2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7">
        <f>SUM(C58:N58)</f>
        <v/>
      </c>
      <c r="P58" s="28">
        <f>O58/O$77</f>
        <v/>
      </c>
    </row>
    <row r="59">
      <c r="A59" s="24" t="n">
        <v>57</v>
      </c>
      <c r="B59" s="25" t="inlineStr">
        <is>
          <t>(주)금천종합공구(독산)</t>
        </is>
      </c>
      <c r="C59" s="26" t="n">
        <v>0</v>
      </c>
      <c r="D59" s="26" t="n">
        <v>0</v>
      </c>
      <c r="E59" s="26" t="n">
        <v>10</v>
      </c>
      <c r="F59" s="26" t="n">
        <v>0</v>
      </c>
      <c r="G59" s="26" t="n">
        <v>2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7">
        <f>SUM(C59:N59)</f>
        <v/>
      </c>
      <c r="P59" s="28">
        <f>O59/O$77</f>
        <v/>
      </c>
    </row>
    <row r="60">
      <c r="A60" s="24" t="n">
        <v>58</v>
      </c>
      <c r="B60" s="25" t="inlineStr">
        <is>
          <t>웰크리에이트-코고툴(재연마)</t>
        </is>
      </c>
      <c r="C60" s="26" t="n">
        <v>0</v>
      </c>
      <c r="D60" s="26" t="n">
        <v>0</v>
      </c>
      <c r="E60" s="26" t="n">
        <v>0</v>
      </c>
      <c r="F60" s="26" t="n">
        <v>10</v>
      </c>
      <c r="G60" s="26" t="n">
        <v>0</v>
      </c>
      <c r="H60" s="26" t="n">
        <v>0</v>
      </c>
      <c r="I60" s="26" t="n">
        <v>0</v>
      </c>
      <c r="J60" s="26" t="n">
        <v>2</v>
      </c>
      <c r="K60" s="26" t="n">
        <v>0</v>
      </c>
      <c r="L60" s="26" t="n">
        <v>0</v>
      </c>
      <c r="M60" s="26" t="n">
        <v>0</v>
      </c>
      <c r="N60" s="26" t="n">
        <v>0</v>
      </c>
      <c r="O60" s="27">
        <f>SUM(C60:N60)</f>
        <v/>
      </c>
      <c r="P60" s="28">
        <f>O60/O$77</f>
        <v/>
      </c>
    </row>
    <row r="61">
      <c r="A61" s="24" t="n">
        <v>59</v>
      </c>
      <c r="B61" s="25" t="inlineStr">
        <is>
          <t>(주)성환공구</t>
        </is>
      </c>
      <c r="C61" s="26" t="n">
        <v>2</v>
      </c>
      <c r="D61" s="26" t="n">
        <v>0</v>
      </c>
      <c r="E61" s="26" t="n">
        <v>2</v>
      </c>
      <c r="F61" s="26" t="n">
        <v>2</v>
      </c>
      <c r="G61" s="26" t="n">
        <v>0</v>
      </c>
      <c r="H61" s="26" t="n">
        <v>0</v>
      </c>
      <c r="I61" s="26" t="n">
        <v>0</v>
      </c>
      <c r="J61" s="26" t="n">
        <v>4</v>
      </c>
      <c r="K61" s="26" t="n">
        <v>0</v>
      </c>
      <c r="L61" s="26" t="n">
        <v>0</v>
      </c>
      <c r="M61" s="26" t="n">
        <v>0</v>
      </c>
      <c r="N61" s="26" t="n">
        <v>0</v>
      </c>
      <c r="O61" s="27">
        <f>SUM(C61:N61)</f>
        <v/>
      </c>
      <c r="P61" s="28">
        <f>O61/O$77</f>
        <v/>
      </c>
    </row>
    <row r="62">
      <c r="A62" s="24" t="n">
        <v>60</v>
      </c>
      <c r="B62" s="25" t="inlineStr">
        <is>
          <t>아시아툴링</t>
        </is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10</v>
      </c>
      <c r="K62" s="26" t="n">
        <v>0</v>
      </c>
      <c r="L62" s="26" t="n">
        <v>0</v>
      </c>
      <c r="M62" s="26" t="n">
        <v>0</v>
      </c>
      <c r="N62" s="26" t="n">
        <v>0</v>
      </c>
      <c r="O62" s="27">
        <f>SUM(C62:N62)</f>
        <v/>
      </c>
      <c r="P62" s="28">
        <f>O62/O$77</f>
        <v/>
      </c>
    </row>
    <row r="63">
      <c r="A63" s="24" t="n">
        <v>61</v>
      </c>
      <c r="B63" s="25" t="inlineStr">
        <is>
          <t>동남종합상사(주)</t>
        </is>
      </c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9</v>
      </c>
      <c r="J63" s="26" t="n">
        <v>0</v>
      </c>
      <c r="K63" s="26" t="n">
        <v>0</v>
      </c>
      <c r="L63" s="26" t="n">
        <v>0</v>
      </c>
      <c r="M63" s="26" t="n">
        <v>0</v>
      </c>
      <c r="N63" s="26" t="n">
        <v>0</v>
      </c>
      <c r="O63" s="27">
        <f>SUM(C63:N63)</f>
        <v/>
      </c>
      <c r="P63" s="28">
        <f>O63/O$77</f>
        <v/>
      </c>
    </row>
    <row r="64">
      <c r="A64" s="24" t="n">
        <v>62</v>
      </c>
      <c r="B64" s="25" t="inlineStr">
        <is>
          <t>케이티툴스</t>
        </is>
      </c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9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  <c r="N64" s="26" t="n">
        <v>0</v>
      </c>
      <c r="O64" s="27">
        <f>SUM(C64:N64)</f>
        <v/>
      </c>
      <c r="P64" s="28">
        <f>O64/O$77</f>
        <v/>
      </c>
    </row>
    <row r="65">
      <c r="A65" s="24" t="n">
        <v>63</v>
      </c>
      <c r="B65" s="25" t="inlineStr">
        <is>
          <t>제이앤티</t>
        </is>
      </c>
      <c r="C65" s="26" t="n">
        <v>0</v>
      </c>
      <c r="D65" s="26" t="n">
        <v>8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v>0</v>
      </c>
      <c r="N65" s="26" t="n">
        <v>0</v>
      </c>
      <c r="O65" s="27">
        <f>SUM(C65:N65)</f>
        <v/>
      </c>
      <c r="P65" s="28">
        <f>O65/O$77</f>
        <v/>
      </c>
    </row>
    <row r="66">
      <c r="A66" s="24" t="n">
        <v>64</v>
      </c>
      <c r="B66" s="25" t="inlineStr">
        <is>
          <t>대한초경공구</t>
        </is>
      </c>
      <c r="C66" s="26" t="n">
        <v>0</v>
      </c>
      <c r="D66" s="26" t="n">
        <v>1</v>
      </c>
      <c r="E66" s="26" t="n">
        <v>0</v>
      </c>
      <c r="F66" s="26" t="n">
        <v>0</v>
      </c>
      <c r="G66" s="26" t="n">
        <v>1</v>
      </c>
      <c r="H66" s="26" t="n">
        <v>2</v>
      </c>
      <c r="I66" s="26" t="n">
        <v>2</v>
      </c>
      <c r="J66" s="26" t="n">
        <v>1</v>
      </c>
      <c r="K66" s="26" t="n">
        <v>1</v>
      </c>
      <c r="L66" s="26" t="n">
        <v>0</v>
      </c>
      <c r="M66" s="26" t="n">
        <v>0</v>
      </c>
      <c r="N66" s="26" t="n">
        <v>0</v>
      </c>
      <c r="O66" s="27">
        <f>SUM(C66:N66)</f>
        <v/>
      </c>
      <c r="P66" s="28">
        <f>O66/O$77</f>
        <v/>
      </c>
    </row>
    <row r="67">
      <c r="A67" s="24" t="n">
        <v>65</v>
      </c>
      <c r="B67" s="25" t="inlineStr">
        <is>
          <t>금성툴테크</t>
        </is>
      </c>
      <c r="C67" s="26" t="n">
        <v>7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26" t="n">
        <v>0</v>
      </c>
      <c r="M67" s="26" t="n">
        <v>0</v>
      </c>
      <c r="N67" s="26" t="n">
        <v>0</v>
      </c>
      <c r="O67" s="27">
        <f>SUM(C67:N67)</f>
        <v/>
      </c>
      <c r="P67" s="28">
        <f>O67/O$77</f>
        <v/>
      </c>
    </row>
    <row r="68">
      <c r="A68" s="24" t="n">
        <v>66</v>
      </c>
      <c r="B68" s="25" t="inlineStr">
        <is>
          <t>(주)성신툴링</t>
        </is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7</v>
      </c>
      <c r="L68" s="26" t="n">
        <v>0</v>
      </c>
      <c r="M68" s="26" t="n">
        <v>0</v>
      </c>
      <c r="N68" s="26" t="n">
        <v>0</v>
      </c>
      <c r="O68" s="27">
        <f>SUM(C68:N68)</f>
        <v/>
      </c>
      <c r="P68" s="28">
        <f>O68/O$77</f>
        <v/>
      </c>
    </row>
    <row r="69">
      <c r="A69" s="24" t="n">
        <v>67</v>
      </c>
      <c r="B69" s="25" t="inlineStr">
        <is>
          <t>삼성패턴-코고툴(재연마)</t>
        </is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6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0</v>
      </c>
      <c r="O69" s="27">
        <f>SUM(C69:N69)</f>
        <v/>
      </c>
      <c r="P69" s="28">
        <f>O69/O$77</f>
        <v/>
      </c>
    </row>
    <row r="70">
      <c r="A70" s="24" t="n">
        <v>68</v>
      </c>
      <c r="B70" s="25" t="inlineStr">
        <is>
          <t>(아산)금영공구정공(주)</t>
        </is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4</v>
      </c>
      <c r="J70" s="26" t="n">
        <v>0</v>
      </c>
      <c r="K70" s="26" t="n">
        <v>0</v>
      </c>
      <c r="L70" s="26" t="n">
        <v>0</v>
      </c>
      <c r="M70" s="26" t="n">
        <v>0</v>
      </c>
      <c r="N70" s="26" t="n">
        <v>0</v>
      </c>
      <c r="O70" s="27">
        <f>SUM(C70:N70)</f>
        <v/>
      </c>
      <c r="P70" s="28">
        <f>O70/O$77</f>
        <v/>
      </c>
    </row>
    <row r="71">
      <c r="A71" s="24" t="n">
        <v>69</v>
      </c>
      <c r="B71" s="25" t="inlineStr">
        <is>
          <t>(주)툴테크신화</t>
        </is>
      </c>
      <c r="C71" s="26" t="n">
        <v>0</v>
      </c>
      <c r="D71" s="26" t="n">
        <v>4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0</v>
      </c>
      <c r="M71" s="26" t="n">
        <v>0</v>
      </c>
      <c r="N71" s="26" t="n">
        <v>0</v>
      </c>
      <c r="O71" s="27">
        <f>SUM(C71:N71)</f>
        <v/>
      </c>
      <c r="P71" s="28">
        <f>O71/O$77</f>
        <v/>
      </c>
    </row>
    <row r="72">
      <c r="A72" s="24" t="n">
        <v>70</v>
      </c>
      <c r="B72" s="25" t="inlineStr">
        <is>
          <t>(주)삼진기공</t>
        </is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3</v>
      </c>
      <c r="L72" s="26" t="n">
        <v>0</v>
      </c>
      <c r="M72" s="26" t="n">
        <v>0</v>
      </c>
      <c r="N72" s="26" t="n">
        <v>0</v>
      </c>
      <c r="O72" s="27">
        <f>SUM(C72:N72)</f>
        <v/>
      </c>
      <c r="P72" s="28">
        <f>O72/O$77</f>
        <v/>
      </c>
    </row>
    <row r="73">
      <c r="A73" s="24" t="n">
        <v>71</v>
      </c>
      <c r="B73" s="25" t="inlineStr">
        <is>
          <t>엘엠툴스</t>
        </is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2</v>
      </c>
      <c r="J73" s="26" t="n">
        <v>0</v>
      </c>
      <c r="K73" s="26" t="n">
        <v>0</v>
      </c>
      <c r="L73" s="26" t="n">
        <v>0</v>
      </c>
      <c r="M73" s="26" t="n">
        <v>0</v>
      </c>
      <c r="N73" s="26" t="n">
        <v>0</v>
      </c>
      <c r="O73" s="27">
        <f>SUM(C73:N73)</f>
        <v/>
      </c>
      <c r="P73" s="28">
        <f>O73/O$77</f>
        <v/>
      </c>
    </row>
    <row r="74">
      <c r="A74" s="24" t="n">
        <v>72</v>
      </c>
      <c r="B74" s="25" t="inlineStr">
        <is>
          <t>유성테크</t>
        </is>
      </c>
      <c r="C74" s="26" t="n">
        <v>0</v>
      </c>
      <c r="D74" s="26" t="n">
        <v>0</v>
      </c>
      <c r="E74" s="26" t="n">
        <v>2</v>
      </c>
      <c r="F74" s="26" t="n">
        <v>0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0</v>
      </c>
      <c r="N74" s="26" t="n">
        <v>0</v>
      </c>
      <c r="O74" s="27">
        <f>SUM(C74:N74)</f>
        <v/>
      </c>
      <c r="P74" s="28">
        <f>O74/O$77</f>
        <v/>
      </c>
    </row>
    <row r="75">
      <c r="A75" s="24" t="n">
        <v>73</v>
      </c>
      <c r="B75" s="25" t="inlineStr">
        <is>
          <t>정진툴링</t>
        </is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2</v>
      </c>
      <c r="L75" s="26" t="n">
        <v>0</v>
      </c>
      <c r="M75" s="26" t="n">
        <v>0</v>
      </c>
      <c r="N75" s="26" t="n">
        <v>0</v>
      </c>
      <c r="O75" s="27">
        <f>SUM(C75:N75)</f>
        <v/>
      </c>
      <c r="P75" s="28">
        <f>O75/O$77</f>
        <v/>
      </c>
    </row>
    <row r="76">
      <c r="A76" s="24" t="n">
        <v>74</v>
      </c>
      <c r="B76" s="25" t="inlineStr">
        <is>
          <t>우주툴링</t>
        </is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1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v>0</v>
      </c>
      <c r="N76" s="26" t="n">
        <v>0</v>
      </c>
      <c r="O76" s="27">
        <f>SUM(C76:N76)</f>
        <v/>
      </c>
      <c r="P76" s="28">
        <f>O76/O$77</f>
        <v/>
      </c>
    </row>
    <row r="77">
      <c r="A77" s="39" t="inlineStr">
        <is>
          <t>합계</t>
        </is>
      </c>
      <c r="B77" s="43" t="n"/>
      <c r="C77" s="40">
        <f>SUM(C3:C76)</f>
        <v/>
      </c>
      <c r="D77" s="40">
        <f>SUM(D3:D76)</f>
        <v/>
      </c>
      <c r="E77" s="40">
        <f>SUM(E3:E76)</f>
        <v/>
      </c>
      <c r="F77" s="40">
        <f>SUM(F3:F76)</f>
        <v/>
      </c>
      <c r="G77" s="40">
        <f>SUM(G3:G76)</f>
        <v/>
      </c>
      <c r="H77" s="40">
        <f>SUM(H3:H76)</f>
        <v/>
      </c>
      <c r="I77" s="40">
        <f>SUM(I3:I76)</f>
        <v/>
      </c>
      <c r="J77" s="40">
        <f>SUM(J3:J76)</f>
        <v/>
      </c>
      <c r="K77" s="40">
        <f>SUM(K3:K76)</f>
        <v/>
      </c>
      <c r="L77" s="40">
        <f>SUM(L3:L76)</f>
        <v/>
      </c>
      <c r="M77" s="40">
        <f>SUM(M3:M76)</f>
        <v/>
      </c>
      <c r="N77" s="40">
        <f>SUM(N3:N76)</f>
        <v/>
      </c>
      <c r="O77" s="40">
        <f>SUM(O3:O76)</f>
        <v/>
      </c>
      <c r="P77" s="41" t="n">
        <v>1</v>
      </c>
    </row>
  </sheetData>
  <mergeCells count="2">
    <mergeCell ref="A1:P1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429</v>
      </c>
      <c r="D3" s="8">
        <f>C3/C$28</f>
        <v/>
      </c>
      <c r="E3" s="8">
        <f>D3</f>
        <v/>
      </c>
      <c r="F3" s="7" t="n">
        <v>1835</v>
      </c>
    </row>
    <row r="4">
      <c r="A4" s="4" t="n">
        <v>2</v>
      </c>
      <c r="B4" s="5" t="inlineStr">
        <is>
          <t>(주)대일정공-코고툴</t>
        </is>
      </c>
      <c r="C4" s="7" t="n">
        <v>401</v>
      </c>
      <c r="D4" s="8">
        <f>C4/C$28</f>
        <v/>
      </c>
      <c r="E4" s="8">
        <f>E3+D4</f>
        <v/>
      </c>
      <c r="F4" s="7" t="n">
        <v>1170</v>
      </c>
    </row>
    <row r="5">
      <c r="A5" s="4" t="n">
        <v>3</v>
      </c>
      <c r="B5" s="5" t="inlineStr">
        <is>
          <t>영우툴링(창성툴)</t>
        </is>
      </c>
      <c r="C5" s="7" t="n">
        <v>159</v>
      </c>
      <c r="D5" s="8">
        <f>C5/C$28</f>
        <v/>
      </c>
      <c r="E5" s="8">
        <f>E4+D5</f>
        <v/>
      </c>
      <c r="F5" s="7" t="n">
        <v>657</v>
      </c>
    </row>
    <row r="6">
      <c r="A6" s="4" t="n">
        <v>4</v>
      </c>
      <c r="B6" s="5" t="inlineStr">
        <is>
          <t>뉴툴(New tool)</t>
        </is>
      </c>
      <c r="C6" s="7" t="n">
        <v>70</v>
      </c>
      <c r="D6" s="8">
        <f>C6/C$28</f>
        <v/>
      </c>
      <c r="E6" s="8">
        <f>E5+D6</f>
        <v/>
      </c>
      <c r="F6" s="7" t="n">
        <v>70</v>
      </c>
    </row>
    <row r="7">
      <c r="A7" s="4" t="n">
        <v>5</v>
      </c>
      <c r="B7" s="5" t="inlineStr">
        <is>
          <t>덕원종합상사</t>
        </is>
      </c>
      <c r="C7" s="7" t="n">
        <v>69</v>
      </c>
      <c r="D7" s="8">
        <f>C7/C$28</f>
        <v/>
      </c>
      <c r="E7" s="8">
        <f>E6+D7</f>
        <v/>
      </c>
      <c r="F7" s="7" t="n">
        <v>827</v>
      </c>
    </row>
    <row r="8">
      <c r="A8" s="14" t="n">
        <v>6</v>
      </c>
      <c r="B8" s="15" t="inlineStr">
        <is>
          <t>(주)공화공구</t>
        </is>
      </c>
      <c r="C8" s="17" t="n">
        <v>66</v>
      </c>
      <c r="D8" s="18">
        <f>C8/C$28</f>
        <v/>
      </c>
      <c r="E8" s="18">
        <f>E7+D8</f>
        <v/>
      </c>
      <c r="F8" s="17" t="n">
        <v>353</v>
      </c>
    </row>
    <row r="9">
      <c r="A9" s="14" t="n">
        <v>7</v>
      </c>
      <c r="B9" s="15" t="inlineStr">
        <is>
          <t>알제이코리아</t>
        </is>
      </c>
      <c r="C9" s="17" t="n">
        <v>64</v>
      </c>
      <c r="D9" s="18">
        <f>C9/C$28</f>
        <v/>
      </c>
      <c r="E9" s="18">
        <f>E8+D9</f>
        <v/>
      </c>
      <c r="F9" s="17" t="n">
        <v>315</v>
      </c>
    </row>
    <row r="10">
      <c r="A10" s="14" t="n">
        <v>8</v>
      </c>
      <c r="B10" s="15" t="inlineStr">
        <is>
          <t>아이티공구</t>
        </is>
      </c>
      <c r="C10" s="17" t="n">
        <v>61</v>
      </c>
      <c r="D10" s="18">
        <f>C10/C$28</f>
        <v/>
      </c>
      <c r="E10" s="18">
        <f>E9+D10</f>
        <v/>
      </c>
      <c r="F10" s="17" t="n">
        <v>681</v>
      </c>
    </row>
    <row r="11">
      <c r="A11" s="14" t="n">
        <v>9</v>
      </c>
      <c r="B11" s="15" t="inlineStr">
        <is>
          <t>대우툴링</t>
        </is>
      </c>
      <c r="C11" s="17" t="n">
        <v>60</v>
      </c>
      <c r="D11" s="18">
        <f>C11/C$28</f>
        <v/>
      </c>
      <c r="E11" s="18">
        <f>E10+D11</f>
        <v/>
      </c>
      <c r="F11" s="17" t="n">
        <v>133</v>
      </c>
    </row>
    <row r="12">
      <c r="A12" s="14" t="n">
        <v>10</v>
      </c>
      <c r="B12" s="15" t="inlineStr">
        <is>
          <t>영창툴링</t>
        </is>
      </c>
      <c r="C12" s="17" t="n">
        <v>40</v>
      </c>
      <c r="D12" s="18">
        <f>C12/C$28</f>
        <v/>
      </c>
      <c r="E12" s="18">
        <f>E11+D12</f>
        <v/>
      </c>
      <c r="F12" s="17" t="n">
        <v>144</v>
      </c>
    </row>
    <row r="13">
      <c r="A13" s="14" t="n">
        <v>11</v>
      </c>
      <c r="B13" s="15" t="inlineStr">
        <is>
          <t>E-tech(이테크)</t>
        </is>
      </c>
      <c r="C13" s="17" t="n">
        <v>40</v>
      </c>
      <c r="D13" s="18">
        <f>C13/C$28</f>
        <v/>
      </c>
      <c r="E13" s="18">
        <f>E12+D13</f>
        <v/>
      </c>
      <c r="F13" s="17" t="n">
        <v>94</v>
      </c>
    </row>
    <row r="14">
      <c r="A14" s="14" t="n">
        <v>12</v>
      </c>
      <c r="B14" s="15" t="inlineStr">
        <is>
          <t>유비툴</t>
        </is>
      </c>
      <c r="C14" s="17" t="n">
        <v>38</v>
      </c>
      <c r="D14" s="18">
        <f>C14/C$28</f>
        <v/>
      </c>
      <c r="E14" s="18">
        <f>E13+D14</f>
        <v/>
      </c>
      <c r="F14" s="17" t="n">
        <v>440</v>
      </c>
    </row>
    <row r="15">
      <c r="A15" s="14" t="n">
        <v>13</v>
      </c>
      <c r="B15" s="15" t="inlineStr">
        <is>
          <t>광진테크</t>
        </is>
      </c>
      <c r="C15" s="17" t="n">
        <v>37</v>
      </c>
      <c r="D15" s="18">
        <f>C15/C$28</f>
        <v/>
      </c>
      <c r="E15" s="18">
        <f>E14+D15</f>
        <v/>
      </c>
      <c r="F15" s="17" t="n">
        <v>80</v>
      </c>
    </row>
    <row r="16">
      <c r="A16" s="14" t="n">
        <v>14</v>
      </c>
      <c r="B16" s="15" t="inlineStr">
        <is>
          <t>반석공구</t>
        </is>
      </c>
      <c r="C16" s="17" t="n">
        <v>32</v>
      </c>
      <c r="D16" s="18">
        <f>C16/C$28</f>
        <v/>
      </c>
      <c r="E16" s="18">
        <f>E15+D16</f>
        <v/>
      </c>
      <c r="F16" s="17" t="n">
        <v>321</v>
      </c>
    </row>
    <row r="17">
      <c r="A17" s="14" t="n">
        <v>15</v>
      </c>
      <c r="B17" s="15" t="inlineStr">
        <is>
          <t>케이엠툴링</t>
        </is>
      </c>
      <c r="C17" s="17" t="n">
        <v>30</v>
      </c>
      <c r="D17" s="18">
        <f>C17/C$28</f>
        <v/>
      </c>
      <c r="E17" s="18">
        <f>E16+D17</f>
        <v/>
      </c>
      <c r="F17" s="17" t="n">
        <v>232</v>
      </c>
    </row>
    <row r="18">
      <c r="A18" s="14" t="n">
        <v>16</v>
      </c>
      <c r="B18" s="15" t="inlineStr">
        <is>
          <t>공구백화점(미산동)</t>
        </is>
      </c>
      <c r="C18" s="17" t="n">
        <v>16</v>
      </c>
      <c r="D18" s="18">
        <f>C18/C$28</f>
        <v/>
      </c>
      <c r="E18" s="18">
        <f>E17+D18</f>
        <v/>
      </c>
      <c r="F18" s="17" t="n">
        <v>63</v>
      </c>
    </row>
    <row r="19">
      <c r="A19" s="14" t="n">
        <v>17</v>
      </c>
      <c r="B19" s="15" t="inlineStr">
        <is>
          <t>맨날툴이야</t>
        </is>
      </c>
      <c r="C19" s="17" t="n">
        <v>13</v>
      </c>
      <c r="D19" s="18">
        <f>C19/C$28</f>
        <v/>
      </c>
      <c r="E19" s="18">
        <f>E18+D19</f>
        <v/>
      </c>
      <c r="F19" s="17" t="n">
        <v>64</v>
      </c>
    </row>
    <row r="20">
      <c r="A20" s="14" t="n">
        <v>18</v>
      </c>
      <c r="B20" s="15" t="inlineStr">
        <is>
          <t>왕삼아공구</t>
        </is>
      </c>
      <c r="C20" s="17" t="n">
        <v>13</v>
      </c>
      <c r="D20" s="18">
        <f>C20/C$28</f>
        <v/>
      </c>
      <c r="E20" s="18">
        <f>E19+D20</f>
        <v/>
      </c>
      <c r="F20" s="17" t="n">
        <v>445</v>
      </c>
    </row>
    <row r="21">
      <c r="A21" s="14" t="n">
        <v>19</v>
      </c>
      <c r="B21" s="15" t="inlineStr">
        <is>
          <t>강민툴링(비봉)</t>
        </is>
      </c>
      <c r="C21" s="17" t="n">
        <v>10</v>
      </c>
      <c r="D21" s="18">
        <f>C21/C$28</f>
        <v/>
      </c>
      <c r="E21" s="18">
        <f>E20+D21</f>
        <v/>
      </c>
      <c r="F21" s="17" t="n">
        <v>1031</v>
      </c>
    </row>
    <row r="22">
      <c r="A22" s="14" t="n">
        <v>20</v>
      </c>
      <c r="B22" s="15" t="inlineStr">
        <is>
          <t>금성툴테크</t>
        </is>
      </c>
      <c r="C22" s="17" t="n">
        <v>7</v>
      </c>
      <c r="D22" s="18">
        <f>C22/C$28</f>
        <v/>
      </c>
      <c r="E22" s="18">
        <f>E21+D22</f>
        <v/>
      </c>
      <c r="F22" s="17" t="n">
        <v>7</v>
      </c>
    </row>
    <row r="23">
      <c r="A23" s="14" t="n">
        <v>21</v>
      </c>
      <c r="B23" s="15" t="inlineStr">
        <is>
          <t>서림툴링</t>
        </is>
      </c>
      <c r="C23" s="17" t="n">
        <v>7</v>
      </c>
      <c r="D23" s="18">
        <f>C23/C$28</f>
        <v/>
      </c>
      <c r="E23" s="18">
        <f>E22+D23</f>
        <v/>
      </c>
      <c r="F23" s="17" t="n">
        <v>219</v>
      </c>
    </row>
    <row r="24">
      <c r="A24" s="14" t="n">
        <v>22</v>
      </c>
      <c r="B24" s="15" t="inlineStr">
        <is>
          <t>연성기공(주)</t>
        </is>
      </c>
      <c r="C24" s="17" t="n">
        <v>7</v>
      </c>
      <c r="D24" s="18">
        <f>C24/C$28</f>
        <v/>
      </c>
      <c r="E24" s="18">
        <f>E23+D24</f>
        <v/>
      </c>
      <c r="F24" s="17" t="n">
        <v>626</v>
      </c>
    </row>
    <row r="25">
      <c r="A25" s="14" t="n">
        <v>23</v>
      </c>
      <c r="B25" s="15" t="inlineStr">
        <is>
          <t>유성상공사</t>
        </is>
      </c>
      <c r="C25" s="17" t="n">
        <v>5</v>
      </c>
      <c r="D25" s="18">
        <f>C25/C$28</f>
        <v/>
      </c>
      <c r="E25" s="18">
        <f>E24+D25</f>
        <v/>
      </c>
      <c r="F25" s="17" t="n">
        <v>107</v>
      </c>
    </row>
    <row r="26">
      <c r="A26" s="14" t="n">
        <v>24</v>
      </c>
      <c r="B26" s="15" t="inlineStr">
        <is>
          <t>(주)금형티에스</t>
        </is>
      </c>
      <c r="C26" s="17" t="n">
        <v>4</v>
      </c>
      <c r="D26" s="18">
        <f>C26/C$28</f>
        <v/>
      </c>
      <c r="E26" s="18">
        <f>E25+D26</f>
        <v/>
      </c>
      <c r="F26" s="17" t="n">
        <v>245</v>
      </c>
    </row>
    <row r="27">
      <c r="A27" s="14" t="n">
        <v>25</v>
      </c>
      <c r="B27" s="15" t="inlineStr">
        <is>
          <t>(주)성환공구</t>
        </is>
      </c>
      <c r="C27" s="17" t="n">
        <v>2</v>
      </c>
      <c r="D27" s="18">
        <f>C27/C$28</f>
        <v/>
      </c>
      <c r="E27" s="18">
        <f>E26+D27</f>
        <v/>
      </c>
      <c r="F27" s="17" t="n">
        <v>10</v>
      </c>
    </row>
    <row r="28">
      <c r="A28" s="19" t="inlineStr">
        <is>
          <t>합계</t>
        </is>
      </c>
      <c r="B28" s="42" t="n"/>
      <c r="C28" s="20">
        <f>SUM(C3:C27)</f>
        <v/>
      </c>
      <c r="D28" s="21" t="n">
        <v>1</v>
      </c>
      <c r="E28" s="19" t="n"/>
      <c r="F28" s="20">
        <f>SUM(F3:F27)</f>
        <v/>
      </c>
    </row>
  </sheetData>
  <mergeCells count="2">
    <mergeCell ref="A1:F1"/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383</v>
      </c>
      <c r="D3" s="8">
        <f>C3/C$33</f>
        <v/>
      </c>
      <c r="E3" s="8">
        <f>D3</f>
        <v/>
      </c>
      <c r="F3" s="7" t="n">
        <v>1456</v>
      </c>
    </row>
    <row r="4">
      <c r="A4" s="4" t="n">
        <v>2</v>
      </c>
      <c r="B4" s="5" t="inlineStr">
        <is>
          <t>건영테크(광주)</t>
        </is>
      </c>
      <c r="C4" s="7" t="n">
        <v>194</v>
      </c>
      <c r="D4" s="8">
        <f>C4/C$33</f>
        <v/>
      </c>
      <c r="E4" s="8">
        <f>E3+D4</f>
        <v/>
      </c>
      <c r="F4" s="7" t="n">
        <v>1413</v>
      </c>
    </row>
    <row r="5">
      <c r="A5" s="4" t="n">
        <v>3</v>
      </c>
      <c r="B5" s="5" t="inlineStr">
        <is>
          <t>강민툴링(비봉)</t>
        </is>
      </c>
      <c r="C5" s="7" t="n">
        <v>143</v>
      </c>
      <c r="D5" s="8">
        <f>C5/C$33</f>
        <v/>
      </c>
      <c r="E5" s="8">
        <f>E4+D5</f>
        <v/>
      </c>
      <c r="F5" s="7" t="n">
        <v>1031</v>
      </c>
    </row>
    <row r="6">
      <c r="A6" s="4" t="n">
        <v>4</v>
      </c>
      <c r="B6" s="5" t="inlineStr">
        <is>
          <t>아신상사</t>
        </is>
      </c>
      <c r="C6" s="7" t="n">
        <v>134</v>
      </c>
      <c r="D6" s="8">
        <f>C6/C$33</f>
        <v/>
      </c>
      <c r="E6" s="8">
        <f>E5+D6</f>
        <v/>
      </c>
      <c r="F6" s="7" t="n">
        <v>579</v>
      </c>
    </row>
    <row r="7">
      <c r="A7" s="4" t="n">
        <v>5</v>
      </c>
      <c r="B7" s="5" t="inlineStr">
        <is>
          <t>덕원종합상사</t>
        </is>
      </c>
      <c r="C7" s="7" t="n">
        <v>110</v>
      </c>
      <c r="D7" s="8">
        <f>C7/C$33</f>
        <v/>
      </c>
      <c r="E7" s="8">
        <f>E6+D7</f>
        <v/>
      </c>
      <c r="F7" s="7" t="n">
        <v>827</v>
      </c>
    </row>
    <row r="8">
      <c r="A8" s="14" t="n">
        <v>6</v>
      </c>
      <c r="B8" s="15" t="inlineStr">
        <is>
          <t>연성기공(주)</t>
        </is>
      </c>
      <c r="C8" s="17" t="n">
        <v>88</v>
      </c>
      <c r="D8" s="18">
        <f>C8/C$33</f>
        <v/>
      </c>
      <c r="E8" s="18">
        <f>E7+D8</f>
        <v/>
      </c>
      <c r="F8" s="17" t="n">
        <v>626</v>
      </c>
    </row>
    <row r="9">
      <c r="A9" s="14" t="n">
        <v>7</v>
      </c>
      <c r="B9" s="15" t="inlineStr">
        <is>
          <t>아이티공구</t>
        </is>
      </c>
      <c r="C9" s="17" t="n">
        <v>83</v>
      </c>
      <c r="D9" s="18">
        <f>C9/C$33</f>
        <v/>
      </c>
      <c r="E9" s="18">
        <f>E8+D9</f>
        <v/>
      </c>
      <c r="F9" s="17" t="n">
        <v>681</v>
      </c>
    </row>
    <row r="10">
      <c r="A10" s="14" t="n">
        <v>8</v>
      </c>
      <c r="B10" s="15" t="inlineStr">
        <is>
          <t>다영툴링</t>
        </is>
      </c>
      <c r="C10" s="17" t="n">
        <v>82</v>
      </c>
      <c r="D10" s="18">
        <f>C10/C$33</f>
        <v/>
      </c>
      <c r="E10" s="18">
        <f>E9+D10</f>
        <v/>
      </c>
      <c r="F10" s="17" t="n">
        <v>99</v>
      </c>
    </row>
    <row r="11">
      <c r="A11" s="14" t="n">
        <v>9</v>
      </c>
      <c r="B11" s="15" t="inlineStr">
        <is>
          <t>영우툴링(창성툴)</t>
        </is>
      </c>
      <c r="C11" s="17" t="n">
        <v>72</v>
      </c>
      <c r="D11" s="18">
        <f>C11/C$33</f>
        <v/>
      </c>
      <c r="E11" s="18">
        <f>E10+D11</f>
        <v/>
      </c>
      <c r="F11" s="17" t="n">
        <v>657</v>
      </c>
    </row>
    <row r="12">
      <c r="A12" s="14" t="n">
        <v>10</v>
      </c>
      <c r="B12" s="15" t="inlineStr">
        <is>
          <t>원영공구(구,원영상사)</t>
        </is>
      </c>
      <c r="C12" s="17" t="n">
        <v>58</v>
      </c>
      <c r="D12" s="18">
        <f>C12/C$33</f>
        <v/>
      </c>
      <c r="E12" s="18">
        <f>E11+D12</f>
        <v/>
      </c>
      <c r="F12" s="17" t="n">
        <v>1835</v>
      </c>
    </row>
    <row r="13">
      <c r="A13" s="14" t="n">
        <v>11</v>
      </c>
      <c r="B13" s="15" t="inlineStr">
        <is>
          <t>(주)정원테크</t>
        </is>
      </c>
      <c r="C13" s="17" t="n">
        <v>50</v>
      </c>
      <c r="D13" s="18">
        <f>C13/C$33</f>
        <v/>
      </c>
      <c r="E13" s="18">
        <f>E12+D13</f>
        <v/>
      </c>
      <c r="F13" s="17" t="n">
        <v>90</v>
      </c>
    </row>
    <row r="14">
      <c r="A14" s="14" t="n">
        <v>12</v>
      </c>
      <c r="B14" s="15" t="inlineStr">
        <is>
          <t>(주)공화공구</t>
        </is>
      </c>
      <c r="C14" s="17" t="n">
        <v>47</v>
      </c>
      <c r="D14" s="18">
        <f>C14/C$33</f>
        <v/>
      </c>
      <c r="E14" s="18">
        <f>E13+D14</f>
        <v/>
      </c>
      <c r="F14" s="17" t="n">
        <v>353</v>
      </c>
    </row>
    <row r="15">
      <c r="A15" s="14" t="n">
        <v>13</v>
      </c>
      <c r="B15" s="15" t="inlineStr">
        <is>
          <t>E-tech(이테크)</t>
        </is>
      </c>
      <c r="C15" s="17" t="n">
        <v>44</v>
      </c>
      <c r="D15" s="18">
        <f>C15/C$33</f>
        <v/>
      </c>
      <c r="E15" s="18">
        <f>E14+D15</f>
        <v/>
      </c>
      <c r="F15" s="17" t="n">
        <v>94</v>
      </c>
    </row>
    <row r="16">
      <c r="A16" s="14" t="n">
        <v>14</v>
      </c>
      <c r="B16" s="15" t="inlineStr">
        <is>
          <t>서림툴링</t>
        </is>
      </c>
      <c r="C16" s="17" t="n">
        <v>42</v>
      </c>
      <c r="D16" s="18">
        <f>C16/C$33</f>
        <v/>
      </c>
      <c r="E16" s="18">
        <f>E15+D16</f>
        <v/>
      </c>
      <c r="F16" s="17" t="n">
        <v>219</v>
      </c>
    </row>
    <row r="17">
      <c r="A17" s="14" t="n">
        <v>15</v>
      </c>
      <c r="B17" s="15" t="inlineStr">
        <is>
          <t>유비툴</t>
        </is>
      </c>
      <c r="C17" s="17" t="n">
        <v>29</v>
      </c>
      <c r="D17" s="18">
        <f>C17/C$33</f>
        <v/>
      </c>
      <c r="E17" s="18">
        <f>E16+D17</f>
        <v/>
      </c>
      <c r="F17" s="17" t="n">
        <v>440</v>
      </c>
    </row>
    <row r="18">
      <c r="A18" s="14" t="n">
        <v>16</v>
      </c>
      <c r="B18" s="15" t="inlineStr">
        <is>
          <t>반석공구</t>
        </is>
      </c>
      <c r="C18" s="17" t="n">
        <v>22</v>
      </c>
      <c r="D18" s="18">
        <f>C18/C$33</f>
        <v/>
      </c>
      <c r="E18" s="18">
        <f>E17+D18</f>
        <v/>
      </c>
      <c r="F18" s="17" t="n">
        <v>321</v>
      </c>
    </row>
    <row r="19">
      <c r="A19" s="14" t="n">
        <v>17</v>
      </c>
      <c r="B19" s="15" t="inlineStr">
        <is>
          <t>왕삼아공구</t>
        </is>
      </c>
      <c r="C19" s="17" t="n">
        <v>15</v>
      </c>
      <c r="D19" s="18">
        <f>C19/C$33</f>
        <v/>
      </c>
      <c r="E19" s="18">
        <f>E18+D19</f>
        <v/>
      </c>
      <c r="F19" s="17" t="n">
        <v>445</v>
      </c>
    </row>
    <row r="20">
      <c r="A20" s="14" t="n">
        <v>18</v>
      </c>
      <c r="B20" s="15" t="inlineStr">
        <is>
          <t>(주)두영</t>
        </is>
      </c>
      <c r="C20" s="17" t="n">
        <v>14</v>
      </c>
      <c r="D20" s="18">
        <f>C20/C$33</f>
        <v/>
      </c>
      <c r="E20" s="18">
        <f>E19+D20</f>
        <v/>
      </c>
      <c r="F20" s="17" t="n">
        <v>14</v>
      </c>
    </row>
    <row r="21">
      <c r="A21" s="14" t="n">
        <v>19</v>
      </c>
      <c r="B21" s="15" t="inlineStr">
        <is>
          <t>(주)일등정밀공구(안산)</t>
        </is>
      </c>
      <c r="C21" s="17" t="n">
        <v>13</v>
      </c>
      <c r="D21" s="18">
        <f>C21/C$33</f>
        <v/>
      </c>
      <c r="E21" s="18">
        <f>E20+D21</f>
        <v/>
      </c>
      <c r="F21" s="17" t="n">
        <v>88</v>
      </c>
    </row>
    <row r="22">
      <c r="A22" s="14" t="n">
        <v>20</v>
      </c>
      <c r="B22" s="15" t="inlineStr">
        <is>
          <t>대명종합공구-코고툴(재연마)</t>
        </is>
      </c>
      <c r="C22" s="17" t="n">
        <v>12</v>
      </c>
      <c r="D22" s="18">
        <f>C22/C$33</f>
        <v/>
      </c>
      <c r="E22" s="18">
        <f>E21+D22</f>
        <v/>
      </c>
      <c r="F22" s="17" t="n">
        <v>37</v>
      </c>
    </row>
    <row r="23">
      <c r="A23" s="14" t="n">
        <v>21</v>
      </c>
      <c r="B23" s="15" t="inlineStr">
        <is>
          <t>영창툴링</t>
        </is>
      </c>
      <c r="C23" s="17" t="n">
        <v>10</v>
      </c>
      <c r="D23" s="18">
        <f>C23/C$33</f>
        <v/>
      </c>
      <c r="E23" s="18">
        <f>E22+D23</f>
        <v/>
      </c>
      <c r="F23" s="17" t="n">
        <v>144</v>
      </c>
    </row>
    <row r="24">
      <c r="A24" s="14" t="n">
        <v>22</v>
      </c>
      <c r="B24" s="15" t="inlineStr">
        <is>
          <t>이엠티(EMT)</t>
        </is>
      </c>
      <c r="C24" s="17" t="n">
        <v>9</v>
      </c>
      <c r="D24" s="18">
        <f>C24/C$33</f>
        <v/>
      </c>
      <c r="E24" s="18">
        <f>E23+D24</f>
        <v/>
      </c>
      <c r="F24" s="17" t="n">
        <v>127</v>
      </c>
    </row>
    <row r="25">
      <c r="A25" s="14" t="n">
        <v>23</v>
      </c>
      <c r="B25" s="15" t="inlineStr">
        <is>
          <t>제이앤티</t>
        </is>
      </c>
      <c r="C25" s="17" t="n">
        <v>8</v>
      </c>
      <c r="D25" s="18">
        <f>C25/C$33</f>
        <v/>
      </c>
      <c r="E25" s="18">
        <f>E24+D25</f>
        <v/>
      </c>
      <c r="F25" s="17" t="n">
        <v>8</v>
      </c>
    </row>
    <row r="26">
      <c r="A26" s="14" t="n">
        <v>24</v>
      </c>
      <c r="B26" s="15" t="inlineStr">
        <is>
          <t>유진상사(문래)</t>
        </is>
      </c>
      <c r="C26" s="17" t="n">
        <v>7</v>
      </c>
      <c r="D26" s="18">
        <f>C26/C$33</f>
        <v/>
      </c>
      <c r="E26" s="18">
        <f>E25+D26</f>
        <v/>
      </c>
      <c r="F26" s="17" t="n">
        <v>233</v>
      </c>
    </row>
    <row r="27">
      <c r="A27" s="14" t="n">
        <v>25</v>
      </c>
      <c r="B27" s="15" t="inlineStr">
        <is>
          <t>유성종합공구</t>
        </is>
      </c>
      <c r="C27" s="17" t="n">
        <v>7</v>
      </c>
      <c r="D27" s="18">
        <f>C27/C$33</f>
        <v/>
      </c>
      <c r="E27" s="18">
        <f>E26+D27</f>
        <v/>
      </c>
      <c r="F27" s="17" t="n">
        <v>28</v>
      </c>
    </row>
    <row r="28">
      <c r="A28" s="14" t="n">
        <v>26</v>
      </c>
      <c r="B28" s="15" t="inlineStr">
        <is>
          <t>(주)금형티에스</t>
        </is>
      </c>
      <c r="C28" s="17" t="n">
        <v>6</v>
      </c>
      <c r="D28" s="18">
        <f>C28/C$33</f>
        <v/>
      </c>
      <c r="E28" s="18">
        <f>E27+D28</f>
        <v/>
      </c>
      <c r="F28" s="17" t="n">
        <v>245</v>
      </c>
    </row>
    <row r="29">
      <c r="A29" s="14" t="n">
        <v>27</v>
      </c>
      <c r="B29" s="15" t="inlineStr">
        <is>
          <t>(주)대일정공-코고툴</t>
        </is>
      </c>
      <c r="C29" s="17" t="n">
        <v>5</v>
      </c>
      <c r="D29" s="18">
        <f>C29/C$33</f>
        <v/>
      </c>
      <c r="E29" s="18">
        <f>E28+D29</f>
        <v/>
      </c>
      <c r="F29" s="17" t="n">
        <v>1170</v>
      </c>
    </row>
    <row r="30">
      <c r="A30" s="14" t="n">
        <v>28</v>
      </c>
      <c r="B30" s="15" t="inlineStr">
        <is>
          <t>(주)툴테크신화</t>
        </is>
      </c>
      <c r="C30" s="17" t="n">
        <v>4</v>
      </c>
      <c r="D30" s="18">
        <f>C30/C$33</f>
        <v/>
      </c>
      <c r="E30" s="18">
        <f>E29+D30</f>
        <v/>
      </c>
      <c r="F30" s="17" t="n">
        <v>4</v>
      </c>
    </row>
    <row r="31">
      <c r="A31" s="14" t="n">
        <v>29</v>
      </c>
      <c r="B31" s="15" t="inlineStr">
        <is>
          <t>공구백화점(미산동)</t>
        </is>
      </c>
      <c r="C31" s="17" t="n">
        <v>3</v>
      </c>
      <c r="D31" s="18">
        <f>C31/C$33</f>
        <v/>
      </c>
      <c r="E31" s="18">
        <f>E30+D31</f>
        <v/>
      </c>
      <c r="F31" s="17" t="n">
        <v>63</v>
      </c>
    </row>
    <row r="32">
      <c r="A32" s="14" t="n">
        <v>30</v>
      </c>
      <c r="B32" s="15" t="inlineStr">
        <is>
          <t>대한초경공구</t>
        </is>
      </c>
      <c r="C32" s="17" t="n">
        <v>1</v>
      </c>
      <c r="D32" s="18">
        <f>C32/C$33</f>
        <v/>
      </c>
      <c r="E32" s="18">
        <f>E31+D32</f>
        <v/>
      </c>
      <c r="F32" s="17" t="n">
        <v>8</v>
      </c>
    </row>
    <row r="33">
      <c r="A33" s="19" t="inlineStr">
        <is>
          <t>합계</t>
        </is>
      </c>
      <c r="B33" s="42" t="n"/>
      <c r="C33" s="20">
        <f>SUM(C3:C32)</f>
        <v/>
      </c>
      <c r="D33" s="21" t="n">
        <v>1</v>
      </c>
      <c r="E33" s="19" t="n"/>
      <c r="F33" s="20">
        <f>SUM(F3:F32)</f>
        <v/>
      </c>
    </row>
  </sheetData>
  <mergeCells count="2">
    <mergeCell ref="A33:B3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3월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3월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310</v>
      </c>
      <c r="D3" s="8">
        <f>C3/C$36</f>
        <v/>
      </c>
      <c r="E3" s="8">
        <f>D3</f>
        <v/>
      </c>
      <c r="F3" s="7" t="n">
        <v>1031</v>
      </c>
    </row>
    <row r="4">
      <c r="A4" s="4" t="n">
        <v>2</v>
      </c>
      <c r="B4" s="5" t="inlineStr">
        <is>
          <t>아신상사</t>
        </is>
      </c>
      <c r="C4" s="7" t="n">
        <v>152</v>
      </c>
      <c r="D4" s="8">
        <f>C4/C$36</f>
        <v/>
      </c>
      <c r="E4" s="8">
        <f>E3+D4</f>
        <v/>
      </c>
      <c r="F4" s="7" t="n">
        <v>579</v>
      </c>
    </row>
    <row r="5">
      <c r="A5" s="4" t="n">
        <v>3</v>
      </c>
      <c r="B5" s="5" t="inlineStr">
        <is>
          <t>건영테크(광주)</t>
        </is>
      </c>
      <c r="C5" s="7" t="n">
        <v>137</v>
      </c>
      <c r="D5" s="8">
        <f>C5/C$36</f>
        <v/>
      </c>
      <c r="E5" s="8">
        <f>E4+D5</f>
        <v/>
      </c>
      <c r="F5" s="7" t="n">
        <v>1413</v>
      </c>
    </row>
    <row r="6">
      <c r="A6" s="4" t="n">
        <v>4</v>
      </c>
      <c r="B6" s="5" t="inlineStr">
        <is>
          <t>초경툴(구,성민TOOL)-코고툴</t>
        </is>
      </c>
      <c r="C6" s="7" t="n">
        <v>123</v>
      </c>
      <c r="D6" s="8">
        <f>C6/C$36</f>
        <v/>
      </c>
      <c r="E6" s="8">
        <f>E5+D6</f>
        <v/>
      </c>
      <c r="F6" s="7" t="n">
        <v>1456</v>
      </c>
    </row>
    <row r="7">
      <c r="A7" s="4" t="n">
        <v>5</v>
      </c>
      <c r="B7" s="5" t="inlineStr">
        <is>
          <t>원영공구(구,원영상사)</t>
        </is>
      </c>
      <c r="C7" s="7" t="n">
        <v>112</v>
      </c>
      <c r="D7" s="8">
        <f>C7/C$36</f>
        <v/>
      </c>
      <c r="E7" s="8">
        <f>E6+D7</f>
        <v/>
      </c>
      <c r="F7" s="7" t="n">
        <v>1835</v>
      </c>
    </row>
    <row r="8">
      <c r="A8" s="14" t="n">
        <v>6</v>
      </c>
      <c r="B8" s="15" t="inlineStr">
        <is>
          <t>이엠티(EMT)</t>
        </is>
      </c>
      <c r="C8" s="17" t="n">
        <v>104</v>
      </c>
      <c r="D8" s="18">
        <f>C8/C$36</f>
        <v/>
      </c>
      <c r="E8" s="18">
        <f>E7+D8</f>
        <v/>
      </c>
      <c r="F8" s="17" t="n">
        <v>127</v>
      </c>
    </row>
    <row r="9">
      <c r="A9" s="14" t="n">
        <v>7</v>
      </c>
      <c r="B9" s="15" t="inlineStr">
        <is>
          <t>스마트툴스</t>
        </is>
      </c>
      <c r="C9" s="17" t="n">
        <v>95</v>
      </c>
      <c r="D9" s="18">
        <f>C9/C$36</f>
        <v/>
      </c>
      <c r="E9" s="18">
        <f>E8+D9</f>
        <v/>
      </c>
      <c r="F9" s="17" t="n">
        <v>95</v>
      </c>
    </row>
    <row r="10">
      <c r="A10" s="14" t="n">
        <v>8</v>
      </c>
      <c r="B10" s="15" t="inlineStr">
        <is>
          <t>핫몰드엔지니어링주식회사-코고툴(재연마)</t>
        </is>
      </c>
      <c r="C10" s="17" t="n">
        <v>79</v>
      </c>
      <c r="D10" s="18">
        <f>C10/C$36</f>
        <v/>
      </c>
      <c r="E10" s="18">
        <f>E9+D10</f>
        <v/>
      </c>
      <c r="F10" s="17" t="n">
        <v>188</v>
      </c>
    </row>
    <row r="11">
      <c r="A11" s="14" t="n">
        <v>9</v>
      </c>
      <c r="B11" s="15" t="inlineStr">
        <is>
          <t>덕원종합상사</t>
        </is>
      </c>
      <c r="C11" s="17" t="n">
        <v>75</v>
      </c>
      <c r="D11" s="18">
        <f>C11/C$36</f>
        <v/>
      </c>
      <c r="E11" s="18">
        <f>E10+D11</f>
        <v/>
      </c>
      <c r="F11" s="17" t="n">
        <v>827</v>
      </c>
    </row>
    <row r="12">
      <c r="A12" s="14" t="n">
        <v>10</v>
      </c>
      <c r="B12" s="15" t="inlineStr">
        <is>
          <t>알제이코리아</t>
        </is>
      </c>
      <c r="C12" s="17" t="n">
        <v>70</v>
      </c>
      <c r="D12" s="18">
        <f>C12/C$36</f>
        <v/>
      </c>
      <c r="E12" s="18">
        <f>E11+D12</f>
        <v/>
      </c>
      <c r="F12" s="17" t="n">
        <v>315</v>
      </c>
    </row>
    <row r="13">
      <c r="A13" s="14" t="n">
        <v>11</v>
      </c>
      <c r="B13" s="15" t="inlineStr">
        <is>
          <t>예일공구상사</t>
        </is>
      </c>
      <c r="C13" s="17" t="n">
        <v>57</v>
      </c>
      <c r="D13" s="18">
        <f>C13/C$36</f>
        <v/>
      </c>
      <c r="E13" s="18">
        <f>E12+D13</f>
        <v/>
      </c>
      <c r="F13" s="17" t="n">
        <v>57</v>
      </c>
    </row>
    <row r="14">
      <c r="A14" s="14" t="n">
        <v>12</v>
      </c>
      <c r="B14" s="15" t="inlineStr">
        <is>
          <t>유비툴</t>
        </is>
      </c>
      <c r="C14" s="17" t="n">
        <v>53</v>
      </c>
      <c r="D14" s="18">
        <f>C14/C$36</f>
        <v/>
      </c>
      <c r="E14" s="18">
        <f>E13+D14</f>
        <v/>
      </c>
      <c r="F14" s="17" t="n">
        <v>440</v>
      </c>
    </row>
    <row r="15">
      <c r="A15" s="14" t="n">
        <v>13</v>
      </c>
      <c r="B15" s="15" t="inlineStr">
        <is>
          <t>아이티공구</t>
        </is>
      </c>
      <c r="C15" s="17" t="n">
        <v>43</v>
      </c>
      <c r="D15" s="18">
        <f>C15/C$36</f>
        <v/>
      </c>
      <c r="E15" s="18">
        <f>E14+D15</f>
        <v/>
      </c>
      <c r="F15" s="17" t="n">
        <v>681</v>
      </c>
    </row>
    <row r="16">
      <c r="A16" s="14" t="n">
        <v>14</v>
      </c>
      <c r="B16" s="15" t="inlineStr">
        <is>
          <t>영우툴링(창성툴)</t>
        </is>
      </c>
      <c r="C16" s="17" t="n">
        <v>34</v>
      </c>
      <c r="D16" s="18">
        <f>C16/C$36</f>
        <v/>
      </c>
      <c r="E16" s="18">
        <f>E15+D16</f>
        <v/>
      </c>
      <c r="F16" s="17" t="n">
        <v>657</v>
      </c>
    </row>
    <row r="17">
      <c r="A17" s="14" t="n">
        <v>15</v>
      </c>
      <c r="B17" s="15" t="inlineStr">
        <is>
          <t>신우툴링(남동)</t>
        </is>
      </c>
      <c r="C17" s="17" t="n">
        <v>32</v>
      </c>
      <c r="D17" s="18">
        <f>C17/C$36</f>
        <v/>
      </c>
      <c r="E17" s="18">
        <f>E16+D17</f>
        <v/>
      </c>
      <c r="F17" s="17" t="n">
        <v>369</v>
      </c>
    </row>
    <row r="18">
      <c r="A18" s="14" t="n">
        <v>16</v>
      </c>
      <c r="B18" s="15" t="inlineStr">
        <is>
          <t>대륙기계공구</t>
        </is>
      </c>
      <c r="C18" s="17" t="n">
        <v>30</v>
      </c>
      <c r="D18" s="18">
        <f>C18/C$36</f>
        <v/>
      </c>
      <c r="E18" s="18">
        <f>E17+D18</f>
        <v/>
      </c>
      <c r="F18" s="17" t="n">
        <v>254</v>
      </c>
    </row>
    <row r="19">
      <c r="A19" s="14" t="n">
        <v>17</v>
      </c>
      <c r="B19" s="15" t="inlineStr">
        <is>
          <t>반석공구</t>
        </is>
      </c>
      <c r="C19" s="17" t="n">
        <v>28</v>
      </c>
      <c r="D19" s="18">
        <f>C19/C$36</f>
        <v/>
      </c>
      <c r="E19" s="18">
        <f>E18+D19</f>
        <v/>
      </c>
      <c r="F19" s="17" t="n">
        <v>321</v>
      </c>
    </row>
    <row r="20">
      <c r="A20" s="14" t="n">
        <v>18</v>
      </c>
      <c r="B20" s="15" t="inlineStr">
        <is>
          <t>케이엠툴링</t>
        </is>
      </c>
      <c r="C20" s="17" t="n">
        <v>25</v>
      </c>
      <c r="D20" s="18">
        <f>C20/C$36</f>
        <v/>
      </c>
      <c r="E20" s="18">
        <f>E19+D20</f>
        <v/>
      </c>
      <c r="F20" s="17" t="n">
        <v>232</v>
      </c>
    </row>
    <row r="21">
      <c r="A21" s="14" t="n">
        <v>19</v>
      </c>
      <c r="B21" s="15" t="inlineStr">
        <is>
          <t>서림툴링</t>
        </is>
      </c>
      <c r="C21" s="17" t="n">
        <v>20</v>
      </c>
      <c r="D21" s="18">
        <f>C21/C$36</f>
        <v/>
      </c>
      <c r="E21" s="18">
        <f>E20+D21</f>
        <v/>
      </c>
      <c r="F21" s="17" t="n">
        <v>219</v>
      </c>
    </row>
    <row r="22">
      <c r="A22" s="14" t="n">
        <v>20</v>
      </c>
      <c r="B22" s="15" t="inlineStr">
        <is>
          <t>다영툴링</t>
        </is>
      </c>
      <c r="C22" s="17" t="n">
        <v>17</v>
      </c>
      <c r="D22" s="18">
        <f>C22/C$36</f>
        <v/>
      </c>
      <c r="E22" s="18">
        <f>E21+D22</f>
        <v/>
      </c>
      <c r="F22" s="17" t="n">
        <v>99</v>
      </c>
    </row>
    <row r="23">
      <c r="A23" s="14" t="n">
        <v>21</v>
      </c>
      <c r="B23" s="15" t="inlineStr">
        <is>
          <t>영창툴링</t>
        </is>
      </c>
      <c r="C23" s="17" t="n">
        <v>17</v>
      </c>
      <c r="D23" s="18">
        <f>C23/C$36</f>
        <v/>
      </c>
      <c r="E23" s="18">
        <f>E22+D23</f>
        <v/>
      </c>
      <c r="F23" s="17" t="n">
        <v>144</v>
      </c>
    </row>
    <row r="24">
      <c r="A24" s="14" t="n">
        <v>22</v>
      </c>
      <c r="B24" s="15" t="inlineStr">
        <is>
          <t>(주)코리아테크닉스</t>
        </is>
      </c>
      <c r="C24" s="17" t="n">
        <v>15</v>
      </c>
      <c r="D24" s="18">
        <f>C24/C$36</f>
        <v/>
      </c>
      <c r="E24" s="18">
        <f>E23+D24</f>
        <v/>
      </c>
      <c r="F24" s="17" t="n">
        <v>30</v>
      </c>
    </row>
    <row r="25">
      <c r="A25" s="14" t="n">
        <v>23</v>
      </c>
      <c r="B25" s="15" t="inlineStr">
        <is>
          <t>맨날툴이야</t>
        </is>
      </c>
      <c r="C25" s="17" t="n">
        <v>14</v>
      </c>
      <c r="D25" s="18">
        <f>C25/C$36</f>
        <v/>
      </c>
      <c r="E25" s="18">
        <f>E24+D25</f>
        <v/>
      </c>
      <c r="F25" s="17" t="n">
        <v>64</v>
      </c>
    </row>
    <row r="26">
      <c r="A26" s="14" t="n">
        <v>24</v>
      </c>
      <c r="B26" s="15" t="inlineStr">
        <is>
          <t>(주)공화공구</t>
        </is>
      </c>
      <c r="C26" s="17" t="n">
        <v>11</v>
      </c>
      <c r="D26" s="18">
        <f>C26/C$36</f>
        <v/>
      </c>
      <c r="E26" s="18">
        <f>E25+D26</f>
        <v/>
      </c>
      <c r="F26" s="17" t="n">
        <v>353</v>
      </c>
    </row>
    <row r="27">
      <c r="A27" s="14" t="n">
        <v>25</v>
      </c>
      <c r="B27" s="15" t="inlineStr">
        <is>
          <t>대우툴링</t>
        </is>
      </c>
      <c r="C27" s="17" t="n">
        <v>10</v>
      </c>
      <c r="D27" s="18">
        <f>C27/C$36</f>
        <v/>
      </c>
      <c r="E27" s="18">
        <f>E26+D27</f>
        <v/>
      </c>
      <c r="F27" s="17" t="n">
        <v>133</v>
      </c>
    </row>
    <row r="28">
      <c r="A28" s="14" t="n">
        <v>26</v>
      </c>
      <c r="B28" s="15" t="inlineStr">
        <is>
          <t>광진테크</t>
        </is>
      </c>
      <c r="C28" s="17" t="n">
        <v>10</v>
      </c>
      <c r="D28" s="18">
        <f>C28/C$36</f>
        <v/>
      </c>
      <c r="E28" s="18">
        <f>E27+D28</f>
        <v/>
      </c>
      <c r="F28" s="17" t="n">
        <v>80</v>
      </c>
    </row>
    <row r="29">
      <c r="A29" s="14" t="n">
        <v>27</v>
      </c>
      <c r="B29" s="15" t="inlineStr">
        <is>
          <t>(주)금천종합공구(독산)</t>
        </is>
      </c>
      <c r="C29" s="17" t="n">
        <v>10</v>
      </c>
      <c r="D29" s="18">
        <f>C29/C$36</f>
        <v/>
      </c>
      <c r="E29" s="18">
        <f>E28+D29</f>
        <v/>
      </c>
      <c r="F29" s="17" t="n">
        <v>12</v>
      </c>
    </row>
    <row r="30">
      <c r="A30" s="14" t="n">
        <v>28</v>
      </c>
      <c r="B30" s="15" t="inlineStr">
        <is>
          <t>(주)바로공구(정남)</t>
        </is>
      </c>
      <c r="C30" s="17" t="n">
        <v>10</v>
      </c>
      <c r="D30" s="18">
        <f>C30/C$36</f>
        <v/>
      </c>
      <c r="E30" s="18">
        <f>E29+D30</f>
        <v/>
      </c>
      <c r="F30" s="17" t="n">
        <v>52</v>
      </c>
    </row>
    <row r="31">
      <c r="A31" s="14" t="n">
        <v>29</v>
      </c>
      <c r="B31" s="15" t="inlineStr">
        <is>
          <t>유성상공사</t>
        </is>
      </c>
      <c r="C31" s="17" t="n">
        <v>8</v>
      </c>
      <c r="D31" s="18">
        <f>C31/C$36</f>
        <v/>
      </c>
      <c r="E31" s="18">
        <f>E30+D31</f>
        <v/>
      </c>
      <c r="F31" s="17" t="n">
        <v>107</v>
      </c>
    </row>
    <row r="32">
      <c r="A32" s="14" t="n">
        <v>30</v>
      </c>
      <c r="B32" s="15" t="inlineStr">
        <is>
          <t>공구백화점(미산동)</t>
        </is>
      </c>
      <c r="C32" s="17" t="n">
        <v>5</v>
      </c>
      <c r="D32" s="18">
        <f>C32/C$36</f>
        <v/>
      </c>
      <c r="E32" s="18">
        <f>E31+D32</f>
        <v/>
      </c>
      <c r="F32" s="17" t="n">
        <v>63</v>
      </c>
    </row>
    <row r="33">
      <c r="A33" s="14" t="n">
        <v>31</v>
      </c>
      <c r="B33" s="15" t="inlineStr">
        <is>
          <t>유성종합공구</t>
        </is>
      </c>
      <c r="C33" s="17" t="n">
        <v>2</v>
      </c>
      <c r="D33" s="18">
        <f>C33/C$36</f>
        <v/>
      </c>
      <c r="E33" s="18">
        <f>E32+D33</f>
        <v/>
      </c>
      <c r="F33" s="17" t="n">
        <v>28</v>
      </c>
    </row>
    <row r="34">
      <c r="A34" s="14" t="n">
        <v>32</v>
      </c>
      <c r="B34" s="15" t="inlineStr">
        <is>
          <t>(주)성환공구</t>
        </is>
      </c>
      <c r="C34" s="17" t="n">
        <v>2</v>
      </c>
      <c r="D34" s="18">
        <f>C34/C$36</f>
        <v/>
      </c>
      <c r="E34" s="18">
        <f>E33+D34</f>
        <v/>
      </c>
      <c r="F34" s="17" t="n">
        <v>10</v>
      </c>
    </row>
    <row r="35">
      <c r="A35" s="14" t="n">
        <v>33</v>
      </c>
      <c r="B35" s="15" t="inlineStr">
        <is>
          <t>유성테크</t>
        </is>
      </c>
      <c r="C35" s="17" t="n">
        <v>2</v>
      </c>
      <c r="D35" s="18">
        <f>C35/C$36</f>
        <v/>
      </c>
      <c r="E35" s="18">
        <f>E34+D35</f>
        <v/>
      </c>
      <c r="F35" s="17" t="n">
        <v>2</v>
      </c>
    </row>
    <row r="36">
      <c r="A36" s="19" t="inlineStr">
        <is>
          <t>합계</t>
        </is>
      </c>
      <c r="B36" s="42" t="n"/>
      <c r="C36" s="20">
        <f>SUM(C3:C35)</f>
        <v/>
      </c>
      <c r="D36" s="21" t="n">
        <v>1</v>
      </c>
      <c r="E36" s="19" t="n"/>
      <c r="F36" s="20">
        <f>SUM(F3:F35)</f>
        <v/>
      </c>
    </row>
  </sheetData>
  <mergeCells count="2">
    <mergeCell ref="A36:B3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4월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4월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(주)대일정공-코고툴</t>
        </is>
      </c>
      <c r="C3" s="7" t="n">
        <v>394</v>
      </c>
      <c r="D3" s="8">
        <f>C3/C$33</f>
        <v/>
      </c>
      <c r="E3" s="8">
        <f>D3</f>
        <v/>
      </c>
      <c r="F3" s="7" t="n">
        <v>1170</v>
      </c>
    </row>
    <row r="4">
      <c r="A4" s="4" t="n">
        <v>2</v>
      </c>
      <c r="B4" s="5" t="inlineStr">
        <is>
          <t>건영테크(광주)</t>
        </is>
      </c>
      <c r="C4" s="7" t="n">
        <v>341</v>
      </c>
      <c r="D4" s="8">
        <f>C4/C$33</f>
        <v/>
      </c>
      <c r="E4" s="8">
        <f>E3+D4</f>
        <v/>
      </c>
      <c r="F4" s="7" t="n">
        <v>1413</v>
      </c>
    </row>
    <row r="5">
      <c r="A5" s="4" t="n">
        <v>3</v>
      </c>
      <c r="B5" s="5" t="inlineStr">
        <is>
          <t>초경툴(구,성민TOOL)-코고툴</t>
        </is>
      </c>
      <c r="C5" s="7" t="n">
        <v>251</v>
      </c>
      <c r="D5" s="8">
        <f>C5/C$33</f>
        <v/>
      </c>
      <c r="E5" s="8">
        <f>E4+D5</f>
        <v/>
      </c>
      <c r="F5" s="7" t="n">
        <v>1456</v>
      </c>
    </row>
    <row r="6">
      <c r="A6" s="4" t="n">
        <v>4</v>
      </c>
      <c r="B6" s="5" t="inlineStr">
        <is>
          <t>강민툴링(비봉)</t>
        </is>
      </c>
      <c r="C6" s="7" t="n">
        <v>199</v>
      </c>
      <c r="D6" s="8">
        <f>C6/C$33</f>
        <v/>
      </c>
      <c r="E6" s="8">
        <f>E5+D6</f>
        <v/>
      </c>
      <c r="F6" s="7" t="n">
        <v>1031</v>
      </c>
    </row>
    <row r="7">
      <c r="A7" s="4" t="n">
        <v>5</v>
      </c>
      <c r="B7" s="5" t="inlineStr">
        <is>
          <t>원영공구(구,원영상사)</t>
        </is>
      </c>
      <c r="C7" s="7" t="n">
        <v>164</v>
      </c>
      <c r="D7" s="8">
        <f>C7/C$33</f>
        <v/>
      </c>
      <c r="E7" s="8">
        <f>E6+D7</f>
        <v/>
      </c>
      <c r="F7" s="7" t="n">
        <v>1835</v>
      </c>
    </row>
    <row r="8">
      <c r="A8" s="14" t="n">
        <v>6</v>
      </c>
      <c r="B8" s="15" t="inlineStr">
        <is>
          <t>덕원종합상사</t>
        </is>
      </c>
      <c r="C8" s="17" t="n">
        <v>138</v>
      </c>
      <c r="D8" s="18">
        <f>C8/C$33</f>
        <v/>
      </c>
      <c r="E8" s="18">
        <f>E7+D8</f>
        <v/>
      </c>
      <c r="F8" s="17" t="n">
        <v>827</v>
      </c>
    </row>
    <row r="9">
      <c r="A9" s="14" t="n">
        <v>7</v>
      </c>
      <c r="B9" s="15" t="inlineStr">
        <is>
          <t>알제이코리아</t>
        </is>
      </c>
      <c r="C9" s="17" t="n">
        <v>75</v>
      </c>
      <c r="D9" s="18">
        <f>C9/C$33</f>
        <v/>
      </c>
      <c r="E9" s="18">
        <f>E8+D9</f>
        <v/>
      </c>
      <c r="F9" s="17" t="n">
        <v>315</v>
      </c>
    </row>
    <row r="10">
      <c r="A10" s="14" t="n">
        <v>8</v>
      </c>
      <c r="B10" s="15" t="inlineStr">
        <is>
          <t>연성기공(주)</t>
        </is>
      </c>
      <c r="C10" s="17" t="n">
        <v>56</v>
      </c>
      <c r="D10" s="18">
        <f>C10/C$33</f>
        <v/>
      </c>
      <c r="E10" s="18">
        <f>E9+D10</f>
        <v/>
      </c>
      <c r="F10" s="17" t="n">
        <v>626</v>
      </c>
    </row>
    <row r="11">
      <c r="A11" s="14" t="n">
        <v>9</v>
      </c>
      <c r="B11" s="15" t="inlineStr">
        <is>
          <t>유비툴</t>
        </is>
      </c>
      <c r="C11" s="17" t="n">
        <v>53</v>
      </c>
      <c r="D11" s="18">
        <f>C11/C$33</f>
        <v/>
      </c>
      <c r="E11" s="18">
        <f>E10+D11</f>
        <v/>
      </c>
      <c r="F11" s="17" t="n">
        <v>440</v>
      </c>
    </row>
    <row r="12">
      <c r="A12" s="14" t="n">
        <v>10</v>
      </c>
      <c r="B12" s="15" t="inlineStr">
        <is>
          <t>아이티공구</t>
        </is>
      </c>
      <c r="C12" s="17" t="n">
        <v>41</v>
      </c>
      <c r="D12" s="18">
        <f>C12/C$33</f>
        <v/>
      </c>
      <c r="E12" s="18">
        <f>E11+D12</f>
        <v/>
      </c>
      <c r="F12" s="17" t="n">
        <v>681</v>
      </c>
    </row>
    <row r="13">
      <c r="A13" s="14" t="n">
        <v>11</v>
      </c>
      <c r="B13" s="15" t="inlineStr">
        <is>
          <t>영우툴링(창성툴)</t>
        </is>
      </c>
      <c r="C13" s="17" t="n">
        <v>41</v>
      </c>
      <c r="D13" s="18">
        <f>C13/C$33</f>
        <v/>
      </c>
      <c r="E13" s="18">
        <f>E12+D13</f>
        <v/>
      </c>
      <c r="F13" s="17" t="n">
        <v>657</v>
      </c>
    </row>
    <row r="14">
      <c r="A14" s="14" t="n">
        <v>12</v>
      </c>
      <c r="B14" s="15" t="inlineStr">
        <is>
          <t>왕삼아공구</t>
        </is>
      </c>
      <c r="C14" s="17" t="n">
        <v>40</v>
      </c>
      <c r="D14" s="18">
        <f>C14/C$33</f>
        <v/>
      </c>
      <c r="E14" s="18">
        <f>E13+D14</f>
        <v/>
      </c>
      <c r="F14" s="17" t="n">
        <v>445</v>
      </c>
    </row>
    <row r="15">
      <c r="A15" s="14" t="n">
        <v>13</v>
      </c>
      <c r="B15" s="15" t="inlineStr">
        <is>
          <t>케이엠툴링</t>
        </is>
      </c>
      <c r="C15" s="17" t="n">
        <v>40</v>
      </c>
      <c r="D15" s="18">
        <f>C15/C$33</f>
        <v/>
      </c>
      <c r="E15" s="18">
        <f>E14+D15</f>
        <v/>
      </c>
      <c r="F15" s="17" t="n">
        <v>232</v>
      </c>
    </row>
    <row r="16">
      <c r="A16" s="14" t="n">
        <v>14</v>
      </c>
      <c r="B16" s="15" t="inlineStr">
        <is>
          <t>하나테크</t>
        </is>
      </c>
      <c r="C16" s="17" t="n">
        <v>39</v>
      </c>
      <c r="D16" s="18">
        <f>C16/C$33</f>
        <v/>
      </c>
      <c r="E16" s="18">
        <f>E15+D16</f>
        <v/>
      </c>
      <c r="F16" s="17" t="n">
        <v>43</v>
      </c>
    </row>
    <row r="17">
      <c r="A17" s="14" t="n">
        <v>15</v>
      </c>
      <c r="B17" s="15" t="inlineStr">
        <is>
          <t>서림툴링</t>
        </is>
      </c>
      <c r="C17" s="17" t="n">
        <v>36</v>
      </c>
      <c r="D17" s="18">
        <f>C17/C$33</f>
        <v/>
      </c>
      <c r="E17" s="18">
        <f>E16+D17</f>
        <v/>
      </c>
      <c r="F17" s="17" t="n">
        <v>219</v>
      </c>
    </row>
    <row r="18">
      <c r="A18" s="14" t="n">
        <v>16</v>
      </c>
      <c r="B18" s="15" t="inlineStr">
        <is>
          <t>대성테크</t>
        </is>
      </c>
      <c r="C18" s="17" t="n">
        <v>29</v>
      </c>
      <c r="D18" s="18">
        <f>C18/C$33</f>
        <v/>
      </c>
      <c r="E18" s="18">
        <f>E17+D18</f>
        <v/>
      </c>
      <c r="F18" s="17" t="n">
        <v>50</v>
      </c>
    </row>
    <row r="19">
      <c r="A19" s="14" t="n">
        <v>17</v>
      </c>
      <c r="B19" s="15" t="inlineStr">
        <is>
          <t>영창툴링</t>
        </is>
      </c>
      <c r="C19" s="17" t="n">
        <v>16</v>
      </c>
      <c r="D19" s="18">
        <f>C19/C$33</f>
        <v/>
      </c>
      <c r="E19" s="18">
        <f>E18+D19</f>
        <v/>
      </c>
      <c r="F19" s="17" t="n">
        <v>144</v>
      </c>
    </row>
    <row r="20">
      <c r="A20" s="14" t="n">
        <v>18</v>
      </c>
      <c r="B20" s="15" t="inlineStr">
        <is>
          <t>(주)코리아테크닉스</t>
        </is>
      </c>
      <c r="C20" s="17" t="n">
        <v>15</v>
      </c>
      <c r="D20" s="18">
        <f>C20/C$33</f>
        <v/>
      </c>
      <c r="E20" s="18">
        <f>E19+D20</f>
        <v/>
      </c>
      <c r="F20" s="17" t="n">
        <v>30</v>
      </c>
    </row>
    <row r="21">
      <c r="A21" s="14" t="n">
        <v>19</v>
      </c>
      <c r="B21" s="15" t="inlineStr">
        <is>
          <t>대양공구(인천)</t>
        </is>
      </c>
      <c r="C21" s="17" t="n">
        <v>14</v>
      </c>
      <c r="D21" s="18">
        <f>C21/C$33</f>
        <v/>
      </c>
      <c r="E21" s="18">
        <f>E20+D21</f>
        <v/>
      </c>
      <c r="F21" s="17" t="n">
        <v>18</v>
      </c>
    </row>
    <row r="22">
      <c r="A22" s="14" t="n">
        <v>20</v>
      </c>
      <c r="B22" s="15" t="inlineStr">
        <is>
          <t>광진테크</t>
        </is>
      </c>
      <c r="C22" s="17" t="n">
        <v>13</v>
      </c>
      <c r="D22" s="18">
        <f>C22/C$33</f>
        <v/>
      </c>
      <c r="E22" s="18">
        <f>E21+D22</f>
        <v/>
      </c>
      <c r="F22" s="17" t="n">
        <v>80</v>
      </c>
    </row>
    <row r="23">
      <c r="A23" s="14" t="n">
        <v>21</v>
      </c>
      <c r="B23" s="15" t="inlineStr">
        <is>
          <t>반석공구</t>
        </is>
      </c>
      <c r="C23" s="17" t="n">
        <v>13</v>
      </c>
      <c r="D23" s="18">
        <f>C23/C$33</f>
        <v/>
      </c>
      <c r="E23" s="18">
        <f>E22+D23</f>
        <v/>
      </c>
      <c r="F23" s="17" t="n">
        <v>321</v>
      </c>
    </row>
    <row r="24">
      <c r="A24" s="14" t="n">
        <v>22</v>
      </c>
      <c r="B24" s="15" t="inlineStr">
        <is>
          <t>웰크리에이트-코고툴(재연마)</t>
        </is>
      </c>
      <c r="C24" s="17" t="n">
        <v>10</v>
      </c>
      <c r="D24" s="18">
        <f>C24/C$33</f>
        <v/>
      </c>
      <c r="E24" s="18">
        <f>E23+D24</f>
        <v/>
      </c>
      <c r="F24" s="17" t="n">
        <v>12</v>
      </c>
    </row>
    <row r="25">
      <c r="A25" s="14" t="n">
        <v>23</v>
      </c>
      <c r="B25" s="15" t="inlineStr">
        <is>
          <t>공구백화점(미산동)</t>
        </is>
      </c>
      <c r="C25" s="17" t="n">
        <v>8</v>
      </c>
      <c r="D25" s="18">
        <f>C25/C$33</f>
        <v/>
      </c>
      <c r="E25" s="18">
        <f>E24+D25</f>
        <v/>
      </c>
      <c r="F25" s="17" t="n">
        <v>63</v>
      </c>
    </row>
    <row r="26">
      <c r="A26" s="14" t="n">
        <v>24</v>
      </c>
      <c r="B26" s="15" t="inlineStr">
        <is>
          <t>(주)금형티에스</t>
        </is>
      </c>
      <c r="C26" s="17" t="n">
        <v>7</v>
      </c>
      <c r="D26" s="18">
        <f>C26/C$33</f>
        <v/>
      </c>
      <c r="E26" s="18">
        <f>E25+D26</f>
        <v/>
      </c>
      <c r="F26" s="17" t="n">
        <v>245</v>
      </c>
    </row>
    <row r="27">
      <c r="A27" s="14" t="n">
        <v>25</v>
      </c>
      <c r="B27" s="15" t="inlineStr">
        <is>
          <t>대명종합공구-코고툴(재연마)</t>
        </is>
      </c>
      <c r="C27" s="17" t="n">
        <v>5</v>
      </c>
      <c r="D27" s="18">
        <f>C27/C$33</f>
        <v/>
      </c>
      <c r="E27" s="18">
        <f>E26+D27</f>
        <v/>
      </c>
      <c r="F27" s="17" t="n">
        <v>37</v>
      </c>
    </row>
    <row r="28">
      <c r="A28" s="14" t="n">
        <v>26</v>
      </c>
      <c r="B28" s="15" t="inlineStr">
        <is>
          <t>이엠티(EMT)</t>
        </is>
      </c>
      <c r="C28" s="17" t="n">
        <v>5</v>
      </c>
      <c r="D28" s="18">
        <f>C28/C$33</f>
        <v/>
      </c>
      <c r="E28" s="18">
        <f>E27+D28</f>
        <v/>
      </c>
      <c r="F28" s="17" t="n">
        <v>127</v>
      </c>
    </row>
    <row r="29">
      <c r="A29" s="14" t="n">
        <v>27</v>
      </c>
      <c r="B29" s="15" t="inlineStr">
        <is>
          <t>유성상공사</t>
        </is>
      </c>
      <c r="C29" s="17" t="n">
        <v>4</v>
      </c>
      <c r="D29" s="18">
        <f>C29/C$33</f>
        <v/>
      </c>
      <c r="E29" s="18">
        <f>E28+D29</f>
        <v/>
      </c>
      <c r="F29" s="17" t="n">
        <v>107</v>
      </c>
    </row>
    <row r="30">
      <c r="A30" s="14" t="n">
        <v>28</v>
      </c>
      <c r="B30" s="15" t="inlineStr">
        <is>
          <t>(주)공화공구</t>
        </is>
      </c>
      <c r="C30" s="17" t="n">
        <v>3</v>
      </c>
      <c r="D30" s="18">
        <f>C30/C$33</f>
        <v/>
      </c>
      <c r="E30" s="18">
        <f>E29+D30</f>
        <v/>
      </c>
      <c r="F30" s="17" t="n">
        <v>353</v>
      </c>
    </row>
    <row r="31">
      <c r="A31" s="14" t="n">
        <v>29</v>
      </c>
      <c r="B31" s="15" t="inlineStr">
        <is>
          <t>(주)성환공구</t>
        </is>
      </c>
      <c r="C31" s="17" t="n">
        <v>2</v>
      </c>
      <c r="D31" s="18">
        <f>C31/C$33</f>
        <v/>
      </c>
      <c r="E31" s="18">
        <f>E30+D31</f>
        <v/>
      </c>
      <c r="F31" s="17" t="n">
        <v>10</v>
      </c>
    </row>
    <row r="32">
      <c r="A32" s="14" t="n">
        <v>30</v>
      </c>
      <c r="B32" s="15" t="inlineStr">
        <is>
          <t>세운상사</t>
        </is>
      </c>
      <c r="C32" s="17" t="n">
        <v>1</v>
      </c>
      <c r="D32" s="18">
        <f>C32/C$33</f>
        <v/>
      </c>
      <c r="E32" s="18">
        <f>E31+D32</f>
        <v/>
      </c>
      <c r="F32" s="17" t="n">
        <v>18</v>
      </c>
    </row>
    <row r="33">
      <c r="A33" s="19" t="inlineStr">
        <is>
          <t>합계</t>
        </is>
      </c>
      <c r="B33" s="42" t="n"/>
      <c r="C33" s="20">
        <f>SUM(C3:C32)</f>
        <v/>
      </c>
      <c r="D33" s="21" t="n">
        <v>1</v>
      </c>
      <c r="E33" s="19" t="n"/>
      <c r="F33" s="20">
        <f>SUM(F3:F32)</f>
        <v/>
      </c>
    </row>
  </sheetData>
  <mergeCells count="2">
    <mergeCell ref="A33:B3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5월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5월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237</v>
      </c>
      <c r="D3" s="8">
        <f>C3/C$35</f>
        <v/>
      </c>
      <c r="E3" s="8">
        <f>D3</f>
        <v/>
      </c>
      <c r="F3" s="7" t="n">
        <v>1456</v>
      </c>
    </row>
    <row r="4">
      <c r="A4" s="4" t="n">
        <v>2</v>
      </c>
      <c r="B4" s="5" t="inlineStr">
        <is>
          <t>연성기공(주)</t>
        </is>
      </c>
      <c r="C4" s="7" t="n">
        <v>192</v>
      </c>
      <c r="D4" s="8">
        <f>C4/C$35</f>
        <v/>
      </c>
      <c r="E4" s="8">
        <f>E3+D4</f>
        <v/>
      </c>
      <c r="F4" s="7" t="n">
        <v>626</v>
      </c>
    </row>
    <row r="5">
      <c r="A5" s="4" t="n">
        <v>3</v>
      </c>
      <c r="B5" s="5" t="inlineStr">
        <is>
          <t>신우툴링(남동)</t>
        </is>
      </c>
      <c r="C5" s="7" t="n">
        <v>190</v>
      </c>
      <c r="D5" s="8">
        <f>C5/C$35</f>
        <v/>
      </c>
      <c r="E5" s="8">
        <f>E4+D5</f>
        <v/>
      </c>
      <c r="F5" s="7" t="n">
        <v>369</v>
      </c>
    </row>
    <row r="6">
      <c r="A6" s="4" t="n">
        <v>4</v>
      </c>
      <c r="B6" s="5" t="inlineStr">
        <is>
          <t>유비툴</t>
        </is>
      </c>
      <c r="C6" s="7" t="n">
        <v>182</v>
      </c>
      <c r="D6" s="8">
        <f>C6/C$35</f>
        <v/>
      </c>
      <c r="E6" s="8">
        <f>E5+D6</f>
        <v/>
      </c>
      <c r="F6" s="7" t="n">
        <v>440</v>
      </c>
    </row>
    <row r="7">
      <c r="A7" s="4" t="n">
        <v>5</v>
      </c>
      <c r="B7" s="5" t="inlineStr">
        <is>
          <t>건영테크(광주)</t>
        </is>
      </c>
      <c r="C7" s="7" t="n">
        <v>168</v>
      </c>
      <c r="D7" s="8">
        <f>C7/C$35</f>
        <v/>
      </c>
      <c r="E7" s="8">
        <f>E6+D7</f>
        <v/>
      </c>
      <c r="F7" s="7" t="n">
        <v>1413</v>
      </c>
    </row>
    <row r="8">
      <c r="A8" s="14" t="n">
        <v>6</v>
      </c>
      <c r="B8" s="15" t="inlineStr">
        <is>
          <t>왕삼아공구</t>
        </is>
      </c>
      <c r="C8" s="17" t="n">
        <v>156</v>
      </c>
      <c r="D8" s="18">
        <f>C8/C$35</f>
        <v/>
      </c>
      <c r="E8" s="18">
        <f>E7+D8</f>
        <v/>
      </c>
      <c r="F8" s="17" t="n">
        <v>445</v>
      </c>
    </row>
    <row r="9">
      <c r="A9" s="14" t="n">
        <v>7</v>
      </c>
      <c r="B9" s="15" t="inlineStr">
        <is>
          <t>(주)금형티에스</t>
        </is>
      </c>
      <c r="C9" s="17" t="n">
        <v>145</v>
      </c>
      <c r="D9" s="18">
        <f>C9/C$35</f>
        <v/>
      </c>
      <c r="E9" s="18">
        <f>E8+D9</f>
        <v/>
      </c>
      <c r="F9" s="17" t="n">
        <v>245</v>
      </c>
    </row>
    <row r="10">
      <c r="A10" s="14" t="n">
        <v>8</v>
      </c>
      <c r="B10" s="15" t="inlineStr">
        <is>
          <t>아이티공구</t>
        </is>
      </c>
      <c r="C10" s="17" t="n">
        <v>118</v>
      </c>
      <c r="D10" s="18">
        <f>C10/C$35</f>
        <v/>
      </c>
      <c r="E10" s="18">
        <f>E9+D10</f>
        <v/>
      </c>
      <c r="F10" s="17" t="n">
        <v>681</v>
      </c>
    </row>
    <row r="11">
      <c r="A11" s="14" t="n">
        <v>9</v>
      </c>
      <c r="B11" s="15" t="inlineStr">
        <is>
          <t>강민툴링(비봉)</t>
        </is>
      </c>
      <c r="C11" s="17" t="n">
        <v>85</v>
      </c>
      <c r="D11" s="18">
        <f>C11/C$35</f>
        <v/>
      </c>
      <c r="E11" s="18">
        <f>E10+D11</f>
        <v/>
      </c>
      <c r="F11" s="17" t="n">
        <v>1031</v>
      </c>
    </row>
    <row r="12">
      <c r="A12" s="14" t="n">
        <v>10</v>
      </c>
      <c r="B12" s="15" t="inlineStr">
        <is>
          <t>반석공구</t>
        </is>
      </c>
      <c r="C12" s="17" t="n">
        <v>85</v>
      </c>
      <c r="D12" s="18">
        <f>C12/C$35</f>
        <v/>
      </c>
      <c r="E12" s="18">
        <f>E11+D12</f>
        <v/>
      </c>
      <c r="F12" s="17" t="n">
        <v>321</v>
      </c>
    </row>
    <row r="13">
      <c r="A13" s="14" t="n">
        <v>11</v>
      </c>
      <c r="B13" s="15" t="inlineStr">
        <is>
          <t>원영공구(구,원영상사)</t>
        </is>
      </c>
      <c r="C13" s="17" t="n">
        <v>81</v>
      </c>
      <c r="D13" s="18">
        <f>C13/C$35</f>
        <v/>
      </c>
      <c r="E13" s="18">
        <f>E12+D13</f>
        <v/>
      </c>
      <c r="F13" s="17" t="n">
        <v>1835</v>
      </c>
    </row>
    <row r="14">
      <c r="A14" s="14" t="n">
        <v>12</v>
      </c>
      <c r="B14" s="15" t="inlineStr">
        <is>
          <t>영우툴링(창성툴)</t>
        </is>
      </c>
      <c r="C14" s="17" t="n">
        <v>66</v>
      </c>
      <c r="D14" s="18">
        <f>C14/C$35</f>
        <v/>
      </c>
      <c r="E14" s="18">
        <f>E13+D14</f>
        <v/>
      </c>
      <c r="F14" s="17" t="n">
        <v>657</v>
      </c>
    </row>
    <row r="15">
      <c r="A15" s="14" t="n">
        <v>13</v>
      </c>
      <c r="B15" s="15" t="inlineStr">
        <is>
          <t>(주)세종종합상사(미산동)</t>
        </is>
      </c>
      <c r="C15" s="17" t="n">
        <v>64</v>
      </c>
      <c r="D15" s="18">
        <f>C15/C$35</f>
        <v/>
      </c>
      <c r="E15" s="18">
        <f>E14+D15</f>
        <v/>
      </c>
      <c r="F15" s="17" t="n">
        <v>198</v>
      </c>
    </row>
    <row r="16">
      <c r="A16" s="14" t="n">
        <v>14</v>
      </c>
      <c r="B16" s="15" t="inlineStr">
        <is>
          <t>덕원종합상사</t>
        </is>
      </c>
      <c r="C16" s="17" t="n">
        <v>62</v>
      </c>
      <c r="D16" s="18">
        <f>C16/C$35</f>
        <v/>
      </c>
      <c r="E16" s="18">
        <f>E15+D16</f>
        <v/>
      </c>
      <c r="F16" s="17" t="n">
        <v>827</v>
      </c>
    </row>
    <row r="17">
      <c r="A17" s="14" t="n">
        <v>15</v>
      </c>
      <c r="B17" s="15" t="inlineStr">
        <is>
          <t>대륙기계공구</t>
        </is>
      </c>
      <c r="C17" s="17" t="n">
        <v>60</v>
      </c>
      <c r="D17" s="18">
        <f>C17/C$35</f>
        <v/>
      </c>
      <c r="E17" s="18">
        <f>E16+D17</f>
        <v/>
      </c>
      <c r="F17" s="17" t="n">
        <v>254</v>
      </c>
    </row>
    <row r="18">
      <c r="A18" s="14" t="n">
        <v>16</v>
      </c>
      <c r="B18" s="15" t="inlineStr">
        <is>
          <t>(주)일등정밀공구(안산)</t>
        </is>
      </c>
      <c r="C18" s="17" t="n">
        <v>45</v>
      </c>
      <c r="D18" s="18">
        <f>C18/C$35</f>
        <v/>
      </c>
      <c r="E18" s="18">
        <f>E17+D18</f>
        <v/>
      </c>
      <c r="F18" s="17" t="n">
        <v>88</v>
      </c>
    </row>
    <row r="19">
      <c r="A19" s="14" t="n">
        <v>17</v>
      </c>
      <c r="B19" s="15" t="inlineStr">
        <is>
          <t>(주)공화공구</t>
        </is>
      </c>
      <c r="C19" s="17" t="n">
        <v>34</v>
      </c>
      <c r="D19" s="18">
        <f>C19/C$35</f>
        <v/>
      </c>
      <c r="E19" s="18">
        <f>E18+D19</f>
        <v/>
      </c>
      <c r="F19" s="17" t="n">
        <v>353</v>
      </c>
    </row>
    <row r="20">
      <c r="A20" s="14" t="n">
        <v>18</v>
      </c>
      <c r="B20" s="15" t="inlineStr">
        <is>
          <t>공구공구</t>
        </is>
      </c>
      <c r="C20" s="17" t="n">
        <v>30</v>
      </c>
      <c r="D20" s="18">
        <f>C20/C$35</f>
        <v/>
      </c>
      <c r="E20" s="18">
        <f>E19+D20</f>
        <v/>
      </c>
      <c r="F20" s="17" t="n">
        <v>30</v>
      </c>
    </row>
    <row r="21">
      <c r="A21" s="14" t="n">
        <v>19</v>
      </c>
      <c r="B21" s="15" t="inlineStr">
        <is>
          <t>영창툴링</t>
        </is>
      </c>
      <c r="C21" s="17" t="n">
        <v>26</v>
      </c>
      <c r="D21" s="18">
        <f>C21/C$35</f>
        <v/>
      </c>
      <c r="E21" s="18">
        <f>E20+D21</f>
        <v/>
      </c>
      <c r="F21" s="17" t="n">
        <v>144</v>
      </c>
    </row>
    <row r="22">
      <c r="A22" s="14" t="n">
        <v>20</v>
      </c>
      <c r="B22" s="15" t="inlineStr">
        <is>
          <t>대우툴링</t>
        </is>
      </c>
      <c r="C22" s="17" t="n">
        <v>24</v>
      </c>
      <c r="D22" s="18">
        <f>C22/C$35</f>
        <v/>
      </c>
      <c r="E22" s="18">
        <f>E21+D22</f>
        <v/>
      </c>
      <c r="F22" s="17" t="n">
        <v>133</v>
      </c>
    </row>
    <row r="23">
      <c r="A23" s="14" t="n">
        <v>21</v>
      </c>
      <c r="B23" s="15" t="inlineStr">
        <is>
          <t>케이엠툴링</t>
        </is>
      </c>
      <c r="C23" s="17" t="n">
        <v>21</v>
      </c>
      <c r="D23" s="18">
        <f>C23/C$35</f>
        <v/>
      </c>
      <c r="E23" s="18">
        <f>E22+D23</f>
        <v/>
      </c>
      <c r="F23" s="17" t="n">
        <v>232</v>
      </c>
    </row>
    <row r="24">
      <c r="A24" s="14" t="n">
        <v>22</v>
      </c>
      <c r="B24" s="15" t="inlineStr">
        <is>
          <t>(주)정원테크</t>
        </is>
      </c>
      <c r="C24" s="17" t="n">
        <v>20</v>
      </c>
      <c r="D24" s="18">
        <f>C24/C$35</f>
        <v/>
      </c>
      <c r="E24" s="18">
        <f>E23+D24</f>
        <v/>
      </c>
      <c r="F24" s="17" t="n">
        <v>90</v>
      </c>
    </row>
    <row r="25">
      <c r="A25" s="14" t="n">
        <v>23</v>
      </c>
      <c r="B25" s="15" t="inlineStr">
        <is>
          <t>유진상사(문래)</t>
        </is>
      </c>
      <c r="C25" s="17" t="n">
        <v>19</v>
      </c>
      <c r="D25" s="18">
        <f>C25/C$35</f>
        <v/>
      </c>
      <c r="E25" s="18">
        <f>E24+D25</f>
        <v/>
      </c>
      <c r="F25" s="17" t="n">
        <v>233</v>
      </c>
    </row>
    <row r="26">
      <c r="A26" s="14" t="n">
        <v>24</v>
      </c>
      <c r="B26" s="15" t="inlineStr">
        <is>
          <t>맨날툴이야</t>
        </is>
      </c>
      <c r="C26" s="17" t="n">
        <v>16</v>
      </c>
      <c r="D26" s="18">
        <f>C26/C$35</f>
        <v/>
      </c>
      <c r="E26" s="18">
        <f>E25+D26</f>
        <v/>
      </c>
      <c r="F26" s="17" t="n">
        <v>64</v>
      </c>
    </row>
    <row r="27">
      <c r="A27" s="14" t="n">
        <v>25</v>
      </c>
      <c r="B27" s="15" t="inlineStr">
        <is>
          <t>N.T.S(엔티에스)-코고툴</t>
        </is>
      </c>
      <c r="C27" s="17" t="n">
        <v>12</v>
      </c>
      <c r="D27" s="18">
        <f>C27/C$35</f>
        <v/>
      </c>
      <c r="E27" s="18">
        <f>E26+D27</f>
        <v/>
      </c>
      <c r="F27" s="17" t="n">
        <v>14</v>
      </c>
    </row>
    <row r="28">
      <c r="A28" s="14" t="n">
        <v>26</v>
      </c>
      <c r="B28" s="15" t="inlineStr">
        <is>
          <t>케이티툴스</t>
        </is>
      </c>
      <c r="C28" s="17" t="n">
        <v>9</v>
      </c>
      <c r="D28" s="18">
        <f>C28/C$35</f>
        <v/>
      </c>
      <c r="E28" s="18">
        <f>E27+D28</f>
        <v/>
      </c>
      <c r="F28" s="17" t="n">
        <v>9</v>
      </c>
    </row>
    <row r="29">
      <c r="A29" s="14" t="n">
        <v>27</v>
      </c>
      <c r="B29" s="15" t="inlineStr">
        <is>
          <t>알제이코리아</t>
        </is>
      </c>
      <c r="C29" s="17" t="n">
        <v>8</v>
      </c>
      <c r="D29" s="18">
        <f>C29/C$35</f>
        <v/>
      </c>
      <c r="E29" s="18">
        <f>E28+D29</f>
        <v/>
      </c>
      <c r="F29" s="17" t="n">
        <v>315</v>
      </c>
    </row>
    <row r="30">
      <c r="A30" s="14" t="n">
        <v>28</v>
      </c>
      <c r="B30" s="15" t="inlineStr">
        <is>
          <t>이엠티(EMT)</t>
        </is>
      </c>
      <c r="C30" s="17" t="n">
        <v>7</v>
      </c>
      <c r="D30" s="18">
        <f>C30/C$35</f>
        <v/>
      </c>
      <c r="E30" s="18">
        <f>E29+D30</f>
        <v/>
      </c>
      <c r="F30" s="17" t="n">
        <v>127</v>
      </c>
    </row>
    <row r="31">
      <c r="A31" s="14" t="n">
        <v>29</v>
      </c>
      <c r="B31" s="15" t="inlineStr">
        <is>
          <t>유성종합공구</t>
        </is>
      </c>
      <c r="C31" s="17" t="n">
        <v>7</v>
      </c>
      <c r="D31" s="18">
        <f>C31/C$35</f>
        <v/>
      </c>
      <c r="E31" s="18">
        <f>E30+D31</f>
        <v/>
      </c>
      <c r="F31" s="17" t="n">
        <v>28</v>
      </c>
    </row>
    <row r="32">
      <c r="A32" s="14" t="n">
        <v>30</v>
      </c>
      <c r="B32" s="15" t="inlineStr">
        <is>
          <t>코끼리공구</t>
        </is>
      </c>
      <c r="C32" s="17" t="n">
        <v>3</v>
      </c>
      <c r="D32" s="18">
        <f>C32/C$35</f>
        <v/>
      </c>
      <c r="E32" s="18">
        <f>E31+D32</f>
        <v/>
      </c>
      <c r="F32" s="17" t="n">
        <v>39</v>
      </c>
    </row>
    <row r="33">
      <c r="A33" s="14" t="n">
        <v>31</v>
      </c>
      <c r="B33" s="15" t="inlineStr">
        <is>
          <t>(주)금천종합공구(독산)</t>
        </is>
      </c>
      <c r="C33" s="17" t="n">
        <v>2</v>
      </c>
      <c r="D33" s="18">
        <f>C33/C$35</f>
        <v/>
      </c>
      <c r="E33" s="18">
        <f>E32+D33</f>
        <v/>
      </c>
      <c r="F33" s="17" t="n">
        <v>12</v>
      </c>
    </row>
    <row r="34">
      <c r="A34" s="14" t="n">
        <v>32</v>
      </c>
      <c r="B34" s="15" t="inlineStr">
        <is>
          <t>대한초경공구</t>
        </is>
      </c>
      <c r="C34" s="17" t="n">
        <v>1</v>
      </c>
      <c r="D34" s="18">
        <f>C34/C$35</f>
        <v/>
      </c>
      <c r="E34" s="18">
        <f>E33+D34</f>
        <v/>
      </c>
      <c r="F34" s="17" t="n">
        <v>8</v>
      </c>
    </row>
    <row r="35">
      <c r="A35" s="19" t="inlineStr">
        <is>
          <t>합계</t>
        </is>
      </c>
      <c r="B35" s="42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6월 출하현황 — 납품처별 출고량  (단위: 개)</t>
        </is>
      </c>
    </row>
    <row r="2" ht="28" customHeight="1">
      <c r="A2" s="23" t="inlineStr">
        <is>
          <t>순위</t>
        </is>
      </c>
      <c r="B2" s="23" t="inlineStr">
        <is>
          <t>납품처명</t>
        </is>
      </c>
      <c r="C2" s="23" t="inlineStr">
        <is>
          <t>6월 출고(개)</t>
        </is>
      </c>
      <c r="D2" s="23" t="inlineStr">
        <is>
          <t>월간비율(%)</t>
        </is>
      </c>
      <c r="E2" s="23" t="inlineStr">
        <is>
          <t>누적비율(%)</t>
        </is>
      </c>
      <c r="F2" s="23" t="inlineStr">
        <is>
          <t>연간합계(개)</t>
        </is>
      </c>
    </row>
    <row r="3">
      <c r="A3" s="24" t="n">
        <v>1</v>
      </c>
      <c r="B3" s="25" t="inlineStr">
        <is>
          <t>(주)대일정공-코고툴</t>
        </is>
      </c>
      <c r="C3" s="27" t="n">
        <v>370</v>
      </c>
      <c r="D3" s="28">
        <f>C3/C$41</f>
        <v/>
      </c>
      <c r="E3" s="28">
        <f>D3</f>
        <v/>
      </c>
      <c r="F3" s="27" t="n">
        <v>1170</v>
      </c>
    </row>
    <row r="4">
      <c r="A4" s="24" t="n">
        <v>2</v>
      </c>
      <c r="B4" s="25" t="inlineStr">
        <is>
          <t>건영테크(광주)</t>
        </is>
      </c>
      <c r="C4" s="27" t="n">
        <v>313</v>
      </c>
      <c r="D4" s="28">
        <f>C4/C$41</f>
        <v/>
      </c>
      <c r="E4" s="28">
        <f>E3+D4</f>
        <v/>
      </c>
      <c r="F4" s="27" t="n">
        <v>1413</v>
      </c>
    </row>
    <row r="5">
      <c r="A5" s="24" t="n">
        <v>3</v>
      </c>
      <c r="B5" s="25" t="inlineStr">
        <is>
          <t>강민툴링(비봉)</t>
        </is>
      </c>
      <c r="C5" s="27" t="n">
        <v>155</v>
      </c>
      <c r="D5" s="28">
        <f>C5/C$41</f>
        <v/>
      </c>
      <c r="E5" s="28">
        <f>E4+D5</f>
        <v/>
      </c>
      <c r="F5" s="27" t="n">
        <v>1031</v>
      </c>
    </row>
    <row r="6">
      <c r="A6" s="24" t="n">
        <v>4</v>
      </c>
      <c r="B6" s="25" t="inlineStr">
        <is>
          <t>아신상사</t>
        </is>
      </c>
      <c r="C6" s="27" t="n">
        <v>138</v>
      </c>
      <c r="D6" s="28">
        <f>C6/C$41</f>
        <v/>
      </c>
      <c r="E6" s="28">
        <f>E5+D6</f>
        <v/>
      </c>
      <c r="F6" s="27" t="n">
        <v>579</v>
      </c>
    </row>
    <row r="7">
      <c r="A7" s="24" t="n">
        <v>5</v>
      </c>
      <c r="B7" s="25" t="inlineStr">
        <is>
          <t>원영공구(구,원영상사)</t>
        </is>
      </c>
      <c r="C7" s="27" t="n">
        <v>134</v>
      </c>
      <c r="D7" s="28">
        <f>C7/C$41</f>
        <v/>
      </c>
      <c r="E7" s="28">
        <f>E6+D7</f>
        <v/>
      </c>
      <c r="F7" s="27" t="n">
        <v>1835</v>
      </c>
    </row>
    <row r="8">
      <c r="A8" s="34" t="n">
        <v>6</v>
      </c>
      <c r="B8" s="35" t="inlineStr">
        <is>
          <t>연성기공(주)</t>
        </is>
      </c>
      <c r="C8" s="37" t="n">
        <v>121</v>
      </c>
      <c r="D8" s="38">
        <f>C8/C$41</f>
        <v/>
      </c>
      <c r="E8" s="38">
        <f>E7+D8</f>
        <v/>
      </c>
      <c r="F8" s="37" t="n">
        <v>626</v>
      </c>
    </row>
    <row r="9">
      <c r="A9" s="34" t="n">
        <v>7</v>
      </c>
      <c r="B9" s="35" t="inlineStr">
        <is>
          <t>동명ENG-코고툴(재연마)</t>
        </is>
      </c>
      <c r="C9" s="37" t="n">
        <v>84</v>
      </c>
      <c r="D9" s="38">
        <f>C9/C$41</f>
        <v/>
      </c>
      <c r="E9" s="38">
        <f>E8+D9</f>
        <v/>
      </c>
      <c r="F9" s="37" t="n">
        <v>170</v>
      </c>
    </row>
    <row r="10">
      <c r="A10" s="34" t="n">
        <v>8</v>
      </c>
      <c r="B10" s="35" t="inlineStr">
        <is>
          <t>(주)금형티에스</t>
        </is>
      </c>
      <c r="C10" s="37" t="n">
        <v>74</v>
      </c>
      <c r="D10" s="38">
        <f>C10/C$41</f>
        <v/>
      </c>
      <c r="E10" s="38">
        <f>E9+D10</f>
        <v/>
      </c>
      <c r="F10" s="37" t="n">
        <v>245</v>
      </c>
    </row>
    <row r="11">
      <c r="A11" s="34" t="n">
        <v>9</v>
      </c>
      <c r="B11" s="35" t="inlineStr">
        <is>
          <t>유성상공사</t>
        </is>
      </c>
      <c r="C11" s="37" t="n">
        <v>73</v>
      </c>
      <c r="D11" s="38">
        <f>C11/C$41</f>
        <v/>
      </c>
      <c r="E11" s="38">
        <f>E10+D11</f>
        <v/>
      </c>
      <c r="F11" s="37" t="n">
        <v>107</v>
      </c>
    </row>
    <row r="12">
      <c r="A12" s="34" t="n">
        <v>10</v>
      </c>
      <c r="B12" s="35" t="inlineStr">
        <is>
          <t>덕원종합상사</t>
        </is>
      </c>
      <c r="C12" s="37" t="n">
        <v>69</v>
      </c>
      <c r="D12" s="38">
        <f>C12/C$41</f>
        <v/>
      </c>
      <c r="E12" s="38">
        <f>E11+D12</f>
        <v/>
      </c>
      <c r="F12" s="37" t="n">
        <v>827</v>
      </c>
    </row>
    <row r="13">
      <c r="A13" s="34" t="n">
        <v>11</v>
      </c>
      <c r="B13" s="35" t="inlineStr">
        <is>
          <t>알제이코리아</t>
        </is>
      </c>
      <c r="C13" s="37" t="n">
        <v>58</v>
      </c>
      <c r="D13" s="38">
        <f>C13/C$41</f>
        <v/>
      </c>
      <c r="E13" s="38">
        <f>E12+D13</f>
        <v/>
      </c>
      <c r="F13" s="37" t="n">
        <v>315</v>
      </c>
    </row>
    <row r="14">
      <c r="A14" s="34" t="n">
        <v>12</v>
      </c>
      <c r="B14" s="35" t="inlineStr">
        <is>
          <t>영우툴링(창성툴)</t>
        </is>
      </c>
      <c r="C14" s="37" t="n">
        <v>57</v>
      </c>
      <c r="D14" s="38">
        <f>C14/C$41</f>
        <v/>
      </c>
      <c r="E14" s="38">
        <f>E13+D14</f>
        <v/>
      </c>
      <c r="F14" s="37" t="n">
        <v>657</v>
      </c>
    </row>
    <row r="15">
      <c r="A15" s="34" t="n">
        <v>13</v>
      </c>
      <c r="B15" s="35" t="inlineStr">
        <is>
          <t>반석공구</t>
        </is>
      </c>
      <c r="C15" s="37" t="n">
        <v>56</v>
      </c>
      <c r="D15" s="38">
        <f>C15/C$41</f>
        <v/>
      </c>
      <c r="E15" s="38">
        <f>E14+D15</f>
        <v/>
      </c>
      <c r="F15" s="37" t="n">
        <v>321</v>
      </c>
    </row>
    <row r="16">
      <c r="A16" s="34" t="n">
        <v>14</v>
      </c>
      <c r="B16" s="35" t="inlineStr">
        <is>
          <t>왕삼아공구</t>
        </is>
      </c>
      <c r="C16" s="37" t="n">
        <v>54</v>
      </c>
      <c r="D16" s="38">
        <f>C16/C$41</f>
        <v/>
      </c>
      <c r="E16" s="38">
        <f>E15+D16</f>
        <v/>
      </c>
      <c r="F16" s="37" t="n">
        <v>445</v>
      </c>
    </row>
    <row r="17">
      <c r="A17" s="34" t="n">
        <v>15</v>
      </c>
      <c r="B17" s="35" t="inlineStr">
        <is>
          <t>(주)전진공구</t>
        </is>
      </c>
      <c r="C17" s="37" t="n">
        <v>53</v>
      </c>
      <c r="D17" s="38">
        <f>C17/C$41</f>
        <v/>
      </c>
      <c r="E17" s="38">
        <f>E16+D17</f>
        <v/>
      </c>
      <c r="F17" s="37" t="n">
        <v>69</v>
      </c>
    </row>
    <row r="18">
      <c r="A18" s="34" t="n">
        <v>16</v>
      </c>
      <c r="B18" s="35" t="inlineStr">
        <is>
          <t>핫몰드엔지니어링주식회사-코고툴(재연마)</t>
        </is>
      </c>
      <c r="C18" s="37" t="n">
        <v>52</v>
      </c>
      <c r="D18" s="38">
        <f>C18/C$41</f>
        <v/>
      </c>
      <c r="E18" s="38">
        <f>E17+D18</f>
        <v/>
      </c>
      <c r="F18" s="37" t="n">
        <v>188</v>
      </c>
    </row>
    <row r="19">
      <c r="A19" s="34" t="n">
        <v>17</v>
      </c>
      <c r="B19" s="35" t="inlineStr">
        <is>
          <t>신우툴링(남동)</t>
        </is>
      </c>
      <c r="C19" s="37" t="n">
        <v>36</v>
      </c>
      <c r="D19" s="38">
        <f>C19/C$41</f>
        <v/>
      </c>
      <c r="E19" s="38">
        <f>E18+D19</f>
        <v/>
      </c>
      <c r="F19" s="37" t="n">
        <v>369</v>
      </c>
    </row>
    <row r="20">
      <c r="A20" s="34" t="n">
        <v>18</v>
      </c>
      <c r="B20" s="35" t="inlineStr">
        <is>
          <t>지니툴(구로)_코고툴</t>
        </is>
      </c>
      <c r="C20" s="37" t="n">
        <v>30</v>
      </c>
      <c r="D20" s="38">
        <f>C20/C$41</f>
        <v/>
      </c>
      <c r="E20" s="38">
        <f>E19+D20</f>
        <v/>
      </c>
      <c r="F20" s="37" t="n">
        <v>146</v>
      </c>
    </row>
    <row r="21">
      <c r="A21" s="34" t="n">
        <v>19</v>
      </c>
      <c r="B21" s="35" t="inlineStr">
        <is>
          <t>서림툴링</t>
        </is>
      </c>
      <c r="C21" s="37" t="n">
        <v>27</v>
      </c>
      <c r="D21" s="38">
        <f>C21/C$41</f>
        <v/>
      </c>
      <c r="E21" s="38">
        <f>E20+D21</f>
        <v/>
      </c>
      <c r="F21" s="37" t="n">
        <v>219</v>
      </c>
    </row>
    <row r="22">
      <c r="A22" s="34" t="n">
        <v>20</v>
      </c>
      <c r="B22" s="35" t="inlineStr">
        <is>
          <t>대명종합공구-코고툴(재연마)</t>
        </is>
      </c>
      <c r="C22" s="37" t="n">
        <v>20</v>
      </c>
      <c r="D22" s="38">
        <f>C22/C$41</f>
        <v/>
      </c>
      <c r="E22" s="38">
        <f>E21+D22</f>
        <v/>
      </c>
      <c r="F22" s="37" t="n">
        <v>37</v>
      </c>
    </row>
    <row r="23">
      <c r="A23" s="34" t="n">
        <v>21</v>
      </c>
      <c r="B23" s="35" t="inlineStr">
        <is>
          <t>대우툴링</t>
        </is>
      </c>
      <c r="C23" s="37" t="n">
        <v>20</v>
      </c>
      <c r="D23" s="38">
        <f>C23/C$41</f>
        <v/>
      </c>
      <c r="E23" s="38">
        <f>E22+D23</f>
        <v/>
      </c>
      <c r="F23" s="37" t="n">
        <v>133</v>
      </c>
    </row>
    <row r="24">
      <c r="A24" s="34" t="n">
        <v>22</v>
      </c>
      <c r="B24" s="35" t="inlineStr">
        <is>
          <t>유비툴</t>
        </is>
      </c>
      <c r="C24" s="37" t="n">
        <v>18</v>
      </c>
      <c r="D24" s="38">
        <f>C24/C$41</f>
        <v/>
      </c>
      <c r="E24" s="38">
        <f>E23+D24</f>
        <v/>
      </c>
      <c r="F24" s="37" t="n">
        <v>440</v>
      </c>
    </row>
    <row r="25">
      <c r="A25" s="34" t="n">
        <v>23</v>
      </c>
      <c r="B25" s="35" t="inlineStr">
        <is>
          <t>(주)공화공구</t>
        </is>
      </c>
      <c r="C25" s="37" t="n">
        <v>17</v>
      </c>
      <c r="D25" s="38">
        <f>C25/C$41</f>
        <v/>
      </c>
      <c r="E25" s="38">
        <f>E24+D25</f>
        <v/>
      </c>
      <c r="F25" s="37" t="n">
        <v>353</v>
      </c>
    </row>
    <row r="26">
      <c r="A26" s="34" t="n">
        <v>24</v>
      </c>
      <c r="B26" s="35" t="inlineStr">
        <is>
          <t>아이티공구</t>
        </is>
      </c>
      <c r="C26" s="37" t="n">
        <v>13</v>
      </c>
      <c r="D26" s="38">
        <f>C26/C$41</f>
        <v/>
      </c>
      <c r="E26" s="38">
        <f>E25+D26</f>
        <v/>
      </c>
      <c r="F26" s="37" t="n">
        <v>681</v>
      </c>
    </row>
    <row r="27">
      <c r="A27" s="34" t="n">
        <v>25</v>
      </c>
      <c r="B27" s="35" t="inlineStr">
        <is>
          <t>대성테크</t>
        </is>
      </c>
      <c r="C27" s="37" t="n">
        <v>12</v>
      </c>
      <c r="D27" s="38">
        <f>C27/C$41</f>
        <v/>
      </c>
      <c r="E27" s="38">
        <f>E26+D27</f>
        <v/>
      </c>
      <c r="F27" s="37" t="n">
        <v>50</v>
      </c>
    </row>
    <row r="28">
      <c r="A28" s="34" t="n">
        <v>26</v>
      </c>
      <c r="B28" s="35" t="inlineStr">
        <is>
          <t>세운상사</t>
        </is>
      </c>
      <c r="C28" s="37" t="n">
        <v>11</v>
      </c>
      <c r="D28" s="38">
        <f>C28/C$41</f>
        <v/>
      </c>
      <c r="E28" s="38">
        <f>E27+D28</f>
        <v/>
      </c>
      <c r="F28" s="37" t="n">
        <v>18</v>
      </c>
    </row>
    <row r="29">
      <c r="A29" s="34" t="n">
        <v>27</v>
      </c>
      <c r="B29" s="35" t="inlineStr">
        <is>
          <t>영창툴링</t>
        </is>
      </c>
      <c r="C29" s="37" t="n">
        <v>10</v>
      </c>
      <c r="D29" s="38">
        <f>C29/C$41</f>
        <v/>
      </c>
      <c r="E29" s="38">
        <f>E28+D29</f>
        <v/>
      </c>
      <c r="F29" s="37" t="n">
        <v>144</v>
      </c>
    </row>
    <row r="30">
      <c r="A30" s="34" t="n">
        <v>28</v>
      </c>
      <c r="B30" s="35" t="inlineStr">
        <is>
          <t>광진테크</t>
        </is>
      </c>
      <c r="C30" s="37" t="n">
        <v>8</v>
      </c>
      <c r="D30" s="38">
        <f>C30/C$41</f>
        <v/>
      </c>
      <c r="E30" s="38">
        <f>E29+D30</f>
        <v/>
      </c>
      <c r="F30" s="37" t="n">
        <v>80</v>
      </c>
    </row>
    <row r="31">
      <c r="A31" s="34" t="n">
        <v>29</v>
      </c>
      <c r="B31" s="35" t="inlineStr">
        <is>
          <t>영호종합공구(향남)</t>
        </is>
      </c>
      <c r="C31" s="37" t="n">
        <v>8</v>
      </c>
      <c r="D31" s="38">
        <f>C31/C$41</f>
        <v/>
      </c>
      <c r="E31" s="38">
        <f>E30+D31</f>
        <v/>
      </c>
      <c r="F31" s="37" t="n">
        <v>32</v>
      </c>
    </row>
    <row r="32">
      <c r="A32" s="34" t="n">
        <v>30</v>
      </c>
      <c r="B32" s="35" t="inlineStr">
        <is>
          <t>(주)일등정밀공구(안산)</t>
        </is>
      </c>
      <c r="C32" s="37" t="n">
        <v>7</v>
      </c>
      <c r="D32" s="38">
        <f>C32/C$41</f>
        <v/>
      </c>
      <c r="E32" s="38">
        <f>E31+D32</f>
        <v/>
      </c>
      <c r="F32" s="37" t="n">
        <v>88</v>
      </c>
    </row>
    <row r="33">
      <c r="A33" s="34" t="n">
        <v>31</v>
      </c>
      <c r="B33" s="35" t="inlineStr">
        <is>
          <t>삼성패턴-코고툴(재연마)</t>
        </is>
      </c>
      <c r="C33" s="37" t="n">
        <v>6</v>
      </c>
      <c r="D33" s="38">
        <f>C33/C$41</f>
        <v/>
      </c>
      <c r="E33" s="38">
        <f>E32+D33</f>
        <v/>
      </c>
      <c r="F33" s="37" t="n">
        <v>6</v>
      </c>
    </row>
    <row r="34">
      <c r="A34" s="34" t="n">
        <v>32</v>
      </c>
      <c r="B34" s="35" t="inlineStr">
        <is>
          <t>유성종합공구</t>
        </is>
      </c>
      <c r="C34" s="37" t="n">
        <v>5</v>
      </c>
      <c r="D34" s="38">
        <f>C34/C$41</f>
        <v/>
      </c>
      <c r="E34" s="38">
        <f>E33+D34</f>
        <v/>
      </c>
      <c r="F34" s="37" t="n">
        <v>28</v>
      </c>
    </row>
    <row r="35">
      <c r="A35" s="34" t="n">
        <v>33</v>
      </c>
      <c r="B35" s="35" t="inlineStr">
        <is>
          <t>공구백화점(미산동)</t>
        </is>
      </c>
      <c r="C35" s="37" t="n">
        <v>4</v>
      </c>
      <c r="D35" s="38">
        <f>C35/C$41</f>
        <v/>
      </c>
      <c r="E35" s="38">
        <f>E34+D35</f>
        <v/>
      </c>
      <c r="F35" s="37" t="n">
        <v>63</v>
      </c>
    </row>
    <row r="36">
      <c r="A36" s="34" t="n">
        <v>34</v>
      </c>
      <c r="B36" s="35" t="inlineStr">
        <is>
          <t>대륙기계공구</t>
        </is>
      </c>
      <c r="C36" s="37" t="n">
        <v>3</v>
      </c>
      <c r="D36" s="38">
        <f>C36/C$41</f>
        <v/>
      </c>
      <c r="E36" s="38">
        <f>E35+D36</f>
        <v/>
      </c>
      <c r="F36" s="37" t="n">
        <v>254</v>
      </c>
    </row>
    <row r="37">
      <c r="A37" s="34" t="n">
        <v>35</v>
      </c>
      <c r="B37" s="35" t="inlineStr">
        <is>
          <t>하나테크</t>
        </is>
      </c>
      <c r="C37" s="37" t="n">
        <v>2</v>
      </c>
      <c r="D37" s="38">
        <f>C37/C$41</f>
        <v/>
      </c>
      <c r="E37" s="38">
        <f>E36+D37</f>
        <v/>
      </c>
      <c r="F37" s="37" t="n">
        <v>43</v>
      </c>
    </row>
    <row r="38">
      <c r="A38" s="34" t="n">
        <v>36</v>
      </c>
      <c r="B38" s="35" t="inlineStr">
        <is>
          <t>대한초경공구</t>
        </is>
      </c>
      <c r="C38" s="37" t="n">
        <v>2</v>
      </c>
      <c r="D38" s="38">
        <f>C38/C$41</f>
        <v/>
      </c>
      <c r="E38" s="38">
        <f>E37+D38</f>
        <v/>
      </c>
      <c r="F38" s="37" t="n">
        <v>8</v>
      </c>
    </row>
    <row r="39">
      <c r="A39" s="34" t="n">
        <v>37</v>
      </c>
      <c r="B39" s="35" t="inlineStr">
        <is>
          <t>이엠티(EMT)</t>
        </is>
      </c>
      <c r="C39" s="37" t="n">
        <v>2</v>
      </c>
      <c r="D39" s="38">
        <f>C39/C$41</f>
        <v/>
      </c>
      <c r="E39" s="38">
        <f>E38+D39</f>
        <v/>
      </c>
      <c r="F39" s="37" t="n">
        <v>127</v>
      </c>
    </row>
    <row r="40">
      <c r="A40" s="34" t="n">
        <v>38</v>
      </c>
      <c r="B40" s="35" t="inlineStr">
        <is>
          <t>우주툴링</t>
        </is>
      </c>
      <c r="C40" s="37" t="n">
        <v>1</v>
      </c>
      <c r="D40" s="38">
        <f>C40/C$41</f>
        <v/>
      </c>
      <c r="E40" s="38">
        <f>E39+D40</f>
        <v/>
      </c>
      <c r="F40" s="37" t="n">
        <v>1</v>
      </c>
    </row>
    <row r="41">
      <c r="A41" s="39" t="inlineStr">
        <is>
          <t>합계</t>
        </is>
      </c>
      <c r="B41" s="43" t="n"/>
      <c r="C41" s="40">
        <f>SUM(C3:C40)</f>
        <v/>
      </c>
      <c r="D41" s="41" t="n">
        <v>1</v>
      </c>
      <c r="E41" s="39" t="n"/>
      <c r="F41" s="40">
        <f>SUM(F3:F40)</f>
        <v/>
      </c>
    </row>
  </sheetData>
  <mergeCells count="2">
    <mergeCell ref="A41:B4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7월 출하현황 — 납품처별 출고량  (단위: 개)</t>
        </is>
      </c>
    </row>
    <row r="2" ht="28" customHeight="1">
      <c r="A2" s="23" t="inlineStr">
        <is>
          <t>순위</t>
        </is>
      </c>
      <c r="B2" s="23" t="inlineStr">
        <is>
          <t>납품처명</t>
        </is>
      </c>
      <c r="C2" s="23" t="inlineStr">
        <is>
          <t>7월 출고(개)</t>
        </is>
      </c>
      <c r="D2" s="23" t="inlineStr">
        <is>
          <t>월간비율(%)</t>
        </is>
      </c>
      <c r="E2" s="23" t="inlineStr">
        <is>
          <t>누적비율(%)</t>
        </is>
      </c>
      <c r="F2" s="23" t="inlineStr">
        <is>
          <t>연간합계(개)</t>
        </is>
      </c>
    </row>
    <row r="3">
      <c r="A3" s="24" t="n">
        <v>1</v>
      </c>
      <c r="B3" s="25" t="inlineStr">
        <is>
          <t>원영공구(구,원영상사)</t>
        </is>
      </c>
      <c r="C3" s="27" t="n">
        <v>493</v>
      </c>
      <c r="D3" s="28">
        <f>C3/C$38</f>
        <v/>
      </c>
      <c r="E3" s="28">
        <f>D3</f>
        <v/>
      </c>
      <c r="F3" s="27" t="n">
        <v>1835</v>
      </c>
    </row>
    <row r="4">
      <c r="A4" s="24" t="n">
        <v>2</v>
      </c>
      <c r="B4" s="25" t="inlineStr">
        <is>
          <t>초경툴(구,성민TOOL)-코고툴</t>
        </is>
      </c>
      <c r="C4" s="27" t="n">
        <v>433</v>
      </c>
      <c r="D4" s="28">
        <f>C4/C$38</f>
        <v/>
      </c>
      <c r="E4" s="28">
        <f>E3+D4</f>
        <v/>
      </c>
      <c r="F4" s="27" t="n">
        <v>1456</v>
      </c>
    </row>
    <row r="5">
      <c r="A5" s="24" t="n">
        <v>3</v>
      </c>
      <c r="B5" s="25" t="inlineStr">
        <is>
          <t>건영테크(광주)</t>
        </is>
      </c>
      <c r="C5" s="27" t="n">
        <v>183</v>
      </c>
      <c r="D5" s="28">
        <f>C5/C$38</f>
        <v/>
      </c>
      <c r="E5" s="28">
        <f>E4+D5</f>
        <v/>
      </c>
      <c r="F5" s="27" t="n">
        <v>1413</v>
      </c>
    </row>
    <row r="6">
      <c r="A6" s="24" t="n">
        <v>4</v>
      </c>
      <c r="B6" s="25" t="inlineStr">
        <is>
          <t>대륙기계공구</t>
        </is>
      </c>
      <c r="C6" s="27" t="n">
        <v>158</v>
      </c>
      <c r="D6" s="28">
        <f>C6/C$38</f>
        <v/>
      </c>
      <c r="E6" s="28">
        <f>E5+D6</f>
        <v/>
      </c>
      <c r="F6" s="27" t="n">
        <v>254</v>
      </c>
    </row>
    <row r="7">
      <c r="A7" s="24" t="n">
        <v>5</v>
      </c>
      <c r="B7" s="25" t="inlineStr">
        <is>
          <t>연성기공(주)</t>
        </is>
      </c>
      <c r="C7" s="27" t="n">
        <v>139</v>
      </c>
      <c r="D7" s="28">
        <f>C7/C$38</f>
        <v/>
      </c>
      <c r="E7" s="28">
        <f>E6+D7</f>
        <v/>
      </c>
      <c r="F7" s="27" t="n">
        <v>626</v>
      </c>
    </row>
    <row r="8">
      <c r="A8" s="34" t="n">
        <v>6</v>
      </c>
      <c r="B8" s="35" t="inlineStr">
        <is>
          <t>(주)세종종합상사(미산동)</t>
        </is>
      </c>
      <c r="C8" s="37" t="n">
        <v>134</v>
      </c>
      <c r="D8" s="38">
        <f>C8/C$38</f>
        <v/>
      </c>
      <c r="E8" s="38">
        <f>E7+D8</f>
        <v/>
      </c>
      <c r="F8" s="37" t="n">
        <v>198</v>
      </c>
    </row>
    <row r="9">
      <c r="A9" s="34" t="n">
        <v>7</v>
      </c>
      <c r="B9" s="35" t="inlineStr">
        <is>
          <t>아이티공구</t>
        </is>
      </c>
      <c r="C9" s="37" t="n">
        <v>128</v>
      </c>
      <c r="D9" s="38">
        <f>C9/C$38</f>
        <v/>
      </c>
      <c r="E9" s="38">
        <f>E8+D9</f>
        <v/>
      </c>
      <c r="F9" s="37" t="n">
        <v>681</v>
      </c>
    </row>
    <row r="10">
      <c r="A10" s="34" t="n">
        <v>8</v>
      </c>
      <c r="B10" s="35" t="inlineStr">
        <is>
          <t>덕원종합상사</t>
        </is>
      </c>
      <c r="C10" s="37" t="n">
        <v>116</v>
      </c>
      <c r="D10" s="38">
        <f>C10/C$38</f>
        <v/>
      </c>
      <c r="E10" s="38">
        <f>E9+D10</f>
        <v/>
      </c>
      <c r="F10" s="37" t="n">
        <v>827</v>
      </c>
    </row>
    <row r="11">
      <c r="A11" s="34" t="n">
        <v>9</v>
      </c>
      <c r="B11" s="35" t="inlineStr">
        <is>
          <t>영우툴링(창성툴)</t>
        </is>
      </c>
      <c r="C11" s="37" t="n">
        <v>109</v>
      </c>
      <c r="D11" s="38">
        <f>C11/C$38</f>
        <v/>
      </c>
      <c r="E11" s="38">
        <f>E10+D11</f>
        <v/>
      </c>
      <c r="F11" s="37" t="n">
        <v>657</v>
      </c>
    </row>
    <row r="12">
      <c r="A12" s="34" t="n">
        <v>10</v>
      </c>
      <c r="B12" s="35" t="inlineStr">
        <is>
          <t>(주)공화공구</t>
        </is>
      </c>
      <c r="C12" s="37" t="n">
        <v>90</v>
      </c>
      <c r="D12" s="38">
        <f>C12/C$38</f>
        <v/>
      </c>
      <c r="E12" s="38">
        <f>E11+D12</f>
        <v/>
      </c>
      <c r="F12" s="37" t="n">
        <v>353</v>
      </c>
    </row>
    <row r="13">
      <c r="A13" s="34" t="n">
        <v>11</v>
      </c>
      <c r="B13" s="35" t="inlineStr">
        <is>
          <t>케이엠툴링</t>
        </is>
      </c>
      <c r="C13" s="37" t="n">
        <v>81</v>
      </c>
      <c r="D13" s="38">
        <f>C13/C$38</f>
        <v/>
      </c>
      <c r="E13" s="38">
        <f>E12+D13</f>
        <v/>
      </c>
      <c r="F13" s="37" t="n">
        <v>232</v>
      </c>
    </row>
    <row r="14">
      <c r="A14" s="34" t="n">
        <v>12</v>
      </c>
      <c r="B14" s="35" t="inlineStr">
        <is>
          <t>인코테크 포승</t>
        </is>
      </c>
      <c r="C14" s="37" t="n">
        <v>40</v>
      </c>
      <c r="D14" s="38">
        <f>C14/C$38</f>
        <v/>
      </c>
      <c r="E14" s="38">
        <f>E13+D14</f>
        <v/>
      </c>
      <c r="F14" s="37" t="n">
        <v>40</v>
      </c>
    </row>
    <row r="15">
      <c r="A15" s="34" t="n">
        <v>13</v>
      </c>
      <c r="B15" s="35" t="inlineStr">
        <is>
          <t>알제이코리아</t>
        </is>
      </c>
      <c r="C15" s="37" t="n">
        <v>35</v>
      </c>
      <c r="D15" s="38">
        <f>C15/C$38</f>
        <v/>
      </c>
      <c r="E15" s="38">
        <f>E14+D15</f>
        <v/>
      </c>
      <c r="F15" s="37" t="n">
        <v>315</v>
      </c>
    </row>
    <row r="16">
      <c r="A16" s="34" t="n">
        <v>14</v>
      </c>
      <c r="B16" s="35" t="inlineStr">
        <is>
          <t>강민툴링(비봉)</t>
        </is>
      </c>
      <c r="C16" s="37" t="n">
        <v>35</v>
      </c>
      <c r="D16" s="38">
        <f>C16/C$38</f>
        <v/>
      </c>
      <c r="E16" s="38">
        <f>E15+D16</f>
        <v/>
      </c>
      <c r="F16" s="37" t="n">
        <v>1031</v>
      </c>
    </row>
    <row r="17">
      <c r="A17" s="34" t="n">
        <v>15</v>
      </c>
      <c r="B17" s="35" t="inlineStr">
        <is>
          <t>서림툴링</t>
        </is>
      </c>
      <c r="C17" s="37" t="n">
        <v>21</v>
      </c>
      <c r="D17" s="38">
        <f>C17/C$38</f>
        <v/>
      </c>
      <c r="E17" s="38">
        <f>E16+D17</f>
        <v/>
      </c>
      <c r="F17" s="37" t="n">
        <v>219</v>
      </c>
    </row>
    <row r="18">
      <c r="A18" s="34" t="n">
        <v>16</v>
      </c>
      <c r="B18" s="35" t="inlineStr">
        <is>
          <t>(주)바로공구(정남)</t>
        </is>
      </c>
      <c r="C18" s="37" t="n">
        <v>21</v>
      </c>
      <c r="D18" s="38">
        <f>C18/C$38</f>
        <v/>
      </c>
      <c r="E18" s="38">
        <f>E17+D18</f>
        <v/>
      </c>
      <c r="F18" s="37" t="n">
        <v>52</v>
      </c>
    </row>
    <row r="19">
      <c r="A19" s="34" t="n">
        <v>17</v>
      </c>
      <c r="B19" s="35" t="inlineStr">
        <is>
          <t>유비툴</t>
        </is>
      </c>
      <c r="C19" s="37" t="n">
        <v>15</v>
      </c>
      <c r="D19" s="38">
        <f>C19/C$38</f>
        <v/>
      </c>
      <c r="E19" s="38">
        <f>E18+D19</f>
        <v/>
      </c>
      <c r="F19" s="37" t="n">
        <v>440</v>
      </c>
    </row>
    <row r="20">
      <c r="A20" s="34" t="n">
        <v>18</v>
      </c>
      <c r="B20" s="35" t="inlineStr">
        <is>
          <t>왕삼아공구</t>
        </is>
      </c>
      <c r="C20" s="37" t="n">
        <v>15</v>
      </c>
      <c r="D20" s="38">
        <f>C20/C$38</f>
        <v/>
      </c>
      <c r="E20" s="38">
        <f>E19+D20</f>
        <v/>
      </c>
      <c r="F20" s="37" t="n">
        <v>445</v>
      </c>
    </row>
    <row r="21">
      <c r="A21" s="34" t="n">
        <v>19</v>
      </c>
      <c r="B21" s="35" t="inlineStr">
        <is>
          <t>코끼리공구</t>
        </is>
      </c>
      <c r="C21" s="37" t="n">
        <v>13</v>
      </c>
      <c r="D21" s="38">
        <f>C21/C$38</f>
        <v/>
      </c>
      <c r="E21" s="38">
        <f>E20+D21</f>
        <v/>
      </c>
      <c r="F21" s="37" t="n">
        <v>39</v>
      </c>
    </row>
    <row r="22">
      <c r="A22" s="34" t="n">
        <v>20</v>
      </c>
      <c r="B22" s="35" t="inlineStr">
        <is>
          <t>반석공구</t>
        </is>
      </c>
      <c r="C22" s="37" t="n">
        <v>12</v>
      </c>
      <c r="D22" s="38">
        <f>C22/C$38</f>
        <v/>
      </c>
      <c r="E22" s="38">
        <f>E21+D22</f>
        <v/>
      </c>
      <c r="F22" s="37" t="n">
        <v>321</v>
      </c>
    </row>
    <row r="23">
      <c r="A23" s="34" t="n">
        <v>21</v>
      </c>
      <c r="B23" s="35" t="inlineStr">
        <is>
          <t>신우툴스</t>
        </is>
      </c>
      <c r="C23" s="37" t="n">
        <v>12</v>
      </c>
      <c r="D23" s="38">
        <f>C23/C$38</f>
        <v/>
      </c>
      <c r="E23" s="38">
        <f>E22+D23</f>
        <v/>
      </c>
      <c r="F23" s="37" t="n">
        <v>50</v>
      </c>
    </row>
    <row r="24">
      <c r="A24" s="34" t="n">
        <v>22</v>
      </c>
      <c r="B24" s="35" t="inlineStr">
        <is>
          <t>대우툴링</t>
        </is>
      </c>
      <c r="C24" s="37" t="n">
        <v>10</v>
      </c>
      <c r="D24" s="38">
        <f>C24/C$38</f>
        <v/>
      </c>
      <c r="E24" s="38">
        <f>E23+D24</f>
        <v/>
      </c>
      <c r="F24" s="37" t="n">
        <v>133</v>
      </c>
    </row>
    <row r="25">
      <c r="A25" s="34" t="n">
        <v>23</v>
      </c>
      <c r="B25" s="35" t="inlineStr">
        <is>
          <t>E-tech(이테크)</t>
        </is>
      </c>
      <c r="C25" s="37" t="n">
        <v>10</v>
      </c>
      <c r="D25" s="38">
        <f>C25/C$38</f>
        <v/>
      </c>
      <c r="E25" s="38">
        <f>E24+D25</f>
        <v/>
      </c>
      <c r="F25" s="37" t="n">
        <v>94</v>
      </c>
    </row>
    <row r="26">
      <c r="A26" s="34" t="n">
        <v>24</v>
      </c>
      <c r="B26" s="35" t="inlineStr">
        <is>
          <t>(주)금형티에스</t>
        </is>
      </c>
      <c r="C26" s="37" t="n">
        <v>9</v>
      </c>
      <c r="D26" s="38">
        <f>C26/C$38</f>
        <v/>
      </c>
      <c r="E26" s="38">
        <f>E25+D26</f>
        <v/>
      </c>
      <c r="F26" s="37" t="n">
        <v>245</v>
      </c>
    </row>
    <row r="27">
      <c r="A27" s="34" t="n">
        <v>25</v>
      </c>
      <c r="B27" s="35" t="inlineStr">
        <is>
          <t>동남종합상사(주)</t>
        </is>
      </c>
      <c r="C27" s="37" t="n">
        <v>9</v>
      </c>
      <c r="D27" s="38">
        <f>C27/C$38</f>
        <v/>
      </c>
      <c r="E27" s="38">
        <f>E26+D27</f>
        <v/>
      </c>
      <c r="F27" s="37" t="n">
        <v>9</v>
      </c>
    </row>
    <row r="28">
      <c r="A28" s="34" t="n">
        <v>26</v>
      </c>
      <c r="B28" s="35" t="inlineStr">
        <is>
          <t>유성종합공구</t>
        </is>
      </c>
      <c r="C28" s="37" t="n">
        <v>7</v>
      </c>
      <c r="D28" s="38">
        <f>C28/C$38</f>
        <v/>
      </c>
      <c r="E28" s="38">
        <f>E27+D28</f>
        <v/>
      </c>
      <c r="F28" s="37" t="n">
        <v>28</v>
      </c>
    </row>
    <row r="29">
      <c r="A29" s="34" t="n">
        <v>27</v>
      </c>
      <c r="B29" s="35" t="inlineStr">
        <is>
          <t>맨날툴이야</t>
        </is>
      </c>
      <c r="C29" s="37" t="n">
        <v>7</v>
      </c>
      <c r="D29" s="38">
        <f>C29/C$38</f>
        <v/>
      </c>
      <c r="E29" s="38">
        <f>E28+D29</f>
        <v/>
      </c>
      <c r="F29" s="37" t="n">
        <v>64</v>
      </c>
    </row>
    <row r="30">
      <c r="A30" s="34" t="n">
        <v>28</v>
      </c>
      <c r="B30" s="35" t="inlineStr">
        <is>
          <t>(아산)금영공구정공(주)</t>
        </is>
      </c>
      <c r="C30" s="37" t="n">
        <v>4</v>
      </c>
      <c r="D30" s="38">
        <f>C30/C$38</f>
        <v/>
      </c>
      <c r="E30" s="38">
        <f>E29+D30</f>
        <v/>
      </c>
      <c r="F30" s="37" t="n">
        <v>4</v>
      </c>
    </row>
    <row r="31">
      <c r="A31" s="34" t="n">
        <v>29</v>
      </c>
      <c r="B31" s="35" t="inlineStr">
        <is>
          <t>N.T.S(엔티에스)-코고툴</t>
        </is>
      </c>
      <c r="C31" s="37" t="n">
        <v>2</v>
      </c>
      <c r="D31" s="38">
        <f>C31/C$38</f>
        <v/>
      </c>
      <c r="E31" s="38">
        <f>E30+D31</f>
        <v/>
      </c>
      <c r="F31" s="37" t="n">
        <v>14</v>
      </c>
    </row>
    <row r="32">
      <c r="A32" s="34" t="n">
        <v>30</v>
      </c>
      <c r="B32" s="35" t="inlineStr">
        <is>
          <t>엘엠툴스</t>
        </is>
      </c>
      <c r="C32" s="37" t="n">
        <v>2</v>
      </c>
      <c r="D32" s="38">
        <f>C32/C$38</f>
        <v/>
      </c>
      <c r="E32" s="38">
        <f>E31+D32</f>
        <v/>
      </c>
      <c r="F32" s="37" t="n">
        <v>2</v>
      </c>
    </row>
    <row r="33">
      <c r="A33" s="34" t="n">
        <v>31</v>
      </c>
      <c r="B33" s="35" t="inlineStr">
        <is>
          <t>유성상공사</t>
        </is>
      </c>
      <c r="C33" s="37" t="n">
        <v>2</v>
      </c>
      <c r="D33" s="38">
        <f>C33/C$38</f>
        <v/>
      </c>
      <c r="E33" s="38">
        <f>E32+D33</f>
        <v/>
      </c>
      <c r="F33" s="37" t="n">
        <v>107</v>
      </c>
    </row>
    <row r="34">
      <c r="A34" s="34" t="n">
        <v>32</v>
      </c>
      <c r="B34" s="35" t="inlineStr">
        <is>
          <t>하나테크</t>
        </is>
      </c>
      <c r="C34" s="37" t="n">
        <v>2</v>
      </c>
      <c r="D34" s="38">
        <f>C34/C$38</f>
        <v/>
      </c>
      <c r="E34" s="38">
        <f>E33+D34</f>
        <v/>
      </c>
      <c r="F34" s="37" t="n">
        <v>43</v>
      </c>
    </row>
    <row r="35">
      <c r="A35" s="34" t="n">
        <v>33</v>
      </c>
      <c r="B35" s="35" t="inlineStr">
        <is>
          <t>대한초경공구</t>
        </is>
      </c>
      <c r="C35" s="37" t="n">
        <v>2</v>
      </c>
      <c r="D35" s="38">
        <f>C35/C$38</f>
        <v/>
      </c>
      <c r="E35" s="38">
        <f>E34+D35</f>
        <v/>
      </c>
      <c r="F35" s="37" t="n">
        <v>8</v>
      </c>
    </row>
    <row r="36">
      <c r="A36" s="34" t="n">
        <v>34</v>
      </c>
      <c r="B36" s="35" t="inlineStr">
        <is>
          <t>(주)전진공구</t>
        </is>
      </c>
      <c r="C36" s="37" t="n">
        <v>2</v>
      </c>
      <c r="D36" s="38">
        <f>C36/C$38</f>
        <v/>
      </c>
      <c r="E36" s="38">
        <f>E35+D36</f>
        <v/>
      </c>
      <c r="F36" s="37" t="n">
        <v>69</v>
      </c>
    </row>
    <row r="37">
      <c r="A37" s="34" t="n">
        <v>35</v>
      </c>
      <c r="B37" s="35" t="inlineStr">
        <is>
          <t>유진상사(문래)</t>
        </is>
      </c>
      <c r="C37" s="37" t="n">
        <v>1</v>
      </c>
      <c r="D37" s="38">
        <f>C37/C$38</f>
        <v/>
      </c>
      <c r="E37" s="38">
        <f>E36+D37</f>
        <v/>
      </c>
      <c r="F37" s="37" t="n">
        <v>233</v>
      </c>
    </row>
    <row r="38">
      <c r="A38" s="39" t="inlineStr">
        <is>
          <t>합계</t>
        </is>
      </c>
      <c r="B38" s="43" t="n"/>
      <c r="C38" s="40">
        <f>SUM(C3:C37)</f>
        <v/>
      </c>
      <c r="D38" s="41" t="n">
        <v>1</v>
      </c>
      <c r="E38" s="39" t="n"/>
      <c r="F38" s="4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2026년 8월 출하현황 — 납품처별 출고량  (단위: 개)</t>
        </is>
      </c>
    </row>
    <row r="2">
      <c r="A2" s="23" t="inlineStr">
        <is>
          <t>순위</t>
        </is>
      </c>
      <c r="B2" s="23" t="inlineStr">
        <is>
          <t>납품처명</t>
        </is>
      </c>
      <c r="C2" s="23" t="inlineStr">
        <is>
          <t>8월 출고(개)</t>
        </is>
      </c>
      <c r="D2" s="23" t="inlineStr">
        <is>
          <t>월간비율(%)</t>
        </is>
      </c>
      <c r="E2" s="23" t="inlineStr">
        <is>
          <t>누적비율(%)</t>
        </is>
      </c>
      <c r="F2" s="23" t="inlineStr">
        <is>
          <t>연간합계(개)</t>
        </is>
      </c>
    </row>
    <row r="3">
      <c r="A3" s="24" t="n">
        <v>1</v>
      </c>
      <c r="B3" s="25" t="inlineStr">
        <is>
          <t>아신상사</t>
        </is>
      </c>
      <c r="C3" s="27" t="n">
        <v>155</v>
      </c>
      <c r="D3" s="28">
        <f>C3/C$38</f>
        <v/>
      </c>
      <c r="E3" s="28">
        <f>D3</f>
        <v/>
      </c>
      <c r="F3" s="27" t="n">
        <v>579</v>
      </c>
    </row>
    <row r="4">
      <c r="A4" s="24" t="n">
        <v>2</v>
      </c>
      <c r="B4" s="25" t="inlineStr">
        <is>
          <t>지니툴(구로)_코고툴</t>
        </is>
      </c>
      <c r="C4" s="27" t="n">
        <v>116</v>
      </c>
      <c r="D4" s="28">
        <f>C4/C$38</f>
        <v/>
      </c>
      <c r="E4" s="28">
        <f>E3+D4</f>
        <v/>
      </c>
      <c r="F4" s="27" t="n">
        <v>146</v>
      </c>
    </row>
    <row r="5">
      <c r="A5" s="24" t="n">
        <v>3</v>
      </c>
      <c r="B5" s="25" t="inlineStr">
        <is>
          <t>덕원종합상사</t>
        </is>
      </c>
      <c r="C5" s="27" t="n">
        <v>107</v>
      </c>
      <c r="D5" s="28">
        <f>C5/C$38</f>
        <v/>
      </c>
      <c r="E5" s="28">
        <f>E4+D5</f>
        <v/>
      </c>
      <c r="F5" s="27" t="n">
        <v>827</v>
      </c>
    </row>
    <row r="6">
      <c r="A6" s="24" t="n">
        <v>4</v>
      </c>
      <c r="B6" s="25" t="inlineStr">
        <is>
          <t>원영공구(구,원영상사)</t>
        </is>
      </c>
      <c r="C6" s="27" t="n">
        <v>107</v>
      </c>
      <c r="D6" s="28">
        <f>C6/C$38</f>
        <v/>
      </c>
      <c r="E6" s="28">
        <f>E5+D6</f>
        <v/>
      </c>
      <c r="F6" s="27" t="n">
        <v>1835</v>
      </c>
    </row>
    <row r="7">
      <c r="A7" s="24" t="n">
        <v>5</v>
      </c>
      <c r="B7" s="25" t="inlineStr">
        <is>
          <t>동명ENG-코고툴(재연마)</t>
        </is>
      </c>
      <c r="C7" s="27" t="n">
        <v>86</v>
      </c>
      <c r="D7" s="28">
        <f>C7/C$38</f>
        <v/>
      </c>
      <c r="E7" s="28">
        <f>E6+D7</f>
        <v/>
      </c>
      <c r="F7" s="27" t="n">
        <v>170</v>
      </c>
    </row>
    <row r="8">
      <c r="A8" s="24" t="n">
        <v>6</v>
      </c>
      <c r="B8" s="25" t="inlineStr">
        <is>
          <t>건영테크(광주)</t>
        </is>
      </c>
      <c r="C8" s="27" t="n">
        <v>77</v>
      </c>
      <c r="D8" s="28">
        <f>C8/C$38</f>
        <v/>
      </c>
      <c r="E8" s="28">
        <f>E7+D8</f>
        <v/>
      </c>
      <c r="F8" s="27" t="n">
        <v>1413</v>
      </c>
    </row>
    <row r="9">
      <c r="A9" s="24" t="n">
        <v>7</v>
      </c>
      <c r="B9" s="25" t="inlineStr">
        <is>
          <t>(주)공화공구</t>
        </is>
      </c>
      <c r="C9" s="27" t="n">
        <v>74</v>
      </c>
      <c r="D9" s="28">
        <f>C9/C$38</f>
        <v/>
      </c>
      <c r="E9" s="28">
        <f>E8+D9</f>
        <v/>
      </c>
      <c r="F9" s="27" t="n">
        <v>353</v>
      </c>
    </row>
    <row r="10">
      <c r="A10" s="24" t="n">
        <v>8</v>
      </c>
      <c r="B10" s="25" t="inlineStr">
        <is>
          <t>신우툴링(남동)</t>
        </is>
      </c>
      <c r="C10" s="27" t="n">
        <v>67</v>
      </c>
      <c r="D10" s="28">
        <f>C10/C$38</f>
        <v/>
      </c>
      <c r="E10" s="28">
        <f>E9+D10</f>
        <v/>
      </c>
      <c r="F10" s="27" t="n">
        <v>369</v>
      </c>
    </row>
    <row r="11">
      <c r="A11" s="24" t="n">
        <v>9</v>
      </c>
      <c r="B11" s="25" t="inlineStr">
        <is>
          <t>아이티공구</t>
        </is>
      </c>
      <c r="C11" s="27" t="n">
        <v>67</v>
      </c>
      <c r="D11" s="28">
        <f>C11/C$38</f>
        <v/>
      </c>
      <c r="E11" s="28">
        <f>E10+D11</f>
        <v/>
      </c>
      <c r="F11" s="27" t="n">
        <v>681</v>
      </c>
    </row>
    <row r="12">
      <c r="A12" s="24" t="n">
        <v>10</v>
      </c>
      <c r="B12" s="25" t="inlineStr">
        <is>
          <t>반석공구</t>
        </is>
      </c>
      <c r="C12" s="27" t="n">
        <v>59</v>
      </c>
      <c r="D12" s="28">
        <f>C12/C$38</f>
        <v/>
      </c>
      <c r="E12" s="28">
        <f>E11+D12</f>
        <v/>
      </c>
      <c r="F12" s="27" t="n">
        <v>321</v>
      </c>
    </row>
    <row r="13">
      <c r="A13" s="24" t="n">
        <v>11</v>
      </c>
      <c r="B13" s="25" t="inlineStr">
        <is>
          <t>핫몰드엔지니어링주식회사-코고툴(재연마)</t>
        </is>
      </c>
      <c r="C13" s="27" t="n">
        <v>57</v>
      </c>
      <c r="D13" s="28">
        <f>C13/C$38</f>
        <v/>
      </c>
      <c r="E13" s="28">
        <f>E12+D13</f>
        <v/>
      </c>
      <c r="F13" s="27" t="n">
        <v>188</v>
      </c>
    </row>
    <row r="14">
      <c r="A14" s="24" t="n">
        <v>12</v>
      </c>
      <c r="B14" s="25" t="inlineStr">
        <is>
          <t>영우툴링(창성툴)</t>
        </is>
      </c>
      <c r="C14" s="27" t="n">
        <v>40</v>
      </c>
      <c r="D14" s="28">
        <f>C14/C$38</f>
        <v/>
      </c>
      <c r="E14" s="28">
        <f>E13+D14</f>
        <v/>
      </c>
      <c r="F14" s="27" t="n">
        <v>657</v>
      </c>
    </row>
    <row r="15">
      <c r="A15" s="24" t="n">
        <v>13</v>
      </c>
      <c r="B15" s="25" t="inlineStr">
        <is>
          <t>초경툴(구,성민TOOL)-코고툴</t>
        </is>
      </c>
      <c r="C15" s="27" t="n">
        <v>29</v>
      </c>
      <c r="D15" s="28">
        <f>C15/C$38</f>
        <v/>
      </c>
      <c r="E15" s="28">
        <f>E14+D15</f>
        <v/>
      </c>
      <c r="F15" s="27" t="n">
        <v>1456</v>
      </c>
    </row>
    <row r="16">
      <c r="A16" s="24" t="n">
        <v>14</v>
      </c>
      <c r="B16" s="25" t="inlineStr">
        <is>
          <t>공구백화점(미산동)</t>
        </is>
      </c>
      <c r="C16" s="27" t="n">
        <v>25</v>
      </c>
      <c r="D16" s="28">
        <f>C16/C$38</f>
        <v/>
      </c>
      <c r="E16" s="28">
        <f>E15+D16</f>
        <v/>
      </c>
      <c r="F16" s="27" t="n">
        <v>63</v>
      </c>
    </row>
    <row r="17">
      <c r="A17" s="24" t="n">
        <v>15</v>
      </c>
      <c r="B17" s="25" t="inlineStr">
        <is>
          <t>영호종합공구(향남)</t>
        </is>
      </c>
      <c r="C17" s="27" t="n">
        <v>24</v>
      </c>
      <c r="D17" s="28">
        <f>C17/C$38</f>
        <v/>
      </c>
      <c r="E17" s="28">
        <f>E16+D17</f>
        <v/>
      </c>
      <c r="F17" s="27" t="n">
        <v>32</v>
      </c>
    </row>
    <row r="18">
      <c r="A18" s="24" t="n">
        <v>16</v>
      </c>
      <c r="B18" s="25" t="inlineStr">
        <is>
          <t>연성기공(주)</t>
        </is>
      </c>
      <c r="C18" s="27" t="n">
        <v>23</v>
      </c>
      <c r="D18" s="28">
        <f>C18/C$38</f>
        <v/>
      </c>
      <c r="E18" s="28">
        <f>E17+D18</f>
        <v/>
      </c>
      <c r="F18" s="27" t="n">
        <v>626</v>
      </c>
    </row>
    <row r="19">
      <c r="A19" s="24" t="n">
        <v>17</v>
      </c>
      <c r="B19" s="25" t="inlineStr">
        <is>
          <t>(주)정원테크</t>
        </is>
      </c>
      <c r="C19" s="27" t="n">
        <v>20</v>
      </c>
      <c r="D19" s="28">
        <f>C19/C$38</f>
        <v/>
      </c>
      <c r="E19" s="28">
        <f>E18+D19</f>
        <v/>
      </c>
      <c r="F19" s="27" t="n">
        <v>90</v>
      </c>
    </row>
    <row r="20">
      <c r="A20" s="24" t="n">
        <v>18</v>
      </c>
      <c r="B20" s="25" t="inlineStr">
        <is>
          <t>신우툴스</t>
        </is>
      </c>
      <c r="C20" s="27" t="n">
        <v>20</v>
      </c>
      <c r="D20" s="28">
        <f>C20/C$38</f>
        <v/>
      </c>
      <c r="E20" s="28">
        <f>E19+D20</f>
        <v/>
      </c>
      <c r="F20" s="27" t="n">
        <v>50</v>
      </c>
    </row>
    <row r="21">
      <c r="A21" s="24" t="n">
        <v>19</v>
      </c>
      <c r="B21" s="25" t="inlineStr">
        <is>
          <t>서림툴링</t>
        </is>
      </c>
      <c r="C21" s="27" t="n">
        <v>18</v>
      </c>
      <c r="D21" s="28">
        <f>C21/C$38</f>
        <v/>
      </c>
      <c r="E21" s="28">
        <f>E20+D21</f>
        <v/>
      </c>
      <c r="F21" s="27" t="n">
        <v>219</v>
      </c>
    </row>
    <row r="22">
      <c r="A22" s="24" t="n">
        <v>20</v>
      </c>
      <c r="B22" s="25" t="inlineStr">
        <is>
          <t>강민툴링(비봉)</t>
        </is>
      </c>
      <c r="C22" s="27" t="n">
        <v>16</v>
      </c>
      <c r="D22" s="28">
        <f>C22/C$38</f>
        <v/>
      </c>
      <c r="E22" s="28">
        <f>E21+D22</f>
        <v/>
      </c>
      <c r="F22" s="27" t="n">
        <v>1031</v>
      </c>
    </row>
    <row r="23">
      <c r="A23" s="24" t="n">
        <v>21</v>
      </c>
      <c r="B23" s="25" t="inlineStr">
        <is>
          <t>(주)전진공구</t>
        </is>
      </c>
      <c r="C23" s="27" t="n">
        <v>14</v>
      </c>
      <c r="D23" s="28">
        <f>C23/C$38</f>
        <v/>
      </c>
      <c r="E23" s="28">
        <f>E22+D23</f>
        <v/>
      </c>
      <c r="F23" s="27" t="n">
        <v>69</v>
      </c>
    </row>
    <row r="24">
      <c r="A24" s="24" t="n">
        <v>22</v>
      </c>
      <c r="B24" s="25" t="inlineStr">
        <is>
          <t>맨날툴이야</t>
        </is>
      </c>
      <c r="C24" s="27" t="n">
        <v>14</v>
      </c>
      <c r="D24" s="28">
        <f>C24/C$38</f>
        <v/>
      </c>
      <c r="E24" s="28">
        <f>E23+D24</f>
        <v/>
      </c>
      <c r="F24" s="27" t="n">
        <v>64</v>
      </c>
    </row>
    <row r="25">
      <c r="A25" s="24" t="n">
        <v>23</v>
      </c>
      <c r="B25" s="25" t="inlineStr">
        <is>
          <t>(주)바로공구(정남)</t>
        </is>
      </c>
      <c r="C25" s="27" t="n">
        <v>11</v>
      </c>
      <c r="D25" s="28">
        <f>C25/C$38</f>
        <v/>
      </c>
      <c r="E25" s="28">
        <f>E24+D25</f>
        <v/>
      </c>
      <c r="F25" s="27" t="n">
        <v>52</v>
      </c>
    </row>
    <row r="26">
      <c r="A26" s="24" t="n">
        <v>24</v>
      </c>
      <c r="B26" s="25" t="inlineStr">
        <is>
          <t>유진상사(문래)</t>
        </is>
      </c>
      <c r="C26" s="27" t="n">
        <v>11</v>
      </c>
      <c r="D26" s="28">
        <f>C26/C$38</f>
        <v/>
      </c>
      <c r="E26" s="28">
        <f>E25+D26</f>
        <v/>
      </c>
      <c r="F26" s="27" t="n">
        <v>233</v>
      </c>
    </row>
    <row r="27">
      <c r="A27" s="24" t="n">
        <v>25</v>
      </c>
      <c r="B27" s="25" t="inlineStr">
        <is>
          <t>아시아툴링</t>
        </is>
      </c>
      <c r="C27" s="27" t="n">
        <v>10</v>
      </c>
      <c r="D27" s="28">
        <f>C27/C$38</f>
        <v/>
      </c>
      <c r="E27" s="28">
        <f>E26+D27</f>
        <v/>
      </c>
      <c r="F27" s="27" t="n">
        <v>10</v>
      </c>
    </row>
    <row r="28">
      <c r="A28" s="24" t="n">
        <v>26</v>
      </c>
      <c r="B28" s="25" t="inlineStr">
        <is>
          <t>대우툴링</t>
        </is>
      </c>
      <c r="C28" s="27" t="n">
        <v>9</v>
      </c>
      <c r="D28" s="28">
        <f>C28/C$38</f>
        <v/>
      </c>
      <c r="E28" s="28">
        <f>E27+D28</f>
        <v/>
      </c>
      <c r="F28" s="27" t="n">
        <v>133</v>
      </c>
    </row>
    <row r="29">
      <c r="A29" s="24" t="n">
        <v>27</v>
      </c>
      <c r="B29" s="25" t="inlineStr">
        <is>
          <t>광진테크</t>
        </is>
      </c>
      <c r="C29" s="27" t="n">
        <v>5</v>
      </c>
      <c r="D29" s="28">
        <f>C29/C$38</f>
        <v/>
      </c>
      <c r="E29" s="28">
        <f>E28+D29</f>
        <v/>
      </c>
      <c r="F29" s="27" t="n">
        <v>80</v>
      </c>
    </row>
    <row r="30">
      <c r="A30" s="24" t="n">
        <v>28</v>
      </c>
      <c r="B30" s="25" t="inlineStr">
        <is>
          <t>유성상공사</t>
        </is>
      </c>
      <c r="C30" s="27" t="n">
        <v>5</v>
      </c>
      <c r="D30" s="28">
        <f>C30/C$38</f>
        <v/>
      </c>
      <c r="E30" s="28">
        <f>E29+D30</f>
        <v/>
      </c>
      <c r="F30" s="27" t="n">
        <v>107</v>
      </c>
    </row>
    <row r="31">
      <c r="A31" s="24" t="n">
        <v>29</v>
      </c>
      <c r="B31" s="25" t="inlineStr">
        <is>
          <t>(주)성환공구</t>
        </is>
      </c>
      <c r="C31" s="27" t="n">
        <v>4</v>
      </c>
      <c r="D31" s="28">
        <f>C31/C$38</f>
        <v/>
      </c>
      <c r="E31" s="28">
        <f>E30+D31</f>
        <v/>
      </c>
      <c r="F31" s="27" t="n">
        <v>10</v>
      </c>
    </row>
    <row r="32">
      <c r="A32" s="24" t="n">
        <v>30</v>
      </c>
      <c r="B32" s="25" t="inlineStr">
        <is>
          <t>대양공구(인천)</t>
        </is>
      </c>
      <c r="C32" s="27" t="n">
        <v>4</v>
      </c>
      <c r="D32" s="28">
        <f>C32/C$38</f>
        <v/>
      </c>
      <c r="E32" s="28">
        <f>E31+D32</f>
        <v/>
      </c>
      <c r="F32" s="27" t="n">
        <v>18</v>
      </c>
    </row>
    <row r="33">
      <c r="A33" s="24" t="n">
        <v>31</v>
      </c>
      <c r="B33" s="25" t="inlineStr">
        <is>
          <t>대륙기계공구</t>
        </is>
      </c>
      <c r="C33" s="27" t="n">
        <v>3</v>
      </c>
      <c r="D33" s="28">
        <f>C33/C$38</f>
        <v/>
      </c>
      <c r="E33" s="28">
        <f>E32+D33</f>
        <v/>
      </c>
      <c r="F33" s="27" t="n">
        <v>254</v>
      </c>
    </row>
    <row r="34">
      <c r="A34" s="24" t="n">
        <v>32</v>
      </c>
      <c r="B34" s="25" t="inlineStr">
        <is>
          <t>웰크리에이트-코고툴(재연마)</t>
        </is>
      </c>
      <c r="C34" s="27" t="n">
        <v>2</v>
      </c>
      <c r="D34" s="28">
        <f>C34/C$38</f>
        <v/>
      </c>
      <c r="E34" s="28">
        <f>E33+D34</f>
        <v/>
      </c>
      <c r="F34" s="27" t="n">
        <v>12</v>
      </c>
    </row>
    <row r="35">
      <c r="A35" s="24" t="n">
        <v>33</v>
      </c>
      <c r="B35" s="25" t="inlineStr">
        <is>
          <t>(주)일등정밀공구(안산)</t>
        </is>
      </c>
      <c r="C35" s="27" t="n">
        <v>1</v>
      </c>
      <c r="D35" s="28">
        <f>C35/C$38</f>
        <v/>
      </c>
      <c r="E35" s="28">
        <f>E34+D35</f>
        <v/>
      </c>
      <c r="F35" s="27" t="n">
        <v>88</v>
      </c>
    </row>
    <row r="36">
      <c r="A36" s="24" t="n">
        <v>34</v>
      </c>
      <c r="B36" s="25" t="inlineStr">
        <is>
          <t>대한초경공구</t>
        </is>
      </c>
      <c r="C36" s="27" t="n">
        <v>1</v>
      </c>
      <c r="D36" s="28">
        <f>C36/C$38</f>
        <v/>
      </c>
      <c r="E36" s="28">
        <f>E35+D36</f>
        <v/>
      </c>
      <c r="F36" s="27" t="n">
        <v>8</v>
      </c>
    </row>
    <row r="37">
      <c r="A37" s="24" t="n">
        <v>35</v>
      </c>
      <c r="B37" s="25" t="inlineStr">
        <is>
          <t>왕삼아공구</t>
        </is>
      </c>
      <c r="C37" s="27" t="n">
        <v>1</v>
      </c>
      <c r="D37" s="28">
        <f>C37/C$38</f>
        <v/>
      </c>
      <c r="E37" s="28">
        <f>E36+D37</f>
        <v/>
      </c>
      <c r="F37" s="27" t="n">
        <v>445</v>
      </c>
    </row>
    <row r="38">
      <c r="A38" s="39" t="inlineStr">
        <is>
          <t>합계</t>
        </is>
      </c>
      <c r="B38" s="43" t="n"/>
      <c r="C38" s="40">
        <f>SUM(C3:C37)</f>
        <v/>
      </c>
      <c r="D38" s="41" t="n">
        <v>1</v>
      </c>
      <c r="E38" s="39" t="n"/>
      <c r="F38" s="4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2026년 9월 출하현황 — 납품처별 출고량  (단위: 개)</t>
        </is>
      </c>
    </row>
    <row r="2">
      <c r="A2" s="23" t="inlineStr">
        <is>
          <t>순위</t>
        </is>
      </c>
      <c r="B2" s="23" t="inlineStr">
        <is>
          <t>납품처명</t>
        </is>
      </c>
      <c r="C2" s="23" t="inlineStr">
        <is>
          <t>9월 출고(개)</t>
        </is>
      </c>
      <c r="D2" s="23" t="inlineStr">
        <is>
          <t>월간비율(%)</t>
        </is>
      </c>
      <c r="E2" s="23" t="inlineStr">
        <is>
          <t>누적비율(%)</t>
        </is>
      </c>
      <c r="F2" s="23" t="inlineStr">
        <is>
          <t>연간합계(개)</t>
        </is>
      </c>
    </row>
    <row r="3">
      <c r="A3" s="24" t="n">
        <v>1</v>
      </c>
      <c r="B3" s="25" t="inlineStr">
        <is>
          <t>원영공구(구,원영상사)</t>
        </is>
      </c>
      <c r="C3" s="27" t="n">
        <v>257</v>
      </c>
      <c r="D3" s="28">
        <f>C3/C$32</f>
        <v/>
      </c>
      <c r="E3" s="28">
        <f>D3</f>
        <v/>
      </c>
      <c r="F3" s="27" t="n">
        <v>1835</v>
      </c>
    </row>
    <row r="4">
      <c r="A4" s="24" t="n">
        <v>2</v>
      </c>
      <c r="B4" s="25" t="inlineStr">
        <is>
          <t>유진상사(문래)</t>
        </is>
      </c>
      <c r="C4" s="27" t="n">
        <v>195</v>
      </c>
      <c r="D4" s="28">
        <f>C4/C$32</f>
        <v/>
      </c>
      <c r="E4" s="28">
        <f>E3+D4</f>
        <v/>
      </c>
      <c r="F4" s="27" t="n">
        <v>233</v>
      </c>
    </row>
    <row r="5">
      <c r="A5" s="24" t="n">
        <v>3</v>
      </c>
      <c r="B5" s="25" t="inlineStr">
        <is>
          <t>왕삼아공구</t>
        </is>
      </c>
      <c r="C5" s="27" t="n">
        <v>151</v>
      </c>
      <c r="D5" s="28">
        <f>C5/C$32</f>
        <v/>
      </c>
      <c r="E5" s="28">
        <f>E4+D5</f>
        <v/>
      </c>
      <c r="F5" s="27" t="n">
        <v>445</v>
      </c>
    </row>
    <row r="6">
      <c r="A6" s="24" t="n">
        <v>4</v>
      </c>
      <c r="B6" s="25" t="inlineStr">
        <is>
          <t>아이티공구</t>
        </is>
      </c>
      <c r="C6" s="27" t="n">
        <v>127</v>
      </c>
      <c r="D6" s="28">
        <f>C6/C$32</f>
        <v/>
      </c>
      <c r="E6" s="28">
        <f>E5+D6</f>
        <v/>
      </c>
      <c r="F6" s="27" t="n">
        <v>681</v>
      </c>
    </row>
    <row r="7">
      <c r="A7" s="24" t="n">
        <v>5</v>
      </c>
      <c r="B7" s="25" t="inlineStr">
        <is>
          <t>덕원종합상사</t>
        </is>
      </c>
      <c r="C7" s="27" t="n">
        <v>81</v>
      </c>
      <c r="D7" s="28">
        <f>C7/C$32</f>
        <v/>
      </c>
      <c r="E7" s="28">
        <f>E6+D7</f>
        <v/>
      </c>
      <c r="F7" s="27" t="n">
        <v>827</v>
      </c>
    </row>
    <row r="8">
      <c r="A8" s="34" t="n">
        <v>6</v>
      </c>
      <c r="B8" s="35" t="inlineStr">
        <is>
          <t>영우툴링(창성툴)</t>
        </is>
      </c>
      <c r="C8" s="37" t="n">
        <v>79</v>
      </c>
      <c r="D8" s="38">
        <f>C8/C$32</f>
        <v/>
      </c>
      <c r="E8" s="38">
        <f>E7+D8</f>
        <v/>
      </c>
      <c r="F8" s="37" t="n">
        <v>657</v>
      </c>
    </row>
    <row r="9">
      <c r="A9" s="34" t="n">
        <v>7</v>
      </c>
      <c r="B9" s="35" t="inlineStr">
        <is>
          <t>강민툴링(비봉)</t>
        </is>
      </c>
      <c r="C9" s="37" t="n">
        <v>78</v>
      </c>
      <c r="D9" s="38">
        <f>C9/C$32</f>
        <v/>
      </c>
      <c r="E9" s="38">
        <f>E8+D9</f>
        <v/>
      </c>
      <c r="F9" s="37" t="n">
        <v>1031</v>
      </c>
    </row>
    <row r="10">
      <c r="A10" s="34" t="n">
        <v>8</v>
      </c>
      <c r="B10" s="35" t="inlineStr">
        <is>
          <t>유비툴</t>
        </is>
      </c>
      <c r="C10" s="37" t="n">
        <v>52</v>
      </c>
      <c r="D10" s="38">
        <f>C10/C$32</f>
        <v/>
      </c>
      <c r="E10" s="38">
        <f>E9+D10</f>
        <v/>
      </c>
      <c r="F10" s="37" t="n">
        <v>440</v>
      </c>
    </row>
    <row r="11">
      <c r="A11" s="34" t="n">
        <v>9</v>
      </c>
      <c r="B11" s="35" t="inlineStr">
        <is>
          <t>서림툴링</t>
        </is>
      </c>
      <c r="C11" s="37" t="n">
        <v>48</v>
      </c>
      <c r="D11" s="38">
        <f>C11/C$32</f>
        <v/>
      </c>
      <c r="E11" s="38">
        <f>E10+D11</f>
        <v/>
      </c>
      <c r="F11" s="37" t="n">
        <v>219</v>
      </c>
    </row>
    <row r="12">
      <c r="A12" s="34" t="n">
        <v>10</v>
      </c>
      <c r="B12" s="35" t="inlineStr">
        <is>
          <t>신우툴링(남동)</t>
        </is>
      </c>
      <c r="C12" s="37" t="n">
        <v>44</v>
      </c>
      <c r="D12" s="38">
        <f>C12/C$32</f>
        <v/>
      </c>
      <c r="E12" s="38">
        <f>E11+D12</f>
        <v/>
      </c>
      <c r="F12" s="37" t="n">
        <v>369</v>
      </c>
    </row>
    <row r="13">
      <c r="A13" s="34" t="n">
        <v>11</v>
      </c>
      <c r="B13" s="35" t="inlineStr">
        <is>
          <t>툴모아(시화)</t>
        </is>
      </c>
      <c r="C13" s="37" t="n">
        <v>36</v>
      </c>
      <c r="D13" s="38">
        <f>C13/C$32</f>
        <v/>
      </c>
      <c r="E13" s="38">
        <f>E12+D13</f>
        <v/>
      </c>
      <c r="F13" s="37" t="n">
        <v>36</v>
      </c>
    </row>
    <row r="14">
      <c r="A14" s="34" t="n">
        <v>12</v>
      </c>
      <c r="B14" s="35" t="inlineStr">
        <is>
          <t>케이엠툴링</t>
        </is>
      </c>
      <c r="C14" s="37" t="n">
        <v>35</v>
      </c>
      <c r="D14" s="38">
        <f>C14/C$32</f>
        <v/>
      </c>
      <c r="E14" s="38">
        <f>E13+D14</f>
        <v/>
      </c>
      <c r="F14" s="37" t="n">
        <v>232</v>
      </c>
    </row>
    <row r="15">
      <c r="A15" s="34" t="n">
        <v>13</v>
      </c>
      <c r="B15" s="35" t="inlineStr">
        <is>
          <t>영창툴링</t>
        </is>
      </c>
      <c r="C15" s="37" t="n">
        <v>25</v>
      </c>
      <c r="D15" s="38">
        <f>C15/C$32</f>
        <v/>
      </c>
      <c r="E15" s="38">
        <f>E14+D15</f>
        <v/>
      </c>
      <c r="F15" s="37" t="n">
        <v>144</v>
      </c>
    </row>
    <row r="16">
      <c r="A16" s="34" t="n">
        <v>14</v>
      </c>
      <c r="B16" s="35" t="inlineStr">
        <is>
          <t>코끼리공구</t>
        </is>
      </c>
      <c r="C16" s="37" t="n">
        <v>23</v>
      </c>
      <c r="D16" s="38">
        <f>C16/C$32</f>
        <v/>
      </c>
      <c r="E16" s="38">
        <f>E15+D16</f>
        <v/>
      </c>
      <c r="F16" s="37" t="n">
        <v>39</v>
      </c>
    </row>
    <row r="17">
      <c r="A17" s="34" t="n">
        <v>15</v>
      </c>
      <c r="B17" s="35" t="inlineStr">
        <is>
          <t>(주)일등정밀공구(안산)</t>
        </is>
      </c>
      <c r="C17" s="37" t="n">
        <v>22</v>
      </c>
      <c r="D17" s="38">
        <f>C17/C$32</f>
        <v/>
      </c>
      <c r="E17" s="38">
        <f>E16+D17</f>
        <v/>
      </c>
      <c r="F17" s="37" t="n">
        <v>88</v>
      </c>
    </row>
    <row r="18">
      <c r="A18" s="34" t="n">
        <v>16</v>
      </c>
      <c r="B18" s="35" t="inlineStr">
        <is>
          <t>신우툴스</t>
        </is>
      </c>
      <c r="C18" s="37" t="n">
        <v>18</v>
      </c>
      <c r="D18" s="38">
        <f>C18/C$32</f>
        <v/>
      </c>
      <c r="E18" s="38">
        <f>E17+D18</f>
        <v/>
      </c>
      <c r="F18" s="37" t="n">
        <v>50</v>
      </c>
    </row>
    <row r="19">
      <c r="A19" s="34" t="n">
        <v>17</v>
      </c>
      <c r="B19" s="35" t="inlineStr">
        <is>
          <t>반석공구</t>
        </is>
      </c>
      <c r="C19" s="37" t="n">
        <v>14</v>
      </c>
      <c r="D19" s="38">
        <f>C19/C$32</f>
        <v/>
      </c>
      <c r="E19" s="38">
        <f>E18+D19</f>
        <v/>
      </c>
      <c r="F19" s="37" t="n">
        <v>321</v>
      </c>
    </row>
    <row r="20">
      <c r="A20" s="34" t="n">
        <v>18</v>
      </c>
      <c r="B20" s="35" t="inlineStr">
        <is>
          <t>(주)공화공구</t>
        </is>
      </c>
      <c r="C20" s="37" t="n">
        <v>11</v>
      </c>
      <c r="D20" s="38">
        <f>C20/C$32</f>
        <v/>
      </c>
      <c r="E20" s="38">
        <f>E19+D20</f>
        <v/>
      </c>
      <c r="F20" s="37" t="n">
        <v>353</v>
      </c>
    </row>
    <row r="21">
      <c r="A21" s="34" t="n">
        <v>19</v>
      </c>
      <c r="B21" s="35" t="inlineStr">
        <is>
          <t>유성상공사</t>
        </is>
      </c>
      <c r="C21" s="37" t="n">
        <v>10</v>
      </c>
      <c r="D21" s="38">
        <f>C21/C$32</f>
        <v/>
      </c>
      <c r="E21" s="38">
        <f>E20+D21</f>
        <v/>
      </c>
      <c r="F21" s="37" t="n">
        <v>107</v>
      </c>
    </row>
    <row r="22">
      <c r="A22" s="34" t="n">
        <v>20</v>
      </c>
      <c r="B22" s="35" t="inlineStr">
        <is>
          <t>(주)바로공구(정남)</t>
        </is>
      </c>
      <c r="C22" s="37" t="n">
        <v>10</v>
      </c>
      <c r="D22" s="38">
        <f>C22/C$32</f>
        <v/>
      </c>
      <c r="E22" s="38">
        <f>E21+D22</f>
        <v/>
      </c>
      <c r="F22" s="37" t="n">
        <v>52</v>
      </c>
    </row>
    <row r="23">
      <c r="A23" s="34" t="n">
        <v>21</v>
      </c>
      <c r="B23" s="35" t="inlineStr">
        <is>
          <t>대성테크</t>
        </is>
      </c>
      <c r="C23" s="37" t="n">
        <v>9</v>
      </c>
      <c r="D23" s="38">
        <f>C23/C$32</f>
        <v/>
      </c>
      <c r="E23" s="38">
        <f>E22+D23</f>
        <v/>
      </c>
      <c r="F23" s="37" t="n">
        <v>50</v>
      </c>
    </row>
    <row r="24">
      <c r="A24" s="34" t="n">
        <v>22</v>
      </c>
      <c r="B24" s="35" t="inlineStr">
        <is>
          <t>광진테크</t>
        </is>
      </c>
      <c r="C24" s="37" t="n">
        <v>7</v>
      </c>
      <c r="D24" s="38">
        <f>C24/C$32</f>
        <v/>
      </c>
      <c r="E24" s="38">
        <f>E23+D24</f>
        <v/>
      </c>
      <c r="F24" s="37" t="n">
        <v>80</v>
      </c>
    </row>
    <row r="25">
      <c r="A25" s="34" t="n">
        <v>23</v>
      </c>
      <c r="B25" s="35" t="inlineStr">
        <is>
          <t>(주)성신툴링</t>
        </is>
      </c>
      <c r="C25" s="37" t="n">
        <v>7</v>
      </c>
      <c r="D25" s="38">
        <f>C25/C$32</f>
        <v/>
      </c>
      <c r="E25" s="38">
        <f>E24+D25</f>
        <v/>
      </c>
      <c r="F25" s="37" t="n">
        <v>7</v>
      </c>
    </row>
    <row r="26">
      <c r="A26" s="34" t="n">
        <v>24</v>
      </c>
      <c r="B26" s="35" t="inlineStr">
        <is>
          <t>세운상사</t>
        </is>
      </c>
      <c r="C26" s="37" t="n">
        <v>6</v>
      </c>
      <c r="D26" s="38">
        <f>C26/C$32</f>
        <v/>
      </c>
      <c r="E26" s="38">
        <f>E25+D26</f>
        <v/>
      </c>
      <c r="F26" s="37" t="n">
        <v>18</v>
      </c>
    </row>
    <row r="27">
      <c r="A27" s="34" t="n">
        <v>25</v>
      </c>
      <c r="B27" s="35" t="inlineStr">
        <is>
          <t>알제이코리아</t>
        </is>
      </c>
      <c r="C27" s="37" t="n">
        <v>5</v>
      </c>
      <c r="D27" s="38">
        <f>C27/C$32</f>
        <v/>
      </c>
      <c r="E27" s="38">
        <f>E26+D27</f>
        <v/>
      </c>
      <c r="F27" s="37" t="n">
        <v>315</v>
      </c>
    </row>
    <row r="28">
      <c r="A28" s="34" t="n">
        <v>26</v>
      </c>
      <c r="B28" s="35" t="inlineStr">
        <is>
          <t>(주)삼진기공</t>
        </is>
      </c>
      <c r="C28" s="37" t="n">
        <v>3</v>
      </c>
      <c r="D28" s="38">
        <f>C28/C$32</f>
        <v/>
      </c>
      <c r="E28" s="38">
        <f>E27+D28</f>
        <v/>
      </c>
      <c r="F28" s="37" t="n">
        <v>3</v>
      </c>
    </row>
    <row r="29">
      <c r="A29" s="34" t="n">
        <v>27</v>
      </c>
      <c r="B29" s="35" t="inlineStr">
        <is>
          <t>공구백화점(미산동)</t>
        </is>
      </c>
      <c r="C29" s="37" t="n">
        <v>2</v>
      </c>
      <c r="D29" s="38">
        <f>C29/C$32</f>
        <v/>
      </c>
      <c r="E29" s="38">
        <f>E28+D29</f>
        <v/>
      </c>
      <c r="F29" s="37" t="n">
        <v>63</v>
      </c>
    </row>
    <row r="30">
      <c r="A30" s="34" t="n">
        <v>28</v>
      </c>
      <c r="B30" s="35" t="inlineStr">
        <is>
          <t>정진툴링</t>
        </is>
      </c>
      <c r="C30" s="37" t="n">
        <v>2</v>
      </c>
      <c r="D30" s="38">
        <f>C30/C$32</f>
        <v/>
      </c>
      <c r="E30" s="38">
        <f>E29+D30</f>
        <v/>
      </c>
      <c r="F30" s="37" t="n">
        <v>2</v>
      </c>
    </row>
    <row r="31">
      <c r="A31" s="34" t="n">
        <v>29</v>
      </c>
      <c r="B31" s="35" t="inlineStr">
        <is>
          <t>대한초경공구</t>
        </is>
      </c>
      <c r="C31" s="37" t="n">
        <v>1</v>
      </c>
      <c r="D31" s="38">
        <f>C31/C$32</f>
        <v/>
      </c>
      <c r="E31" s="38">
        <f>E30+D31</f>
        <v/>
      </c>
      <c r="F31" s="37" t="n">
        <v>8</v>
      </c>
    </row>
    <row r="32">
      <c r="A32" s="39" t="inlineStr">
        <is>
          <t>합계</t>
        </is>
      </c>
      <c r="B32" s="43" t="n"/>
      <c r="C32" s="40">
        <f>SUM(C3:C31)</f>
        <v/>
      </c>
      <c r="D32" s="41" t="n">
        <v>1</v>
      </c>
      <c r="E32" s="39" t="n"/>
      <c r="F32" s="40">
        <f>SUM(F3:F31)</f>
        <v/>
      </c>
    </row>
  </sheetData>
  <mergeCells count="2">
    <mergeCell ref="A32:B3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10월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10월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11월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2026년 12월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2026-05-31T23:36:11Z</dcterms:created>
  <dcterms:modified xmlns:dcterms="http://purl.org/dc/terms/" xmlns:xsi="http://www.w3.org/2001/XMLSchema-instance" xsi:type="dcterms:W3CDTF">2026-10-01T01:31:55Z</dcterms:modified>
</cp:coreProperties>
</file>